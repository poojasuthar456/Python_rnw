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8675"/>
  </bookViews>
  <sheets>
    <sheet name="IF AND OR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<sst xmlns="http://schemas.openxmlformats.org/spreadsheetml/2006/main" count="19" uniqueCount="16">
  <si>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EMP NO</t>
  </si>
  <si>
    <t>NAME</t>
  </si>
  <si>
    <t>Experience</t>
  </si>
  <si>
    <t>Annual Salary</t>
  </si>
  <si>
    <t>Bonus</t>
  </si>
  <si>
    <t>Rahim</t>
  </si>
  <si>
    <t>Criteria</t>
  </si>
  <si>
    <t>Salman</t>
  </si>
  <si>
    <t>IF EXP &gt;=5 years &amp; Salary &gt;=12000</t>
  </si>
  <si>
    <t>Abid</t>
  </si>
  <si>
    <t>Else</t>
  </si>
  <si>
    <t>No Bonus</t>
  </si>
  <si>
    <t>Kashif</t>
  </si>
  <si>
    <t>Sharjeel</t>
  </si>
  <si>
    <t>and</t>
  </si>
  <si>
    <t>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</si>
</sst>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_(* #,##0_);_(* \(#,##0\);_(* &quot;-&quot;??_);_(@_)"/>
  </numFmts>
  <fonts count="23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80" fontId="0" fillId="0" borderId="1" xfId="1" applyNumberFormat="1" applyFont="1" applyBorder="1"/>
    <xf numFmtId="9" fontId="0" fillId="3" borderId="1" xfId="3" applyFont="1" applyFill="1" applyBorder="1"/>
    <xf numFmtId="9" fontId="2" fillId="0" borderId="1" xfId="0" applyNumberFormat="1" applyFont="1" applyBorder="1"/>
    <xf numFmtId="0" fontId="2" fillId="0" borderId="1" xfId="0" applyFont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theme="4" tint="0.399975585192419"/>
  </sheetPr>
  <dimension ref="A1:H13"/>
  <sheetViews>
    <sheetView tabSelected="1" zoomScale="210" zoomScaleNormal="210" workbookViewId="0">
      <pane ySplit="1" topLeftCell="A10" activePane="bottomLeft" state="frozen"/>
      <selection/>
      <selection pane="bottomLeft" activeCell="E3" sqref="E3"/>
    </sheetView>
  </sheetViews>
  <sheetFormatPr defaultColWidth="9" defaultRowHeight="14.4" outlineLevelCol="7"/>
  <cols>
    <col min="3" max="3" width="10.8518518518519" customWidth="1"/>
    <col min="4" max="4" width="15.0277777777778" customWidth="1"/>
    <col min="6" max="6" width="9.28703703703704" customWidth="1"/>
    <col min="7" max="7" width="30.574074074074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>
      <c r="A2" s="2">
        <v>441855</v>
      </c>
      <c r="B2" s="2" t="s">
        <v>5</v>
      </c>
      <c r="C2" s="2">
        <v>6.4</v>
      </c>
      <c r="D2" s="3">
        <v>9735</v>
      </c>
      <c r="E2" s="4" t="str">
        <f>IF(AND(C2&gt;=5,D2&gt;=12000),$H$3,$H$4)</f>
        <v>No Bonus</v>
      </c>
      <c r="G2" s="1" t="s">
        <v>6</v>
      </c>
      <c r="H2" s="1" t="s">
        <v>4</v>
      </c>
    </row>
    <row r="3" spans="1:8">
      <c r="A3" s="2">
        <v>396398</v>
      </c>
      <c r="B3" s="2" t="s">
        <v>7</v>
      </c>
      <c r="C3" s="2">
        <v>7</v>
      </c>
      <c r="D3" s="3">
        <v>16663</v>
      </c>
      <c r="E3" s="4">
        <f t="shared" ref="E3:E6" si="0">IF(AND(C3&gt;=5,D3&gt;=12000),$H$3,$H$4)</f>
        <v>0.2</v>
      </c>
      <c r="G3" s="2" t="s">
        <v>8</v>
      </c>
      <c r="H3" s="5">
        <v>0.2</v>
      </c>
    </row>
    <row r="4" spans="1:8">
      <c r="A4" s="2">
        <v>354738</v>
      </c>
      <c r="B4" s="2" t="s">
        <v>9</v>
      </c>
      <c r="C4" s="2">
        <v>5</v>
      </c>
      <c r="D4" s="3">
        <v>14803</v>
      </c>
      <c r="E4" s="4">
        <f t="shared" si="0"/>
        <v>0.2</v>
      </c>
      <c r="G4" s="2" t="s">
        <v>10</v>
      </c>
      <c r="H4" s="6" t="s">
        <v>11</v>
      </c>
    </row>
    <row r="5" spans="1:5">
      <c r="A5" s="2">
        <v>354707</v>
      </c>
      <c r="B5" s="2" t="s">
        <v>12</v>
      </c>
      <c r="C5" s="2">
        <v>4.9</v>
      </c>
      <c r="D5" s="3">
        <v>7410</v>
      </c>
      <c r="E5" s="4" t="str">
        <f t="shared" si="0"/>
        <v>No Bonus</v>
      </c>
    </row>
    <row r="6" spans="1:5">
      <c r="A6" s="2">
        <v>439670</v>
      </c>
      <c r="B6" s="2" t="s">
        <v>13</v>
      </c>
      <c r="C6" s="2">
        <v>3.5</v>
      </c>
      <c r="D6" s="3">
        <v>9874</v>
      </c>
      <c r="E6" s="4" t="str">
        <f t="shared" si="0"/>
        <v>No Bonus</v>
      </c>
    </row>
    <row r="9" spans="3:6">
      <c r="C9" s="7" t="s">
        <v>2</v>
      </c>
      <c r="D9" s="7" t="s">
        <v>3</v>
      </c>
      <c r="E9" s="7" t="s">
        <v>14</v>
      </c>
      <c r="F9" s="7" t="s">
        <v>15</v>
      </c>
    </row>
    <row r="10" spans="3:6">
      <c r="C10" s="2">
        <v>6.4</v>
      </c>
      <c r="D10" s="3">
        <v>9735</v>
      </c>
      <c r="E10" s="8" t="b">
        <f>AND(C10&gt;=5,D10&gt;=12000)</f>
        <v>0</v>
      </c>
      <c r="F10" s="8" t="b">
        <f>OR(C10&gt;=5,D10&gt;=12000)</f>
        <v>1</v>
      </c>
    </row>
    <row r="11" spans="3:6">
      <c r="C11" s="2">
        <v>7</v>
      </c>
      <c r="D11" s="3">
        <v>16663</v>
      </c>
      <c r="E11" s="8" t="b">
        <f>AND(C11&gt;=5,D11&gt;=12000)</f>
        <v>1</v>
      </c>
      <c r="F11" s="8" t="b">
        <f t="shared" ref="F11:F13" si="1">OR(C11&gt;=5,D11&gt;=12000)</f>
        <v>1</v>
      </c>
    </row>
    <row r="12" spans="3:6">
      <c r="C12" s="2">
        <v>5</v>
      </c>
      <c r="D12" s="3">
        <v>14803</v>
      </c>
      <c r="E12" s="8" t="b">
        <f t="shared" ref="E11:E13" si="2">AND(C12&gt;=5,D12&gt;=12000)</f>
        <v>1</v>
      </c>
      <c r="F12" s="8" t="b">
        <f t="shared" si="1"/>
        <v>1</v>
      </c>
    </row>
    <row r="13" spans="3:6">
      <c r="C13" s="2">
        <v>4.9</v>
      </c>
      <c r="D13" s="3">
        <v>7410</v>
      </c>
      <c r="E13" s="8" t="b">
        <f t="shared" si="2"/>
        <v>0</v>
      </c>
      <c r="F13" s="8" t="b">
        <f t="shared" si="1"/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UBL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IF AND 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Rahim Zulfiqar Ali</dc:creator>
  <cp:lastModifiedBy>RWn. Mayur Vaishnav</cp:lastModifiedBy>
  <dcterms:created xsi:type="dcterms:W3CDTF">2013-04-12T10:40:00Z</dcterms:created>
  <dcterms:modified xsi:type="dcterms:W3CDTF">2024-07-10T10:40:45Z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CC5CFCDE0DA346DBAA0A2AE7EF334044_12</vt:lpwstr>
  </property>
  <property fmtid="{D5CDD505-2E9C-101B-9397-08002B2CF9AE}" pid="3" name="KSOProductBuildVer">
    <vt:lpwstr>1033-12.2.0.17153</vt:lpwstr>
  </property>
</Properties>
</file>