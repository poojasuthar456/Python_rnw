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Project Instructions" sheetId="1" r:id="rId1"/>
    <sheet name="Dashboard" sheetId="5" r:id="rId2"/>
    <sheet name="Dataset" sheetId="2" r:id="rId3"/>
    <sheet name="Filter" sheetId="3" r:id="rId4"/>
    <sheet name=" Sales by region" sheetId="4" r:id="rId5"/>
    <sheet name="Sales by product" sheetId="8" r:id="rId6"/>
    <sheet name="Monthly sales and profit" sheetId="6" r:id="rId7"/>
  </sheets>
  <definedNames>
    <definedName name="Slicer_Month_Year2">#N/A</definedName>
    <definedName name="Slicer_Month_Year1">#N/A</definedName>
    <definedName name="Slicer_Month_Year">#N/A</definedName>
  </definedNames>
  <calcPr calcId="191029"/>
  <pivotCaches>
    <pivotCache cacheId="0" r:id="rId8"/>
  </pivotCaches>
  <extLst>
    <ext xmlns:x14="http://schemas.microsoft.com/office/spreadsheetml/2009/9/main" uri="{BBE1A952-AA13-448e-AADC-164F8A28A991}">
      <x14:slicerCaches>
        <x14:slicerCache r:id="rId11"/>
        <x14:slicerCache r:id="rId10"/>
        <x14:slicerCache r:id="rId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<sst xmlns="http://schemas.openxmlformats.org/spreadsheetml/2006/main" count="1679" uniqueCount="115">
  <si>
    <t>PR. 2 Analyzer</t>
  </si>
  <si>
    <r>
      <rPr>
        <b/>
        <sz val="11"/>
        <color theme="1"/>
        <rFont val="Calibri"/>
        <charset val="134"/>
      </rPr>
      <t xml:space="preserve">Topics:
</t>
    </r>
    <r>
      <rPr>
        <sz val="11"/>
        <color theme="1"/>
        <rFont val="Calibri"/>
        <charset val="134"/>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charset val="134"/>
      </rPr>
      <t>Main Tasks:</t>
    </r>
    <r>
      <rPr>
        <sz val="11"/>
        <color rgb="FF38761D"/>
        <rFont val="Calibri"/>
        <charset val="134"/>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charset val="134"/>
      </rPr>
      <t xml:space="preserve">
</t>
    </r>
    <r>
      <rPr>
        <b/>
        <sz val="11"/>
        <color theme="1"/>
        <rFont val="Calibri"/>
        <charset val="134"/>
      </rPr>
      <t xml:space="preserve">Deliverable:
</t>
    </r>
    <r>
      <rPr>
        <sz val="11"/>
        <color theme="1"/>
        <rFont val="Calibri"/>
        <charset val="134"/>
      </rPr>
      <t>Complete the given worksheet by applying the required formulas in respective sheets.</t>
    </r>
  </si>
  <si>
    <t>Customer_ID</t>
  </si>
  <si>
    <t>Customer_Name</t>
  </si>
  <si>
    <t>Region</t>
  </si>
  <si>
    <t>Product_Category</t>
  </si>
  <si>
    <t>Sales</t>
  </si>
  <si>
    <t>Quantity</t>
  </si>
  <si>
    <t>Discount</t>
  </si>
  <si>
    <t>Order_Date</t>
  </si>
  <si>
    <t xml:space="preserve">Month-Year </t>
  </si>
  <si>
    <t>Total Sales per Month</t>
  </si>
  <si>
    <t>Monthly Growth%</t>
  </si>
  <si>
    <t>TimeStamp</t>
  </si>
  <si>
    <t>Cost</t>
  </si>
  <si>
    <t>Profit</t>
  </si>
  <si>
    <t>profit after dis</t>
  </si>
  <si>
    <t>CUST019</t>
  </si>
  <si>
    <t>James Davis</t>
  </si>
  <si>
    <t>West</t>
  </si>
  <si>
    <t>Books</t>
  </si>
  <si>
    <t>CUST012</t>
  </si>
  <si>
    <t>Robert Anderson</t>
  </si>
  <si>
    <t>Clothing</t>
  </si>
  <si>
    <t>CUST017</t>
  </si>
  <si>
    <t>James Taylor</t>
  </si>
  <si>
    <t>East</t>
  </si>
  <si>
    <t>CUST005</t>
  </si>
  <si>
    <t>South</t>
  </si>
  <si>
    <t>Electronics</t>
  </si>
  <si>
    <t>more than 300</t>
  </si>
  <si>
    <t>CUST030</t>
  </si>
  <si>
    <t>James Wilson</t>
  </si>
  <si>
    <t>North</t>
  </si>
  <si>
    <t>more than 500</t>
  </si>
  <si>
    <t>CUST007</t>
  </si>
  <si>
    <t>Michael Anderson</t>
  </si>
  <si>
    <t>Furniture</t>
  </si>
  <si>
    <t>more than 800</t>
  </si>
  <si>
    <t>CUST001</t>
  </si>
  <si>
    <t>Linda Wilson</t>
  </si>
  <si>
    <t>more than 1000</t>
  </si>
  <si>
    <t>Descriptive Statistics</t>
  </si>
  <si>
    <t>Match</t>
  </si>
  <si>
    <t>CUST026</t>
  </si>
  <si>
    <t>Mary Davis</t>
  </si>
  <si>
    <t>Mean of Profit</t>
  </si>
  <si>
    <t>index of max sale</t>
  </si>
  <si>
    <t>CUST009</t>
  </si>
  <si>
    <t>Linda Jackson</t>
  </si>
  <si>
    <t>Central</t>
  </si>
  <si>
    <t>Median of Cost</t>
  </si>
  <si>
    <t>CUST010</t>
  </si>
  <si>
    <t>David Thomas</t>
  </si>
  <si>
    <t>Mode of Quantity</t>
  </si>
  <si>
    <t>CUST014</t>
  </si>
  <si>
    <t>Emma Davis</t>
  </si>
  <si>
    <t>Office Supplies</t>
  </si>
  <si>
    <t>Minimum Profit</t>
  </si>
  <si>
    <t xml:space="preserve">Index </t>
  </si>
  <si>
    <t>Maximum Cost</t>
  </si>
  <si>
    <t>Count of Quantity</t>
  </si>
  <si>
    <t>CUST023</t>
  </si>
  <si>
    <t>Sum of Sales</t>
  </si>
  <si>
    <t>CUST029</t>
  </si>
  <si>
    <t>David Smith</t>
  </si>
  <si>
    <t xml:space="preserve">Filter function in the next sheet </t>
  </si>
  <si>
    <t>Sarah Anderson</t>
  </si>
  <si>
    <t>CUST008</t>
  </si>
  <si>
    <t>Lisa Thomas</t>
  </si>
  <si>
    <t>What-IF Analysis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</si>
  <si>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</si>
  <si>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</si>
  <si>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</si>
  <si>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</si>
  <si>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</si>
  <si>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</si>
  <si>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</si>
  <si>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</si>
  <si>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</si>
  <si>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</si>
  <si>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</si>
  <si>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</si>
  <si>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</si>
  <si>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</si>
  <si>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</si>
  <si>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</si>
  <si>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</si>
  <si>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</si>
  <si>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</si>
  <si>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</si>
  <si>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</si>
  <si>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</si>
  <si>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</si>
  <si>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</si>
  <si>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</si>
  <si>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</si>
  <si>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</si>
  <si>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</si>
  <si>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</si>
  <si>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</si>
  <si>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Grand Total</t>
  </si>
  <si>
    <t>Sum of Profit</t>
  </si>
  <si>
    <t>Apr</t>
  </si>
  <si>
    <t>May</t>
  </si>
  <si>
    <t>Jun</t>
  </si>
  <si>
    <t>Jul</t>
  </si>
  <si>
    <t>Aug</t>
  </si>
  <si>
    <t>Sep</t>
  </si>
  <si>
    <t>Oct</t>
  </si>
  <si>
    <t>Nov</t>
  </si>
  <si>
    <t>Dec</t>
  </si>
  <si>
    <t>Jan</t>
  </si>
  <si>
    <t>Feb</t>
  </si>
  <si>
    <t>Mar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</si>
</sst>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 numFmtId="181" formatCode="dd/mm/yyyy\ hh:mm"/>
  </numFmts>
  <fonts count="26">
    <font>
      <sz val="11"/>
      <color theme="1"/>
      <name val="Gill Sans MT"/>
      <charset val="134"/>
      <scheme val="minor"/>
    </font>
    <font>
      <b/>
      <sz val="11"/>
      <color theme="1"/>
      <name val="Gill Sans MT"/>
      <charset val="134"/>
      <scheme val="minor"/>
    </font>
    <font>
      <b/>
      <sz val="11"/>
      <color theme="0"/>
      <name val="Gill Sans MT"/>
      <charset val="134"/>
      <scheme val="minor"/>
    </font>
    <font>
      <b/>
      <sz val="11"/>
      <color theme="1"/>
      <name val="Calibri"/>
      <charset val="134"/>
    </font>
    <font>
      <sz val="11"/>
      <color theme="1"/>
      <name val="Calibri"/>
      <charset val="134"/>
    </font>
    <font>
      <u/>
      <sz val="11"/>
      <color rgb="FF0000FF"/>
      <name val="Gill Sans MT"/>
      <charset val="0"/>
      <scheme val="minor"/>
    </font>
    <font>
      <u/>
      <sz val="11"/>
      <color rgb="FF800080"/>
      <name val="Gill Sans MT"/>
      <charset val="0"/>
      <scheme val="minor"/>
    </font>
    <font>
      <sz val="11"/>
      <color rgb="FFFF0000"/>
      <name val="Gill Sans MT"/>
      <charset val="0"/>
      <scheme val="minor"/>
    </font>
    <font>
      <b/>
      <sz val="18"/>
      <color theme="3"/>
      <name val="Gill Sans MT"/>
      <charset val="134"/>
      <scheme val="minor"/>
    </font>
    <font>
      <i/>
      <sz val="11"/>
      <color rgb="FF7F7F7F"/>
      <name val="Gill Sans MT"/>
      <charset val="0"/>
      <scheme val="minor"/>
    </font>
    <font>
      <b/>
      <sz val="15"/>
      <color theme="3"/>
      <name val="Gill Sans MT"/>
      <charset val="134"/>
      <scheme val="minor"/>
    </font>
    <font>
      <b/>
      <sz val="13"/>
      <color theme="3"/>
      <name val="Gill Sans MT"/>
      <charset val="134"/>
      <scheme val="minor"/>
    </font>
    <font>
      <b/>
      <sz val="11"/>
      <color theme="3"/>
      <name val="Gill Sans MT"/>
      <charset val="134"/>
      <scheme val="minor"/>
    </font>
    <font>
      <sz val="11"/>
      <color rgb="FF3F3F76"/>
      <name val="Gill Sans MT"/>
      <charset val="0"/>
      <scheme val="minor"/>
    </font>
    <font>
      <b/>
      <sz val="11"/>
      <color rgb="FF3F3F3F"/>
      <name val="Gill Sans MT"/>
      <charset val="0"/>
      <scheme val="minor"/>
    </font>
    <font>
      <b/>
      <sz val="11"/>
      <color rgb="FFFA7D00"/>
      <name val="Gill Sans MT"/>
      <charset val="0"/>
      <scheme val="minor"/>
    </font>
    <font>
      <b/>
      <sz val="11"/>
      <color rgb="FFFFFFFF"/>
      <name val="Gill Sans MT"/>
      <charset val="0"/>
      <scheme val="minor"/>
    </font>
    <font>
      <sz val="11"/>
      <color rgb="FFFA7D00"/>
      <name val="Gill Sans MT"/>
      <charset val="0"/>
      <scheme val="minor"/>
    </font>
    <font>
      <b/>
      <sz val="11"/>
      <color theme="1"/>
      <name val="Gill Sans MT"/>
      <charset val="0"/>
      <scheme val="minor"/>
    </font>
    <font>
      <sz val="11"/>
      <color rgb="FF006100"/>
      <name val="Gill Sans MT"/>
      <charset val="0"/>
      <scheme val="minor"/>
    </font>
    <font>
      <sz val="11"/>
      <color rgb="FF9C0006"/>
      <name val="Gill Sans MT"/>
      <charset val="0"/>
      <scheme val="minor"/>
    </font>
    <font>
      <sz val="11"/>
      <color rgb="FF9C6500"/>
      <name val="Gill Sans MT"/>
      <charset val="0"/>
      <scheme val="minor"/>
    </font>
    <font>
      <sz val="11"/>
      <color theme="0"/>
      <name val="Gill Sans MT"/>
      <charset val="0"/>
      <scheme val="minor"/>
    </font>
    <font>
      <sz val="11"/>
      <color theme="1"/>
      <name val="Gill Sans MT"/>
      <charset val="0"/>
      <scheme val="minor"/>
    </font>
    <font>
      <b/>
      <sz val="11"/>
      <color rgb="FF38761D"/>
      <name val="Calibri"/>
      <charset val="134"/>
    </font>
    <font>
      <sz val="11"/>
      <color rgb="FF38761D"/>
      <name val="Calibri"/>
      <charset val="134"/>
    </font>
  </fonts>
  <fills count="37">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
        <bgColor theme="4" tint="0.799981688894314"/>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theme="4"/>
      </top>
      <bottom style="thin">
        <color theme="4" tint="0.399975585192419"/>
      </bottom>
      <diagonal/>
    </border>
    <border>
      <left/>
      <right/>
      <top style="thin">
        <color theme="4" tint="0.399975585192419"/>
      </top>
      <bottom style="thin">
        <color theme="4" tint="0.399975585192419"/>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7" borderId="7" applyNumberFormat="0" applyAlignment="0" applyProtection="0">
      <alignment vertical="center"/>
    </xf>
    <xf numFmtId="0" fontId="14" fillId="8" borderId="8" applyNumberFormat="0" applyAlignment="0" applyProtection="0">
      <alignment vertical="center"/>
    </xf>
    <xf numFmtId="0" fontId="15" fillId="8" borderId="7" applyNumberFormat="0" applyAlignment="0" applyProtection="0">
      <alignment vertical="center"/>
    </xf>
    <xf numFmtId="0" fontId="16" fillId="9"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24">
    <xf numFmtId="0" fontId="0" fillId="0" borderId="0" xfId="0" applyFont="1" applyAlignment="1"/>
    <xf numFmtId="0" fontId="1" fillId="0" borderId="0" xfId="0" applyFont="1" applyFill="1" applyAlignment="1"/>
    <xf numFmtId="0" fontId="0" fillId="0" borderId="0" xfId="0" applyFont="1" applyFill="1" applyAlignment="1"/>
    <xf numFmtId="180" fontId="0" fillId="0" borderId="0" xfId="0" applyNumberFormat="1" applyFont="1" applyFill="1" applyAlignment="1"/>
    <xf numFmtId="0" fontId="1" fillId="0" borderId="0" xfId="0" applyFont="1" applyAlignment="1"/>
    <xf numFmtId="0" fontId="0" fillId="0" borderId="0" xfId="0" applyNumberFormat="1" applyFont="1" applyAlignment="1">
      <alignment wrapText="1"/>
    </xf>
    <xf numFmtId="180" fontId="0" fillId="0" borderId="0" xfId="0" applyNumberFormat="1" applyFont="1" applyAlignment="1"/>
    <xf numFmtId="0" fontId="1" fillId="0" borderId="0" xfId="0" applyFont="1"/>
    <xf numFmtId="0" fontId="0" fillId="0" borderId="0" xfId="0" applyFont="1"/>
    <xf numFmtId="0" fontId="0" fillId="0" borderId="0" xfId="0" applyFont="1" applyAlignment="1">
      <alignment horizontal="center"/>
    </xf>
    <xf numFmtId="10" fontId="0" fillId="0" borderId="0" xfId="0" applyNumberFormat="1" applyFont="1"/>
    <xf numFmtId="181" fontId="0" fillId="0" borderId="0" xfId="0" applyNumberFormat="1" applyFont="1" applyAlignment="1">
      <alignment horizontal="center"/>
    </xf>
    <xf numFmtId="9" fontId="0" fillId="0" borderId="0" xfId="0" applyNumberFormat="1" applyFont="1" applyAlignment="1"/>
    <xf numFmtId="0" fontId="0" fillId="2" borderId="0" xfId="0" applyFont="1" applyFill="1" applyAlignment="1">
      <alignment horizontal="center"/>
    </xf>
    <xf numFmtId="0" fontId="0" fillId="2" borderId="0" xfId="0" applyFont="1" applyFill="1" applyAlignment="1"/>
    <xf numFmtId="0" fontId="0" fillId="0" borderId="0" xfId="0" applyNumberFormat="1" applyFont="1" applyAlignment="1"/>
    <xf numFmtId="0" fontId="0" fillId="0" borderId="0" xfId="0" applyFont="1" applyAlignment="1">
      <alignment wrapText="1"/>
    </xf>
    <xf numFmtId="0" fontId="2" fillId="3" borderId="1" xfId="0" applyFont="1" applyFill="1" applyBorder="1" applyAlignment="1"/>
    <xf numFmtId="0" fontId="0" fillId="4" borderId="2" xfId="0" applyNumberFormat="1" applyFont="1" applyFill="1" applyBorder="1" applyAlignment="1">
      <alignment wrapText="1"/>
    </xf>
    <xf numFmtId="0" fontId="0" fillId="4" borderId="2" xfId="0" applyFont="1" applyFill="1" applyBorder="1"/>
    <xf numFmtId="0" fontId="0" fillId="0" borderId="2" xfId="0" applyFont="1" applyBorder="1"/>
    <xf numFmtId="0" fontId="3" fillId="5" borderId="3" xfId="0" applyFont="1" applyFill="1" applyBorder="1" applyAlignment="1">
      <alignment horizontal="center"/>
    </xf>
    <xf numFmtId="0" fontId="4" fillId="0" borderId="0" xfId="0" applyFont="1"/>
    <xf numFmtId="0" fontId="3" fillId="0" borderId="3"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5">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numFmt numFmtId="0" formatCode="General"/>
    </dxf>
    <dxf>
      <font>
        <name val="Calibri"/>
        <scheme val="none"/>
        <charset val="134"/>
        <family val="0"/>
        <b val="0"/>
        <i val="0"/>
        <strike val="0"/>
        <u val="none"/>
        <sz val="11"/>
        <color theme="1"/>
      </font>
      <numFmt numFmtId="180" formatCode="yyyy/mm/dd"/>
    </dxf>
    <dxf>
      <font>
        <name val="Calibri"/>
        <scheme val="none"/>
        <charset val="134"/>
        <family val="0"/>
        <b val="0"/>
        <i val="0"/>
        <strike val="0"/>
        <u val="none"/>
        <sz val="11"/>
        <color theme="1"/>
      </font>
    </dxf>
    <dxf>
      <font>
        <name val="Calibri"/>
        <scheme val="none"/>
        <charset val="134"/>
        <family val="0"/>
        <b val="0"/>
        <i val="0"/>
        <strike val="0"/>
        <u val="none"/>
        <sz val="11"/>
        <color theme="1"/>
      </font>
      <alignment horizontal="center"/>
    </dxf>
    <dxf>
      <font>
        <name val="Calibri"/>
        <scheme val="none"/>
        <charset val="134"/>
        <family val="0"/>
        <b val="0"/>
        <i val="0"/>
        <strike val="0"/>
        <u val="none"/>
        <sz val="11"/>
        <color theme="1"/>
      </font>
      <numFmt numFmtId="10" formatCode="0.00%"/>
    </dxf>
    <dxf>
      <font>
        <name val="Calibri"/>
        <scheme val="none"/>
        <charset val="134"/>
        <family val="0"/>
        <b val="0"/>
        <i val="0"/>
        <strike val="0"/>
        <u val="none"/>
        <sz val="11"/>
        <color theme="1"/>
      </font>
      <numFmt numFmtId="181" formatCode="dd/mm/yyyy\ hh:mm"/>
      <alignment horizontal="center"/>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color rgb="FF006100"/>
      </font>
      <fill>
        <patternFill patternType="solid">
          <bgColor rgb="FFC6EFCE"/>
        </patternFill>
      </fill>
    </dxf>
    <dxf>
      <font>
        <color rgb="FF9C0006"/>
      </font>
      <fill>
        <patternFill patternType="solid">
          <bgColor rgb="FFFFC7CE"/>
        </patternFill>
      </fill>
    </dxf>
    <dxf>
      <numFmt numFmtId="49" formatCode="@"/>
    </dxf>
    <dxf>
      <numFmt numFmtId="2" formatCode="0.00"/>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fill>
        <patternFill patternType="none"/>
      </fill>
    </dxf>
    <dxf>
      <font>
        <name val="Calibri"/>
        <scheme val="none"/>
        <charset val="134"/>
        <family val="0"/>
        <b val="0"/>
        <i val="0"/>
        <strike val="0"/>
        <u val="none"/>
        <sz val="11"/>
        <color theme="1"/>
      </font>
      <numFmt numFmtId="180" formatCode="yyyy/mm/dd"/>
      <fill>
        <patternFill patternType="none"/>
      </fill>
    </dxf>
    <dxf>
      <font>
        <name val="Calibri"/>
        <scheme val="none"/>
        <charset val="134"/>
        <family val="0"/>
        <b val="0"/>
        <i val="0"/>
        <strike val="0"/>
        <u val="none"/>
        <sz val="11"/>
        <color theme="1"/>
      </font>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PivotStylePreset2_Accent1" table="0" count="10" xr9:uid="{267968C8-6FFD-4C36-ACC1-9EA1FD1885CA}">
      <tableStyleElement type="headerRow" dxfId="44"/>
      <tableStyleElement type="totalRow" dxfId="43"/>
      <tableStyleElement type="firstRowStripe" dxfId="42"/>
      <tableStyleElement type="firstColumnStripe" dxfId="41"/>
      <tableStyleElement type="firstSubtotalRow" dxfId="40"/>
      <tableStyleElement type="secondSubtotalRow" dxfId="39"/>
      <tableStyleElement type="firstRowSubheading" dxfId="38"/>
      <tableStyleElement type="secondRowSubheading" dxfId="37"/>
      <tableStyleElement type="pageFieldLabels" dxfId="36"/>
      <tableStyleElement type="pageFieldValues" dxfId="3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microsoft.com/office/2007/relationships/slicerCache" Target="slicerCaches/slicerCache3.xml"/><Relationship Id="rId10" Type="http://schemas.microsoft.com/office/2007/relationships/slicerCache" Target="slicerCaches/slicerCache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 Sales by region!PivotTable1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Sales by Region</a:t>
            </a:r>
            <a:endParaRPr lang="en-IN" altLang="en-US"/>
          </a:p>
          <a:p>
            <a:pPr defTabSz="914400">
              <a:defRPr lang="en-US" sz="1400" b="1" i="0" u="none" strike="noStrike" kern="1200" baseline="0">
                <a:solidFill>
                  <a:schemeClr val="tx1">
                    <a:lumMod val="75000"/>
                    <a:lumOff val="25000"/>
                  </a:schemeClr>
                </a:solidFill>
                <a:latin typeface="+mn-lt"/>
                <a:ea typeface="+mn-ea"/>
                <a:cs typeface="+mn-cs"/>
              </a:defRPr>
            </a:pPr>
            <a:endParaRPr lang="en-IN" altLang="en-US"/>
          </a:p>
        </c:rich>
      </c:tx>
      <c:layout/>
      <c:overlay val="0"/>
      <c:spPr>
        <a:noFill/>
        <a:ln>
          <a:noFill/>
        </a:ln>
        <a:effectLst/>
      </c:spPr>
    </c:title>
    <c:autoTitleDeleted val="0"/>
    <c:plotArea>
      <c:layout/>
      <c:barChart>
        <c:barDir val="col"/>
        <c:grouping val="clustered"/>
        <c:varyColors val="0"/>
        <c:ser>
          <c:idx val="0"/>
          <c:order val="0"/>
          <c:tx>
            <c:strRef>
              <c:f>' Sales by region'!$B$3</c:f>
              <c:strCache>
                <c:ptCount val="1"/>
                <c:pt idx="0">
                  <c:v>Total</c:v>
                </c:pt>
              </c:strCache>
            </c:strRef>
          </c:tx>
          <c:spPr>
            <a:solidFill>
              <a:schemeClr val="accent1"/>
            </a:solidFill>
            <a:ln>
              <a:noFill/>
            </a:ln>
            <a:effectLst/>
          </c:spPr>
          <c:invertIfNegative val="0"/>
          <c:dLbls>
            <c:delete val="1"/>
          </c:dLbls>
          <c:trendline>
            <c:spPr>
              <a:ln w="19050" cap="rnd">
                <a:solidFill>
                  <a:schemeClr val="accent1"/>
                </a:solidFill>
                <a:prstDash val="sysDot"/>
              </a:ln>
              <a:effectLst/>
            </c:spPr>
            <c:trendlineType val="linear"/>
            <c:dispRSqr val="0"/>
            <c:dispEq val="0"/>
          </c:trendline>
          <c:cat>
            <c:strRef>
              <c:f>' Sales by region'!$A$4:$A$9</c:f>
              <c:strCache>
                <c:ptCount val="5"/>
                <c:pt idx="0">
                  <c:v>Central</c:v>
                </c:pt>
                <c:pt idx="1">
                  <c:v>East</c:v>
                </c:pt>
                <c:pt idx="2">
                  <c:v>North</c:v>
                </c:pt>
                <c:pt idx="3">
                  <c:v>South</c:v>
                </c:pt>
                <c:pt idx="4">
                  <c:v>West</c:v>
                </c:pt>
              </c:strCache>
            </c:strRef>
          </c:cat>
          <c:val>
            <c:numRef>
              <c:f>' Sales by region'!$B$4:$B$9</c:f>
              <c:numCache>
                <c:formatCode>General</c:formatCode>
                <c:ptCount val="5"/>
                <c:pt idx="0">
                  <c:v>7685.16</c:v>
                </c:pt>
                <c:pt idx="1">
                  <c:v>4646.71</c:v>
                </c:pt>
                <c:pt idx="2">
                  <c:v>7820.03</c:v>
                </c:pt>
                <c:pt idx="3">
                  <c:v>11392.59</c:v>
                </c:pt>
                <c:pt idx="4">
                  <c:v>9176.52</c:v>
                </c:pt>
              </c:numCache>
            </c:numRef>
          </c:val>
        </c:ser>
        <c:dLbls>
          <c:showLegendKey val="0"/>
          <c:showVal val="0"/>
          <c:showCatName val="0"/>
          <c:showSerName val="0"/>
          <c:showPercent val="0"/>
          <c:showBubbleSize val="0"/>
        </c:dLbls>
        <c:gapWidth val="246"/>
        <c:overlap val="-28"/>
        <c:axId val="990878258"/>
        <c:axId val="327628074"/>
      </c:barChart>
      <c:catAx>
        <c:axId val="9908782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27628074"/>
        <c:crosses val="autoZero"/>
        <c:auto val="1"/>
        <c:lblAlgn val="ctr"/>
        <c:lblOffset val="100"/>
        <c:noMultiLvlLbl val="0"/>
      </c:catAx>
      <c:valAx>
        <c:axId val="32762807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087825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df73105-cd00-4789-b8b7-0e6c3b6d99d8}"/>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Analyzer.xlsx]Monthly sales and profit!PivotTable1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Profit Per Month</a:t>
            </a:r>
            <a:endParaRPr lang="en-IN" altLang="en-US"/>
          </a:p>
        </c:rich>
      </c:tx>
      <c:layout/>
      <c:overlay val="0"/>
      <c:spPr>
        <a:noFill/>
        <a:ln>
          <a:noFill/>
        </a:ln>
        <a:effectLst/>
      </c:spPr>
    </c:title>
    <c:autoTitleDeleted val="0"/>
    <c:plotArea>
      <c:layout/>
      <c:lineChart>
        <c:grouping val="standard"/>
        <c:varyColors val="0"/>
        <c:ser>
          <c:idx val="0"/>
          <c:order val="0"/>
          <c:tx>
            <c:strRef>
              <c:f>'Monthly sales and profit'!$C$3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multiLvlStrRef>
              <c:f>'Monthly sales and profit'!$A$4:$B$28</c:f>
              <c:multiLvlStrCache>
                <c:ptCount val="12"/>
                <c:lvl>
                  <c:pt idx="0">
                    <c:v>22242.13</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lvl>
                <c:lvl>
                  <c:pt idx="0">
                    <c:v>Apr</c:v>
                  </c:pt>
                  <c:pt idx="1">
                    <c:v>May</c:v>
                  </c:pt>
                  <c:pt idx="2">
                    <c:v>Jun</c:v>
                  </c:pt>
                  <c:pt idx="3">
                    <c:v>Jul</c:v>
                  </c:pt>
                  <c:pt idx="4">
                    <c:v>Aug</c:v>
                  </c:pt>
                  <c:pt idx="5">
                    <c:v>Sep</c:v>
                  </c:pt>
                  <c:pt idx="6">
                    <c:v>Oct</c:v>
                  </c:pt>
                  <c:pt idx="7">
                    <c:v>Nov</c:v>
                  </c:pt>
                  <c:pt idx="8">
                    <c:v>Dec</c:v>
                  </c:pt>
                  <c:pt idx="9">
                    <c:v>Jan</c:v>
                  </c:pt>
                  <c:pt idx="10">
                    <c:v>Feb</c:v>
                  </c:pt>
                  <c:pt idx="11">
                    <c:v>Mar</c:v>
                  </c:pt>
                </c:lvl>
              </c:multiLvlStrCache>
            </c:multiLvlStrRef>
          </c:cat>
          <c:val>
            <c:numRef>
              <c:f>'Monthly sales and profit'!$C$4:$C$28</c:f>
              <c:numCache>
                <c:formatCode>General</c:formatCode>
                <c:ptCount val="12"/>
                <c:pt idx="0">
                  <c:v>7642.31</c:v>
                </c:pt>
                <c:pt idx="1">
                  <c:v>6121.35</c:v>
                </c:pt>
                <c:pt idx="2">
                  <c:v>6918</c:v>
                </c:pt>
                <c:pt idx="3">
                  <c:v>3743.85</c:v>
                </c:pt>
                <c:pt idx="4">
                  <c:v>3302.84</c:v>
                </c:pt>
                <c:pt idx="5">
                  <c:v>7457.52</c:v>
                </c:pt>
                <c:pt idx="6">
                  <c:v>4861.7</c:v>
                </c:pt>
                <c:pt idx="7">
                  <c:v>6814.88</c:v>
                </c:pt>
                <c:pt idx="8">
                  <c:v>3549.99</c:v>
                </c:pt>
                <c:pt idx="9">
                  <c:v>5763.4</c:v>
                </c:pt>
                <c:pt idx="10">
                  <c:v>5039.23</c:v>
                </c:pt>
                <c:pt idx="11">
                  <c:v>7071.39</c:v>
                </c:pt>
              </c:numCache>
            </c:numRef>
          </c:val>
          <c:smooth val="0"/>
        </c:ser>
        <c:dLbls>
          <c:showLegendKey val="0"/>
          <c:showVal val="0"/>
          <c:showCatName val="0"/>
          <c:showSerName val="0"/>
          <c:showPercent val="0"/>
          <c:showBubbleSize val="0"/>
        </c:dLbls>
        <c:marker val="1"/>
        <c:smooth val="0"/>
        <c:axId val="618431620"/>
        <c:axId val="247211862"/>
      </c:lineChart>
      <c:catAx>
        <c:axId val="6184316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7211862"/>
        <c:crosses val="autoZero"/>
        <c:auto val="1"/>
        <c:lblAlgn val="ctr"/>
        <c:lblOffset val="100"/>
        <c:noMultiLvlLbl val="0"/>
      </c:catAx>
      <c:valAx>
        <c:axId val="24721186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843162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975c406-a84a-4623-b41c-3be24145aea0}"/>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Analyzer.xlsx]Sales by product!PivotTable1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US"/>
              <a:t>Sales by Product Category</a:t>
            </a:r>
            <a:endParaRPr lang="en-IN" altLang="en-US"/>
          </a:p>
        </c:rich>
      </c:tx>
      <c:layout/>
      <c:overlay val="0"/>
      <c:spPr>
        <a:noFill/>
        <a:ln>
          <a:noFill/>
        </a:ln>
        <a:effectLst/>
      </c:spPr>
    </c:title>
    <c:autoTitleDeleted val="0"/>
    <c:plotArea>
      <c:layout/>
      <c:pieChart>
        <c:varyColors val="1"/>
        <c:ser>
          <c:idx val="0"/>
          <c:order val="0"/>
          <c:tx>
            <c:strRef>
              <c:f>'Sales by product'!$B$3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product'!$A$4:$A$9</c:f>
              <c:strCache>
                <c:ptCount val="5"/>
                <c:pt idx="0">
                  <c:v>Books</c:v>
                </c:pt>
                <c:pt idx="1">
                  <c:v>Clothing</c:v>
                </c:pt>
                <c:pt idx="2">
                  <c:v>Electronics</c:v>
                </c:pt>
                <c:pt idx="3">
                  <c:v>Furniture</c:v>
                </c:pt>
                <c:pt idx="4">
                  <c:v>Office Supplies</c:v>
                </c:pt>
              </c:strCache>
            </c:strRef>
          </c:cat>
          <c:val>
            <c:numRef>
              <c:f>'Sales by product'!$B$4:$B$9</c:f>
              <c:numCache>
                <c:formatCode>General</c:formatCode>
                <c:ptCount val="5"/>
                <c:pt idx="0">
                  <c:v>5157.04</c:v>
                </c:pt>
                <c:pt idx="1">
                  <c:v>2586.98</c:v>
                </c:pt>
                <c:pt idx="2">
                  <c:v>4214.03</c:v>
                </c:pt>
                <c:pt idx="3">
                  <c:v>4420.07</c:v>
                </c:pt>
                <c:pt idx="4">
                  <c:v>3809.39</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a610824-1b8a-4870-ab39-9c7a230ff48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425450</xdr:colOff>
      <xdr:row>4</xdr:row>
      <xdr:rowOff>26670</xdr:rowOff>
    </xdr:from>
    <xdr:to>
      <xdr:col>8</xdr:col>
      <xdr:colOff>372110</xdr:colOff>
      <xdr:row>20</xdr:row>
      <xdr:rowOff>96520</xdr:rowOff>
    </xdr:to>
    <xdr:graphicFrame>
      <xdr:nvGraphicFramePr>
        <xdr:cNvPr id="2" name="Chart 1"/>
        <xdr:cNvGraphicFramePr/>
      </xdr:nvGraphicFramePr>
      <xdr:xfrm>
        <a:off x="425450" y="941070"/>
        <a:ext cx="4823460" cy="37274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113030</xdr:colOff>
      <xdr:row>4</xdr:row>
      <xdr:rowOff>33655</xdr:rowOff>
    </xdr:from>
    <xdr:to>
      <xdr:col>27</xdr:col>
      <xdr:colOff>62230</xdr:colOff>
      <xdr:row>20</xdr:row>
      <xdr:rowOff>80010</xdr:rowOff>
    </xdr:to>
    <xdr:graphicFrame>
      <xdr:nvGraphicFramePr>
        <xdr:cNvPr id="3" name="Chart 2"/>
        <xdr:cNvGraphicFramePr/>
      </xdr:nvGraphicFramePr>
      <xdr:xfrm>
        <a:off x="11695430" y="948055"/>
        <a:ext cx="4826000" cy="37039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415925</xdr:colOff>
      <xdr:row>4</xdr:row>
      <xdr:rowOff>45085</xdr:rowOff>
    </xdr:from>
    <xdr:to>
      <xdr:col>18</xdr:col>
      <xdr:colOff>69850</xdr:colOff>
      <xdr:row>20</xdr:row>
      <xdr:rowOff>71755</xdr:rowOff>
    </xdr:to>
    <xdr:graphicFrame>
      <xdr:nvGraphicFramePr>
        <xdr:cNvPr id="4" name="Chart 3"/>
        <xdr:cNvGraphicFramePr/>
      </xdr:nvGraphicFramePr>
      <xdr:xfrm>
        <a:off x="5902325" y="959485"/>
        <a:ext cx="5140325" cy="36842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537210</xdr:colOff>
      <xdr:row>21</xdr:row>
      <xdr:rowOff>154940</xdr:rowOff>
    </xdr:from>
    <xdr:to>
      <xdr:col>5</xdr:col>
      <xdr:colOff>536575</xdr:colOff>
      <xdr:row>32</xdr:row>
      <xdr:rowOff>63500</xdr:rowOff>
    </xdr:to>
    <mc:AlternateContent xmlns:mc="http://schemas.openxmlformats.org/markup-compatibility/2006">
      <mc:Choice xmlns:a14="http://schemas.microsoft.com/office/drawing/2010/main" Requires="a14">
        <xdr:graphicFrame>
          <xdr:nvGraphicFramePr>
            <xdr:cNvPr id="5" name="Month-Year "/>
            <xdr:cNvGraphicFramePr/>
          </xdr:nvGraphicFramePr>
          <xdr:xfrm>
            <a:off x="0" y="0"/>
            <a:ext cx="0" cy="0"/>
          </xdr:xfrm>
          <a:graphic>
            <a:graphicData uri="http://schemas.microsoft.com/office/drawing/2010/slicer">
              <sle:slicer xmlns:sle="http://schemas.microsoft.com/office/drawing/2010/slicer" name="Month-Year "/>
            </a:graphicData>
          </a:graphic>
        </xdr:graphicFrame>
      </mc:Choice>
      <mc:Fallback xmlns="">
        <xdr:sp macro="" textlink="">
          <xdr:nvSpPr>
            <xdr:cNvPr id="0" name=""/>
            <xdr:cNvSpPr>
              <a:spLocks noTextEdit="1"/>
            </xdr:cNvSpPr>
          </xdr:nvSpPr>
          <xdr:spPr>
            <a:xfrm>
              <a:off x="1756410" y="4955540"/>
              <a:ext cx="1828165" cy="24231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433070</xdr:colOff>
      <xdr:row>22</xdr:row>
      <xdr:rowOff>45085</xdr:rowOff>
    </xdr:from>
    <xdr:to>
      <xdr:col>14</xdr:col>
      <xdr:colOff>433070</xdr:colOff>
      <xdr:row>32</xdr:row>
      <xdr:rowOff>133985</xdr:rowOff>
    </xdr:to>
    <mc:AlternateContent xmlns:mc="http://schemas.openxmlformats.org/markup-compatibility/2006">
      <mc:Choice xmlns:a14="http://schemas.microsoft.com/office/drawing/2010/main" Requires="a14">
        <xdr:graphicFrame>
          <xdr:nvGraphicFramePr>
            <xdr:cNvPr id="6" name="Month-Year  1"/>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7138670" y="507428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22</xdr:col>
      <xdr:colOff>70485</xdr:colOff>
      <xdr:row>22</xdr:row>
      <xdr:rowOff>139065</xdr:rowOff>
    </xdr:from>
    <xdr:to>
      <xdr:col>25</xdr:col>
      <xdr:colOff>70485</xdr:colOff>
      <xdr:row>32</xdr:row>
      <xdr:rowOff>227965</xdr:rowOff>
    </xdr:to>
    <mc:AlternateContent xmlns:mc="http://schemas.openxmlformats.org/markup-compatibility/2006">
      <mc:Choice xmlns:a14="http://schemas.microsoft.com/office/drawing/2010/main" Requires="a14">
        <xdr:graphicFrame>
          <xdr:nvGraphicFramePr>
            <xdr:cNvPr id="8" name="Month-Year  2"/>
            <xdr:cNvGraphicFramePr/>
          </xdr:nvGraphicFramePr>
          <xdr:xfrm>
            <a:off x="0" y="0"/>
            <a:ext cx="0" cy="0"/>
          </xdr:xfrm>
          <a:graphic>
            <a:graphicData uri="http://schemas.microsoft.com/office/drawing/2010/slicer">
              <sle:slicer xmlns:sle="http://schemas.microsoft.com/office/drawing/2010/slicer" name="Month-Year  2"/>
            </a:graphicData>
          </a:graphic>
        </xdr:graphicFrame>
      </mc:Choice>
      <mc:Fallback xmlns="">
        <xdr:sp macro="" textlink="">
          <xdr:nvSpPr>
            <xdr:cNvPr id="0" name=""/>
            <xdr:cNvSpPr>
              <a:spLocks noTextEdit="1"/>
            </xdr:cNvSpPr>
          </xdr:nvSpPr>
          <xdr:spPr>
            <a:xfrm>
              <a:off x="13481685" y="516826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71.6579166667" refreshedBy="HP" recordCount="200">
  <cacheSource type="worksheet">
    <worksheetSource name="Pooja"/>
  </cacheSource>
  <cacheFields count="15">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9"/>
        <n v="1101.28"/>
        <n v="713.34"/>
        <n v="760.93"/>
        <n v="847"/>
        <n v="965.64"/>
        <n v="1317.53"/>
        <n v="1074.47"/>
        <n v="501.54"/>
        <n v="737.31"/>
        <n v="1572.82"/>
        <n v="1343.13"/>
        <n v="1191.58"/>
        <n v="822.28"/>
        <n v="521.67"/>
        <n v="1502.93"/>
        <n v="877.58"/>
        <n v="636.7"/>
        <n v="1506.14"/>
        <n v="645.02"/>
        <n v="953.3"/>
        <n v="388.56"/>
        <n v="743.17"/>
        <n v="706.37"/>
        <n v="925.31"/>
        <n v="1173.12"/>
        <n v="675.54"/>
        <n v="939.09"/>
        <n v="983.34"/>
        <n v="801.21"/>
        <n v="1450.71"/>
        <n v="1023.21"/>
        <n v="853.72"/>
        <n v="967.89"/>
        <n v="1200.9"/>
        <n v="472.38"/>
        <n v="840.92"/>
        <n v="1410.06"/>
        <n v="773.09"/>
        <n v="580.43"/>
        <n v="1151.21"/>
        <n v="1025.98"/>
        <n v="556.42"/>
        <n v="840.85"/>
        <n v="1227.25"/>
        <n v="856.7"/>
        <n v="1225.42"/>
        <n v="1001.57"/>
        <n v="1186.85"/>
        <n v="775.45"/>
        <n v="1021.47"/>
        <n v="1226.62"/>
        <n v="1086.93"/>
        <n v="942.9"/>
        <n v="818.8"/>
        <n v="919.04"/>
        <n v="973.26"/>
        <n v="741.61"/>
        <n v="1248.82"/>
        <n v="1360.36"/>
        <n v="1383.3"/>
        <n v="488.99"/>
        <n v="933.71"/>
        <n v="1005.53"/>
        <n v="1100.1"/>
        <n v="1034.7"/>
        <n v="876.44"/>
        <n v="1371.34"/>
        <n v="1020.26"/>
        <n v="804.81"/>
        <n v="608.66"/>
        <n v="981.2"/>
        <n v="539.77"/>
        <n v="804.45"/>
        <n v="1526.6"/>
        <n v="1215.26"/>
        <n v="1261.34"/>
        <n v="518.07"/>
        <n v="1111.34"/>
        <n v="1291.47"/>
        <n v="679.71"/>
        <n v="1143.69"/>
        <n v="790.08"/>
        <n v="1070.68"/>
        <n v="1168.89"/>
        <n v="1335.87"/>
        <n v="873.7"/>
        <n v="1443.98"/>
        <n v="1154.33"/>
        <n v="1264.49"/>
        <n v="1101.55"/>
        <n v="727.73"/>
        <n v="875.41"/>
        <n v="1158.94"/>
        <n v="966.3"/>
        <n v="917.48"/>
        <n v="1172.97"/>
        <n v="1205.82"/>
        <n v="826.93"/>
        <n v="902.19"/>
        <n v="585.97"/>
        <n v="990.19"/>
        <n v="1014.09"/>
        <n v="925.29"/>
        <n v="1286.54"/>
        <n v="961.62"/>
        <n v="1081.14"/>
        <n v="1923.66"/>
        <n v="728.71"/>
        <n v="1301.89"/>
        <n v="980.18"/>
        <n v="697.57"/>
        <n v="1193.61"/>
        <n v="771.02"/>
        <n v="661.09"/>
        <n v="688.83"/>
        <n v="1249.1"/>
        <n v="1014.22"/>
        <n v="1010.58"/>
        <n v="957.29"/>
        <n v="1077.92"/>
        <n v="1163.01"/>
        <n v="1014.56"/>
        <n v="718.04"/>
        <n v="1277.85"/>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4"/>
        <n v="1622.62"/>
        <n v="640.64"/>
        <n v="585.16"/>
        <n v="1109.98"/>
        <n v="1098.08"/>
        <n v="827.25"/>
        <n v="741.88"/>
        <n v="1311.26"/>
        <n v="573.32"/>
        <n v="1115.22"/>
        <n v="845.84"/>
        <n v="1029.8"/>
        <n v="1189.83"/>
        <n v="704.28"/>
        <n v="1618.22"/>
        <n v="1014.43"/>
        <n v="826.97"/>
        <n v="1022.23"/>
        <n v="1099.69"/>
        <n v="710.52"/>
        <n v="499.18"/>
        <n v="1064.19"/>
        <n v="438.76"/>
        <n v="864.98"/>
        <n v="984.93"/>
        <n v="1493.49"/>
        <n v="689.43"/>
        <n v="682.24"/>
        <n v="458.54"/>
        <n v="1184.25"/>
        <n v="762.14"/>
        <n v="750.71"/>
        <n v="1456.94"/>
        <n v="1093.38"/>
        <n v="934.27"/>
        <n v="1465.35"/>
        <n v="740.8"/>
        <n v="545.44"/>
        <n v="997.61"/>
        <n v="928.32"/>
      </sharedItems>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Discount" numFmtId="0">
      <sharedItems containsNumber="1" containsMixedTypes="1" count="4">
        <n v="0.05"/>
        <n v="0.1"/>
        <b v="0"/>
        <n v="0"/>
      </sharedItems>
    </cacheField>
    <cacheField name="Order_Date" numFmtId="180">
      <sharedItems containsSemiMixedTypes="0" containsString="0" containsNonDate="0" containsDate="1" minDate="2024-04-10T00:00:00" maxDate="2025-04-07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Month-Year " numFmtId="0">
      <sharedItems count="12">
        <s v="Apr"/>
        <s v="May"/>
        <s v="Jun"/>
        <s v="Jul"/>
        <s v="Aug"/>
        <s v="Sep"/>
        <s v="Oct"/>
        <s v="Nov"/>
        <s v="Dec"/>
        <s v="Jan"/>
        <s v="Feb"/>
        <s v="Mar"/>
      </sharedItems>
    </cacheField>
    <cacheField name="Total Sales per Month" numFmtId="0">
      <sharedItems containsSemiMixedTypes="0" containsString="0" containsNumber="1" minValue="10091.7" maxValue="22242.13" count="12">
        <n v="22242.13"/>
        <n v="18507.34"/>
        <n v="20187.51"/>
        <n v="11609.04"/>
        <n v="10091.7"/>
        <n v="20533.5"/>
        <n v="14215.24"/>
        <n v="20135.03"/>
        <n v="11120.04"/>
        <n v="14914.65"/>
        <n v="14006.36"/>
        <n v="17655.22"/>
      </sharedItems>
    </cacheField>
    <cacheField name="Monthly Growth%" numFmtId="10">
      <sharedItems containsSemiMixedTypes="0" containsString="0" containsNumber="1" minValue="-0.447726673364778" maxValue="1.03469187550165" count="13">
        <n v="0"/>
        <n v="-0.167915123236848"/>
        <n v="0.0907839808421957"/>
        <n v="-0.42493947990614"/>
        <n v="-0.130703313969114"/>
        <n v="1.03469187550165"/>
        <n v="-0.307704969927192"/>
        <n v="0.416439680230513"/>
        <n v="-0.447726673364778"/>
        <n v="0.341240678990363"/>
        <n v="-0.0608991830180395"/>
        <n v="0.260514509122998"/>
        <n v="0.259804748963763"/>
      </sharedItems>
    </cacheField>
    <cacheField name="TimeStamp" numFmtId="181">
      <sharedItems containsSemiMixedTypes="0" containsString="0" containsNonDate="0" containsDate="1" minDate="2025-11-10T15:47:03" maxDate="2025-11-10T15:47:03" count="1">
        <d v="2025-11-10T15:47:03"/>
      </sharedItems>
    </cacheField>
    <cacheField name="Cost" numFmtId="0">
      <sharedItems containsSemiMixedTypes="0" containsString="0" containsNumber="1" minValue="193.88" maxValue="1344.97" count="200">
        <n v="705.09"/>
        <n v="660.77"/>
        <n v="428"/>
        <n v="599.23"/>
        <n v="575.96"/>
        <n v="661.46"/>
        <n v="1004.62"/>
        <n v="773.62"/>
        <n v="310.95"/>
        <n v="387.09"/>
        <n v="900.44"/>
        <n v="886.47"/>
        <n v="738.78"/>
        <n v="548.87"/>
        <n v="366.47"/>
        <n v="1202.34"/>
        <n v="579.2"/>
        <n v="432.96"/>
        <n v="1024.18"/>
        <n v="483.76"/>
        <n v="476.65"/>
        <n v="305.99"/>
        <n v="445.9"/>
        <n v="529.78"/>
        <n v="550.56"/>
        <n v="879.84"/>
        <n v="439.1"/>
        <n v="582.24"/>
        <n v="585.09"/>
        <n v="640.97"/>
        <n v="1124.3"/>
        <n v="634.39"/>
        <n v="599.74"/>
        <n v="750.11"/>
        <n v="687.52"/>
        <n v="321.22"/>
        <n v="481.43"/>
        <n v="941.22"/>
        <n v="543.1"/>
        <n v="383.08"/>
        <n v="736.77"/>
        <n v="656.63"/>
        <n v="343.59"/>
        <n v="538.14"/>
        <n v="862.14"/>
        <n v="642.52"/>
        <n v="756.7"/>
        <n v="550.86"/>
        <n v="854.53"/>
        <n v="600.97"/>
        <n v="778.87"/>
        <n v="674.64"/>
        <n v="706.5"/>
        <n v="603.46"/>
        <n v="644.81"/>
        <n v="661.71"/>
        <n v="583.96"/>
        <n v="593.29"/>
        <n v="799.24"/>
        <n v="680.18"/>
        <n v="885.31"/>
        <n v="268.94"/>
        <n v="639.59"/>
        <n v="804.42"/>
        <n v="838.83"/>
        <n v="726.88"/>
        <n v="543.39"/>
        <n v="915.37"/>
        <n v="777.95"/>
        <n v="460.75"/>
        <n v="464.1"/>
        <n v="539.66"/>
        <n v="425.07"/>
        <n v="547.03"/>
        <n v="1221.28"/>
        <n v="957.02"/>
        <n v="819.87"/>
        <n v="345.81"/>
        <n v="611.24"/>
        <n v="710.31"/>
        <n v="407.83"/>
        <n v="743.4"/>
        <n v="612.31"/>
        <n v="663.82"/>
        <n v="642.89"/>
        <n v="1001.9"/>
        <n v="567.9"/>
        <n v="794.19"/>
        <n v="712.8"/>
        <n v="783.98"/>
        <n v="754.56"/>
        <n v="498.5"/>
        <n v="540.57"/>
        <n v="927.15"/>
        <n v="637.76"/>
        <n v="550.49"/>
        <n v="824.01"/>
        <n v="663.2"/>
        <n v="529.24"/>
        <n v="451.09"/>
        <n v="375.02"/>
        <n v="544.6"/>
        <n v="811.27"/>
        <n v="693.97"/>
        <n v="836.25"/>
        <n v="653.9"/>
        <n v="713.55"/>
        <n v="1154.2"/>
        <n v="400.79"/>
        <n v="748.59"/>
        <n v="627.32"/>
        <n v="383.66"/>
        <n v="838.51"/>
        <n v="578.26"/>
        <n v="396.65"/>
        <n v="516.62"/>
        <n v="774.44"/>
        <n v="580.64"/>
        <n v="666.98"/>
        <n v="638.99"/>
        <n v="719.51"/>
        <n v="581.51"/>
        <n v="603.66"/>
        <n v="538.53"/>
        <n v="766.71"/>
        <n v="556.55"/>
        <n v="1057.94"/>
        <n v="877.71"/>
        <n v="723.85"/>
        <n v="193.88"/>
        <n v="752.36"/>
        <n v="713.17"/>
        <n v="584.89"/>
        <n v="795.78"/>
        <n v="715.64"/>
        <n v="477.41"/>
        <n v="590.54"/>
        <n v="390.2"/>
        <n v="538.03"/>
        <n v="1006.31"/>
        <n v="1172.26"/>
        <n v="738.76"/>
        <n v="929.34"/>
        <n v="222.26"/>
        <n v="913.92"/>
        <n v="202"/>
        <n v="866.43"/>
        <n v="347.87"/>
        <n v="198.03"/>
        <n v="566.16"/>
        <n v="443.3"/>
        <n v="456.87"/>
        <n v="575.51"/>
        <n v="614.87"/>
        <n v="722.37"/>
        <n v="1344.97"/>
        <n v="199.38"/>
        <n v="591.98"/>
        <n v="687.89"/>
        <n v="671"/>
        <n v="973.57"/>
        <n v="435.64"/>
        <n v="321.84"/>
        <n v="665.99"/>
        <n v="702.77"/>
        <n v="492.21"/>
        <n v="408.03"/>
        <n v="780.2"/>
        <n v="341.13"/>
        <n v="892.18"/>
        <n v="422.92"/>
        <n v="772.35"/>
        <n v="809.08"/>
        <n v="478.91"/>
        <n v="1035.66"/>
        <n v="669.52"/>
        <n v="496.18"/>
        <n v="562.23"/>
        <n v="659.81"/>
        <n v="454.73"/>
        <n v="339.44"/>
        <n v="659.8"/>
        <n v="251.19"/>
        <n v="454.11"/>
        <n v="709.15"/>
        <n v="746.75"/>
        <n v="379.19"/>
        <n v="341.12"/>
        <n v="366.83"/>
        <n v="852.66"/>
        <n v="381.07"/>
        <n v="495.47"/>
        <n v="764.89"/>
        <n v="748.97"/>
        <n v="537.21"/>
        <n v="879.21"/>
        <n v="407.44"/>
        <n v="299.99"/>
        <n v="618.52"/>
        <n v="487.37"/>
      </sharedItems>
    </cacheField>
    <cacheField name="Profit" numFmtId="0">
      <sharedItems containsSemiMixedTypes="0" containsString="0" containsNumber="1" minValue="64.63" maxValue="769.46" count="200">
        <n v="331"/>
        <n v="440.51"/>
        <n v="285.34"/>
        <n v="161.7"/>
        <n v="271.04"/>
        <n v="304.18"/>
        <n v="312.91"/>
        <n v="300.85"/>
        <n v="190.59"/>
        <n v="350.22"/>
        <n v="672.38"/>
        <n v="456.66"/>
        <n v="452.8"/>
        <n v="273.41"/>
        <n v="155.2"/>
        <n v="300.59"/>
        <n v="298.38"/>
        <n v="203.74"/>
        <n v="481.96"/>
        <n v="161.26"/>
        <n v="476.65"/>
        <n v="82.57"/>
        <n v="297.27"/>
        <n v="176.59"/>
        <n v="374.75"/>
        <n v="293.28"/>
        <n v="236.44"/>
        <n v="356.85"/>
        <n v="398.25"/>
        <n v="160.24"/>
        <n v="326.41"/>
        <n v="388.82"/>
        <n v="253.98"/>
        <n v="217.78"/>
        <n v="513.38"/>
        <n v="151.16"/>
        <n v="359.49"/>
        <n v="468.84"/>
        <n v="229.99"/>
        <n v="197.35"/>
        <n v="414.44"/>
        <n v="369.35"/>
        <n v="212.83"/>
        <n v="302.71"/>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
        <n v="367.59"/>
        <n v="769.46"/>
        <n v="327.92"/>
        <n v="553.3"/>
        <n v="352.86"/>
        <n v="313.91"/>
        <n v="355.1"/>
        <n v="192.76"/>
        <n v="264.44"/>
        <n v="172.21"/>
        <n v="474.66"/>
        <n v="433.58"/>
        <n v="343.6"/>
        <n v="318.3"/>
        <n v="358.41"/>
        <n v="581.5"/>
        <n v="410.9"/>
        <n v="179.51"/>
        <n v="511.14"/>
        <n v="150.18"/>
        <n v="352.65"/>
        <n v="472.62"/>
        <n v="195.33"/>
        <n v="64.63"/>
        <n v="461.12"/>
        <n v="437.11"/>
        <n v="268.97"/>
        <n v="265.26"/>
        <n v="178.91"/>
        <n v="356.5"/>
        <n v="229.65"/>
        <n v="121.54"/>
        <n v="268"/>
        <n v="426.16"/>
        <n v="316.32"/>
        <n v="492.5"/>
        <n v="232.33"/>
        <n v="165.97"/>
        <n v="675.5"/>
        <n v="134.66"/>
        <n v="487.36"/>
        <n v="314.74"/>
        <n v="111.39"/>
        <n v="318.47"/>
        <n v="301.75"/>
        <n v="413.36"/>
        <n v="286.68"/>
        <n v="556.31"/>
        <n v="332.19"/>
        <n v="336.24"/>
        <n v="180.39"/>
        <n v="484.35"/>
        <n v="562.82"/>
        <n v="447.34"/>
        <n v="649.05"/>
        <n v="205"/>
        <n v="263.32"/>
        <n v="443.99"/>
        <n v="395.31"/>
        <n v="335.04"/>
        <n v="333.85"/>
        <n v="531.06"/>
        <n v="232.19"/>
        <n v="223.04"/>
        <n v="422.92"/>
        <n v="257.45"/>
        <n v="380.75"/>
        <n v="225.37"/>
        <n v="582.56"/>
        <n v="344.91"/>
        <n v="330.79"/>
        <n v="460"/>
        <n v="439.88"/>
        <n v="255.79"/>
        <n v="159.74"/>
        <n v="404.39"/>
        <n v="187.57"/>
        <n v="410.87"/>
        <n v="275.78"/>
        <n v="746.74"/>
        <n v="310.24"/>
        <n v="341.12"/>
        <n v="91.71"/>
        <n v="331.59"/>
        <n v="381.07"/>
        <n v="255.24"/>
        <n v="692.05"/>
        <n v="344.41"/>
        <n v="397.06"/>
        <n v="586.14"/>
        <n v="333.36"/>
        <n v="245.45"/>
        <n v="379.09"/>
        <n v="440.95"/>
      </sharedItems>
    </cacheField>
    <cacheField name="profit after dis" numFmtId="0">
      <sharedItems containsSemiMixedTypes="0" containsString="0" containsNumber="1" minValue="64.63" maxValue="769.46" count="200">
        <n v="314.45"/>
        <n v="396.459"/>
        <n v="285.34"/>
        <n v="161.7"/>
        <n v="271.04"/>
        <n v="304.18"/>
        <n v="312.91"/>
        <n v="300.85"/>
        <n v="190.59"/>
        <n v="350.22"/>
        <n v="672.38"/>
        <n v="456.66"/>
        <n v="452.8"/>
        <n v="273.41"/>
        <n v="155.2"/>
        <n v="300.59"/>
        <n v="298.38"/>
        <n v="203.74"/>
        <n v="481.96"/>
        <n v="161.26"/>
        <n v="476.65"/>
        <n v="82.57"/>
        <n v="297.27"/>
        <n v="176.59"/>
        <n v="374.75"/>
        <n v="293.28"/>
        <n v="236.44"/>
        <n v="356.85"/>
        <n v="398.25"/>
        <n v="160.24"/>
        <n v="326.41"/>
        <n v="388.82"/>
        <n v="253.98"/>
        <n v="217.78"/>
        <n v="513.38"/>
        <n v="151.16"/>
        <n v="359.49"/>
        <n v="468.84"/>
        <n v="229.99"/>
        <n v="197.35"/>
        <n v="414.44"/>
        <n v="369.35"/>
        <n v="212.83"/>
        <n v="302.71"/>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
        <n v="367.59"/>
        <n v="769.46"/>
        <n v="327.92"/>
        <n v="553.3"/>
        <n v="352.86"/>
        <n v="313.91"/>
        <n v="355.1"/>
        <n v="192.76"/>
        <n v="264.44"/>
        <n v="172.21"/>
        <n v="474.66"/>
        <n v="433.58"/>
        <n v="343.6"/>
        <n v="318.3"/>
        <n v="358.41"/>
        <n v="581.5"/>
        <n v="410.9"/>
        <n v="179.51"/>
        <n v="511.14"/>
        <n v="150.18"/>
        <n v="352.65"/>
        <n v="472.62"/>
        <n v="195.33"/>
        <n v="64.63"/>
        <n v="461.12"/>
        <n v="437.11"/>
        <n v="268.97"/>
        <n v="265.26"/>
        <n v="178.91"/>
        <n v="356.5"/>
        <n v="229.65"/>
        <n v="121.54"/>
        <n v="268"/>
        <n v="426.16"/>
        <n v="316.32"/>
        <n v="492.5"/>
        <n v="232.33"/>
        <n v="165.97"/>
        <n v="675.5"/>
        <n v="134.66"/>
        <n v="487.36"/>
        <n v="314.74"/>
        <n v="111.39"/>
        <n v="318.47"/>
        <n v="301.75"/>
        <n v="413.36"/>
        <n v="286.68"/>
        <n v="556.31"/>
        <n v="332.19"/>
        <n v="336.24"/>
        <n v="180.39"/>
        <n v="484.35"/>
        <n v="562.82"/>
        <n v="447.34"/>
        <n v="649.05"/>
        <n v="205"/>
        <n v="263.32"/>
        <n v="443.99"/>
        <n v="395.31"/>
        <n v="335.04"/>
        <n v="333.85"/>
        <n v="531.06"/>
        <n v="232.19"/>
        <n v="223.04"/>
        <n v="422.92"/>
        <n v="257.45"/>
        <n v="380.75"/>
        <n v="225.37"/>
        <n v="582.56"/>
        <n v="344.91"/>
        <n v="330.79"/>
        <n v="460"/>
        <n v="439.88"/>
        <n v="255.79"/>
        <n v="159.74"/>
        <n v="404.39"/>
        <n v="187.57"/>
        <n v="410.87"/>
        <n v="275.78"/>
        <n v="746.74"/>
        <n v="310.24"/>
        <n v="341.12"/>
        <n v="91.71"/>
        <n v="331.59"/>
        <n v="381.07"/>
        <n v="255.24"/>
        <n v="692.05"/>
        <n v="344.41"/>
        <n v="397.06"/>
        <n v="586.14"/>
        <n v="333.36"/>
        <n v="245.45"/>
        <n v="379.09"/>
        <n v="440.9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x v="0"/>
    <x v="0"/>
    <x v="0"/>
    <x v="0"/>
    <x v="0"/>
    <x v="0"/>
    <x v="0"/>
    <x v="0"/>
    <x v="0"/>
    <x v="0"/>
  </r>
  <r>
    <x v="1"/>
    <x v="1"/>
    <x v="0"/>
    <x v="1"/>
    <x v="1"/>
    <x v="1"/>
    <x v="1"/>
    <x v="1"/>
    <x v="0"/>
    <x v="0"/>
    <x v="0"/>
    <x v="0"/>
    <x v="1"/>
    <x v="1"/>
    <x v="1"/>
  </r>
  <r>
    <x v="2"/>
    <x v="2"/>
    <x v="1"/>
    <x v="0"/>
    <x v="2"/>
    <x v="2"/>
    <x v="2"/>
    <x v="2"/>
    <x v="0"/>
    <x v="0"/>
    <x v="0"/>
    <x v="0"/>
    <x v="2"/>
    <x v="2"/>
    <x v="2"/>
  </r>
  <r>
    <x v="3"/>
    <x v="1"/>
    <x v="2"/>
    <x v="2"/>
    <x v="3"/>
    <x v="0"/>
    <x v="2"/>
    <x v="2"/>
    <x v="0"/>
    <x v="0"/>
    <x v="0"/>
    <x v="0"/>
    <x v="3"/>
    <x v="3"/>
    <x v="3"/>
  </r>
  <r>
    <x v="4"/>
    <x v="3"/>
    <x v="3"/>
    <x v="0"/>
    <x v="4"/>
    <x v="3"/>
    <x v="2"/>
    <x v="3"/>
    <x v="0"/>
    <x v="0"/>
    <x v="0"/>
    <x v="0"/>
    <x v="4"/>
    <x v="4"/>
    <x v="4"/>
  </r>
  <r>
    <x v="5"/>
    <x v="4"/>
    <x v="3"/>
    <x v="3"/>
    <x v="5"/>
    <x v="4"/>
    <x v="3"/>
    <x v="4"/>
    <x v="0"/>
    <x v="0"/>
    <x v="0"/>
    <x v="0"/>
    <x v="5"/>
    <x v="5"/>
    <x v="5"/>
  </r>
  <r>
    <x v="6"/>
    <x v="5"/>
    <x v="0"/>
    <x v="2"/>
    <x v="6"/>
    <x v="3"/>
    <x v="3"/>
    <x v="4"/>
    <x v="0"/>
    <x v="0"/>
    <x v="0"/>
    <x v="0"/>
    <x v="6"/>
    <x v="6"/>
    <x v="6"/>
  </r>
  <r>
    <x v="7"/>
    <x v="6"/>
    <x v="1"/>
    <x v="3"/>
    <x v="7"/>
    <x v="5"/>
    <x v="3"/>
    <x v="5"/>
    <x v="0"/>
    <x v="0"/>
    <x v="0"/>
    <x v="0"/>
    <x v="7"/>
    <x v="7"/>
    <x v="7"/>
  </r>
  <r>
    <x v="8"/>
    <x v="7"/>
    <x v="4"/>
    <x v="0"/>
    <x v="8"/>
    <x v="6"/>
    <x v="2"/>
    <x v="5"/>
    <x v="0"/>
    <x v="0"/>
    <x v="0"/>
    <x v="0"/>
    <x v="8"/>
    <x v="8"/>
    <x v="8"/>
  </r>
  <r>
    <x v="9"/>
    <x v="8"/>
    <x v="4"/>
    <x v="1"/>
    <x v="9"/>
    <x v="7"/>
    <x v="3"/>
    <x v="5"/>
    <x v="0"/>
    <x v="0"/>
    <x v="0"/>
    <x v="0"/>
    <x v="9"/>
    <x v="9"/>
    <x v="9"/>
  </r>
  <r>
    <x v="10"/>
    <x v="9"/>
    <x v="0"/>
    <x v="4"/>
    <x v="10"/>
    <x v="5"/>
    <x v="3"/>
    <x v="6"/>
    <x v="0"/>
    <x v="0"/>
    <x v="0"/>
    <x v="0"/>
    <x v="10"/>
    <x v="10"/>
    <x v="10"/>
  </r>
  <r>
    <x v="10"/>
    <x v="8"/>
    <x v="4"/>
    <x v="0"/>
    <x v="11"/>
    <x v="8"/>
    <x v="3"/>
    <x v="7"/>
    <x v="0"/>
    <x v="0"/>
    <x v="0"/>
    <x v="0"/>
    <x v="11"/>
    <x v="11"/>
    <x v="11"/>
  </r>
  <r>
    <x v="5"/>
    <x v="4"/>
    <x v="4"/>
    <x v="0"/>
    <x v="12"/>
    <x v="8"/>
    <x v="3"/>
    <x v="8"/>
    <x v="0"/>
    <x v="0"/>
    <x v="0"/>
    <x v="0"/>
    <x v="12"/>
    <x v="12"/>
    <x v="12"/>
  </r>
  <r>
    <x v="11"/>
    <x v="1"/>
    <x v="0"/>
    <x v="3"/>
    <x v="13"/>
    <x v="9"/>
    <x v="2"/>
    <x v="8"/>
    <x v="0"/>
    <x v="0"/>
    <x v="0"/>
    <x v="0"/>
    <x v="13"/>
    <x v="13"/>
    <x v="13"/>
  </r>
  <r>
    <x v="12"/>
    <x v="10"/>
    <x v="3"/>
    <x v="3"/>
    <x v="14"/>
    <x v="10"/>
    <x v="2"/>
    <x v="9"/>
    <x v="0"/>
    <x v="0"/>
    <x v="0"/>
    <x v="0"/>
    <x v="14"/>
    <x v="14"/>
    <x v="14"/>
  </r>
  <r>
    <x v="3"/>
    <x v="11"/>
    <x v="2"/>
    <x v="2"/>
    <x v="15"/>
    <x v="8"/>
    <x v="3"/>
    <x v="10"/>
    <x v="0"/>
    <x v="0"/>
    <x v="0"/>
    <x v="0"/>
    <x v="15"/>
    <x v="15"/>
    <x v="15"/>
  </r>
  <r>
    <x v="13"/>
    <x v="1"/>
    <x v="2"/>
    <x v="0"/>
    <x v="16"/>
    <x v="11"/>
    <x v="2"/>
    <x v="11"/>
    <x v="0"/>
    <x v="0"/>
    <x v="0"/>
    <x v="0"/>
    <x v="16"/>
    <x v="16"/>
    <x v="16"/>
  </r>
  <r>
    <x v="6"/>
    <x v="12"/>
    <x v="0"/>
    <x v="0"/>
    <x v="17"/>
    <x v="0"/>
    <x v="2"/>
    <x v="11"/>
    <x v="0"/>
    <x v="0"/>
    <x v="0"/>
    <x v="0"/>
    <x v="17"/>
    <x v="17"/>
    <x v="17"/>
  </r>
  <r>
    <x v="14"/>
    <x v="13"/>
    <x v="0"/>
    <x v="0"/>
    <x v="18"/>
    <x v="12"/>
    <x v="3"/>
    <x v="12"/>
    <x v="0"/>
    <x v="0"/>
    <x v="0"/>
    <x v="0"/>
    <x v="18"/>
    <x v="18"/>
    <x v="18"/>
  </r>
  <r>
    <x v="7"/>
    <x v="6"/>
    <x v="4"/>
    <x v="2"/>
    <x v="19"/>
    <x v="0"/>
    <x v="2"/>
    <x v="13"/>
    <x v="1"/>
    <x v="1"/>
    <x v="1"/>
    <x v="0"/>
    <x v="19"/>
    <x v="19"/>
    <x v="19"/>
  </r>
  <r>
    <x v="5"/>
    <x v="14"/>
    <x v="2"/>
    <x v="1"/>
    <x v="20"/>
    <x v="6"/>
    <x v="3"/>
    <x v="14"/>
    <x v="1"/>
    <x v="1"/>
    <x v="0"/>
    <x v="0"/>
    <x v="20"/>
    <x v="20"/>
    <x v="20"/>
  </r>
  <r>
    <x v="15"/>
    <x v="1"/>
    <x v="3"/>
    <x v="2"/>
    <x v="21"/>
    <x v="8"/>
    <x v="2"/>
    <x v="15"/>
    <x v="1"/>
    <x v="1"/>
    <x v="0"/>
    <x v="0"/>
    <x v="21"/>
    <x v="21"/>
    <x v="21"/>
  </r>
  <r>
    <x v="0"/>
    <x v="6"/>
    <x v="0"/>
    <x v="0"/>
    <x v="22"/>
    <x v="13"/>
    <x v="2"/>
    <x v="15"/>
    <x v="1"/>
    <x v="1"/>
    <x v="0"/>
    <x v="0"/>
    <x v="22"/>
    <x v="22"/>
    <x v="22"/>
  </r>
  <r>
    <x v="11"/>
    <x v="6"/>
    <x v="4"/>
    <x v="2"/>
    <x v="23"/>
    <x v="5"/>
    <x v="2"/>
    <x v="15"/>
    <x v="1"/>
    <x v="1"/>
    <x v="0"/>
    <x v="0"/>
    <x v="23"/>
    <x v="23"/>
    <x v="23"/>
  </r>
  <r>
    <x v="1"/>
    <x v="6"/>
    <x v="4"/>
    <x v="4"/>
    <x v="24"/>
    <x v="4"/>
    <x v="3"/>
    <x v="16"/>
    <x v="1"/>
    <x v="1"/>
    <x v="0"/>
    <x v="0"/>
    <x v="24"/>
    <x v="24"/>
    <x v="24"/>
  </r>
  <r>
    <x v="9"/>
    <x v="15"/>
    <x v="2"/>
    <x v="2"/>
    <x v="25"/>
    <x v="14"/>
    <x v="2"/>
    <x v="16"/>
    <x v="1"/>
    <x v="1"/>
    <x v="0"/>
    <x v="0"/>
    <x v="25"/>
    <x v="25"/>
    <x v="25"/>
  </r>
  <r>
    <x v="4"/>
    <x v="16"/>
    <x v="3"/>
    <x v="3"/>
    <x v="26"/>
    <x v="2"/>
    <x v="2"/>
    <x v="17"/>
    <x v="1"/>
    <x v="1"/>
    <x v="0"/>
    <x v="0"/>
    <x v="26"/>
    <x v="26"/>
    <x v="26"/>
  </r>
  <r>
    <x v="5"/>
    <x v="1"/>
    <x v="4"/>
    <x v="0"/>
    <x v="27"/>
    <x v="7"/>
    <x v="3"/>
    <x v="18"/>
    <x v="1"/>
    <x v="1"/>
    <x v="0"/>
    <x v="0"/>
    <x v="27"/>
    <x v="27"/>
    <x v="27"/>
  </r>
  <r>
    <x v="16"/>
    <x v="17"/>
    <x v="1"/>
    <x v="4"/>
    <x v="28"/>
    <x v="15"/>
    <x v="3"/>
    <x v="19"/>
    <x v="1"/>
    <x v="1"/>
    <x v="0"/>
    <x v="0"/>
    <x v="28"/>
    <x v="28"/>
    <x v="28"/>
  </r>
  <r>
    <x v="16"/>
    <x v="3"/>
    <x v="2"/>
    <x v="2"/>
    <x v="29"/>
    <x v="1"/>
    <x v="2"/>
    <x v="19"/>
    <x v="1"/>
    <x v="1"/>
    <x v="0"/>
    <x v="0"/>
    <x v="29"/>
    <x v="29"/>
    <x v="29"/>
  </r>
  <r>
    <x v="17"/>
    <x v="18"/>
    <x v="3"/>
    <x v="2"/>
    <x v="30"/>
    <x v="16"/>
    <x v="3"/>
    <x v="20"/>
    <x v="1"/>
    <x v="1"/>
    <x v="0"/>
    <x v="0"/>
    <x v="30"/>
    <x v="30"/>
    <x v="30"/>
  </r>
  <r>
    <x v="15"/>
    <x v="19"/>
    <x v="4"/>
    <x v="0"/>
    <x v="31"/>
    <x v="14"/>
    <x v="3"/>
    <x v="21"/>
    <x v="1"/>
    <x v="1"/>
    <x v="0"/>
    <x v="0"/>
    <x v="31"/>
    <x v="31"/>
    <x v="31"/>
  </r>
  <r>
    <x v="6"/>
    <x v="13"/>
    <x v="0"/>
    <x v="3"/>
    <x v="32"/>
    <x v="16"/>
    <x v="2"/>
    <x v="21"/>
    <x v="1"/>
    <x v="1"/>
    <x v="0"/>
    <x v="0"/>
    <x v="32"/>
    <x v="32"/>
    <x v="32"/>
  </r>
  <r>
    <x v="18"/>
    <x v="11"/>
    <x v="2"/>
    <x v="2"/>
    <x v="33"/>
    <x v="11"/>
    <x v="2"/>
    <x v="22"/>
    <x v="1"/>
    <x v="1"/>
    <x v="0"/>
    <x v="0"/>
    <x v="33"/>
    <x v="33"/>
    <x v="33"/>
  </r>
  <r>
    <x v="19"/>
    <x v="17"/>
    <x v="3"/>
    <x v="4"/>
    <x v="34"/>
    <x v="8"/>
    <x v="3"/>
    <x v="22"/>
    <x v="1"/>
    <x v="1"/>
    <x v="0"/>
    <x v="0"/>
    <x v="34"/>
    <x v="34"/>
    <x v="34"/>
  </r>
  <r>
    <x v="1"/>
    <x v="4"/>
    <x v="0"/>
    <x v="0"/>
    <x v="35"/>
    <x v="3"/>
    <x v="2"/>
    <x v="22"/>
    <x v="1"/>
    <x v="1"/>
    <x v="0"/>
    <x v="0"/>
    <x v="35"/>
    <x v="35"/>
    <x v="35"/>
  </r>
  <r>
    <x v="0"/>
    <x v="18"/>
    <x v="1"/>
    <x v="4"/>
    <x v="36"/>
    <x v="13"/>
    <x v="3"/>
    <x v="22"/>
    <x v="1"/>
    <x v="1"/>
    <x v="0"/>
    <x v="0"/>
    <x v="36"/>
    <x v="36"/>
    <x v="36"/>
  </r>
  <r>
    <x v="16"/>
    <x v="14"/>
    <x v="4"/>
    <x v="3"/>
    <x v="37"/>
    <x v="6"/>
    <x v="3"/>
    <x v="23"/>
    <x v="1"/>
    <x v="1"/>
    <x v="0"/>
    <x v="0"/>
    <x v="37"/>
    <x v="37"/>
    <x v="37"/>
  </r>
  <r>
    <x v="13"/>
    <x v="20"/>
    <x v="4"/>
    <x v="3"/>
    <x v="38"/>
    <x v="12"/>
    <x v="2"/>
    <x v="23"/>
    <x v="1"/>
    <x v="1"/>
    <x v="0"/>
    <x v="0"/>
    <x v="38"/>
    <x v="38"/>
    <x v="38"/>
  </r>
  <r>
    <x v="20"/>
    <x v="21"/>
    <x v="1"/>
    <x v="0"/>
    <x v="39"/>
    <x v="15"/>
    <x v="2"/>
    <x v="24"/>
    <x v="1"/>
    <x v="1"/>
    <x v="0"/>
    <x v="0"/>
    <x v="39"/>
    <x v="39"/>
    <x v="39"/>
  </r>
  <r>
    <x v="3"/>
    <x v="10"/>
    <x v="2"/>
    <x v="0"/>
    <x v="40"/>
    <x v="10"/>
    <x v="3"/>
    <x v="25"/>
    <x v="2"/>
    <x v="2"/>
    <x v="2"/>
    <x v="0"/>
    <x v="40"/>
    <x v="40"/>
    <x v="40"/>
  </r>
  <r>
    <x v="16"/>
    <x v="3"/>
    <x v="4"/>
    <x v="4"/>
    <x v="41"/>
    <x v="16"/>
    <x v="3"/>
    <x v="26"/>
    <x v="2"/>
    <x v="2"/>
    <x v="0"/>
    <x v="0"/>
    <x v="41"/>
    <x v="41"/>
    <x v="41"/>
  </r>
  <r>
    <x v="11"/>
    <x v="19"/>
    <x v="1"/>
    <x v="4"/>
    <x v="42"/>
    <x v="6"/>
    <x v="2"/>
    <x v="26"/>
    <x v="2"/>
    <x v="2"/>
    <x v="0"/>
    <x v="0"/>
    <x v="42"/>
    <x v="42"/>
    <x v="42"/>
  </r>
  <r>
    <x v="18"/>
    <x v="3"/>
    <x v="4"/>
    <x v="0"/>
    <x v="43"/>
    <x v="15"/>
    <x v="3"/>
    <x v="27"/>
    <x v="2"/>
    <x v="2"/>
    <x v="0"/>
    <x v="0"/>
    <x v="43"/>
    <x v="43"/>
    <x v="43"/>
  </r>
  <r>
    <x v="7"/>
    <x v="21"/>
    <x v="3"/>
    <x v="3"/>
    <x v="44"/>
    <x v="3"/>
    <x v="3"/>
    <x v="27"/>
    <x v="2"/>
    <x v="2"/>
    <x v="0"/>
    <x v="0"/>
    <x v="44"/>
    <x v="44"/>
    <x v="44"/>
  </r>
  <r>
    <x v="2"/>
    <x v="22"/>
    <x v="4"/>
    <x v="2"/>
    <x v="45"/>
    <x v="7"/>
    <x v="2"/>
    <x v="28"/>
    <x v="2"/>
    <x v="2"/>
    <x v="0"/>
    <x v="0"/>
    <x v="45"/>
    <x v="45"/>
    <x v="45"/>
  </r>
  <r>
    <x v="17"/>
    <x v="19"/>
    <x v="4"/>
    <x v="4"/>
    <x v="46"/>
    <x v="4"/>
    <x v="3"/>
    <x v="28"/>
    <x v="2"/>
    <x v="2"/>
    <x v="0"/>
    <x v="0"/>
    <x v="46"/>
    <x v="46"/>
    <x v="46"/>
  </r>
  <r>
    <x v="21"/>
    <x v="6"/>
    <x v="3"/>
    <x v="4"/>
    <x v="47"/>
    <x v="3"/>
    <x v="3"/>
    <x v="29"/>
    <x v="2"/>
    <x v="2"/>
    <x v="0"/>
    <x v="0"/>
    <x v="47"/>
    <x v="47"/>
    <x v="47"/>
  </r>
  <r>
    <x v="18"/>
    <x v="4"/>
    <x v="1"/>
    <x v="3"/>
    <x v="48"/>
    <x v="15"/>
    <x v="3"/>
    <x v="30"/>
    <x v="2"/>
    <x v="2"/>
    <x v="0"/>
    <x v="0"/>
    <x v="48"/>
    <x v="48"/>
    <x v="48"/>
  </r>
  <r>
    <x v="13"/>
    <x v="16"/>
    <x v="2"/>
    <x v="2"/>
    <x v="49"/>
    <x v="5"/>
    <x v="2"/>
    <x v="31"/>
    <x v="2"/>
    <x v="2"/>
    <x v="0"/>
    <x v="0"/>
    <x v="49"/>
    <x v="49"/>
    <x v="49"/>
  </r>
  <r>
    <x v="5"/>
    <x v="7"/>
    <x v="2"/>
    <x v="2"/>
    <x v="50"/>
    <x v="5"/>
    <x v="2"/>
    <x v="32"/>
    <x v="2"/>
    <x v="2"/>
    <x v="0"/>
    <x v="0"/>
    <x v="50"/>
    <x v="50"/>
    <x v="50"/>
  </r>
  <r>
    <x v="19"/>
    <x v="3"/>
    <x v="2"/>
    <x v="1"/>
    <x v="51"/>
    <x v="9"/>
    <x v="3"/>
    <x v="33"/>
    <x v="2"/>
    <x v="2"/>
    <x v="0"/>
    <x v="0"/>
    <x v="51"/>
    <x v="51"/>
    <x v="51"/>
  </r>
  <r>
    <x v="4"/>
    <x v="23"/>
    <x v="2"/>
    <x v="3"/>
    <x v="52"/>
    <x v="7"/>
    <x v="3"/>
    <x v="34"/>
    <x v="2"/>
    <x v="2"/>
    <x v="0"/>
    <x v="0"/>
    <x v="52"/>
    <x v="52"/>
    <x v="52"/>
  </r>
  <r>
    <x v="22"/>
    <x v="14"/>
    <x v="0"/>
    <x v="0"/>
    <x v="53"/>
    <x v="14"/>
    <x v="3"/>
    <x v="35"/>
    <x v="2"/>
    <x v="2"/>
    <x v="0"/>
    <x v="0"/>
    <x v="53"/>
    <x v="53"/>
    <x v="53"/>
  </r>
  <r>
    <x v="8"/>
    <x v="9"/>
    <x v="3"/>
    <x v="2"/>
    <x v="54"/>
    <x v="10"/>
    <x v="2"/>
    <x v="36"/>
    <x v="2"/>
    <x v="2"/>
    <x v="0"/>
    <x v="0"/>
    <x v="54"/>
    <x v="54"/>
    <x v="54"/>
  </r>
  <r>
    <x v="3"/>
    <x v="1"/>
    <x v="2"/>
    <x v="3"/>
    <x v="55"/>
    <x v="11"/>
    <x v="2"/>
    <x v="36"/>
    <x v="2"/>
    <x v="2"/>
    <x v="0"/>
    <x v="0"/>
    <x v="55"/>
    <x v="55"/>
    <x v="55"/>
  </r>
  <r>
    <x v="4"/>
    <x v="24"/>
    <x v="4"/>
    <x v="0"/>
    <x v="56"/>
    <x v="6"/>
    <x v="3"/>
    <x v="37"/>
    <x v="2"/>
    <x v="2"/>
    <x v="0"/>
    <x v="0"/>
    <x v="56"/>
    <x v="56"/>
    <x v="56"/>
  </r>
  <r>
    <x v="12"/>
    <x v="23"/>
    <x v="3"/>
    <x v="2"/>
    <x v="57"/>
    <x v="17"/>
    <x v="2"/>
    <x v="38"/>
    <x v="2"/>
    <x v="2"/>
    <x v="0"/>
    <x v="0"/>
    <x v="57"/>
    <x v="57"/>
    <x v="57"/>
  </r>
  <r>
    <x v="23"/>
    <x v="9"/>
    <x v="3"/>
    <x v="0"/>
    <x v="58"/>
    <x v="7"/>
    <x v="3"/>
    <x v="39"/>
    <x v="2"/>
    <x v="2"/>
    <x v="0"/>
    <x v="0"/>
    <x v="58"/>
    <x v="58"/>
    <x v="58"/>
  </r>
  <r>
    <x v="1"/>
    <x v="20"/>
    <x v="0"/>
    <x v="1"/>
    <x v="59"/>
    <x v="2"/>
    <x v="3"/>
    <x v="39"/>
    <x v="2"/>
    <x v="2"/>
    <x v="0"/>
    <x v="0"/>
    <x v="59"/>
    <x v="59"/>
    <x v="59"/>
  </r>
  <r>
    <x v="18"/>
    <x v="6"/>
    <x v="1"/>
    <x v="0"/>
    <x v="60"/>
    <x v="4"/>
    <x v="3"/>
    <x v="40"/>
    <x v="3"/>
    <x v="3"/>
    <x v="3"/>
    <x v="0"/>
    <x v="60"/>
    <x v="60"/>
    <x v="60"/>
  </r>
  <r>
    <x v="9"/>
    <x v="18"/>
    <x v="4"/>
    <x v="4"/>
    <x v="61"/>
    <x v="13"/>
    <x v="2"/>
    <x v="41"/>
    <x v="3"/>
    <x v="3"/>
    <x v="0"/>
    <x v="0"/>
    <x v="61"/>
    <x v="61"/>
    <x v="61"/>
  </r>
  <r>
    <x v="7"/>
    <x v="6"/>
    <x v="1"/>
    <x v="3"/>
    <x v="62"/>
    <x v="2"/>
    <x v="2"/>
    <x v="42"/>
    <x v="3"/>
    <x v="3"/>
    <x v="0"/>
    <x v="0"/>
    <x v="62"/>
    <x v="62"/>
    <x v="62"/>
  </r>
  <r>
    <x v="23"/>
    <x v="0"/>
    <x v="0"/>
    <x v="2"/>
    <x v="63"/>
    <x v="2"/>
    <x v="2"/>
    <x v="42"/>
    <x v="3"/>
    <x v="3"/>
    <x v="0"/>
    <x v="0"/>
    <x v="63"/>
    <x v="63"/>
    <x v="63"/>
  </r>
  <r>
    <x v="12"/>
    <x v="21"/>
    <x v="2"/>
    <x v="2"/>
    <x v="64"/>
    <x v="16"/>
    <x v="2"/>
    <x v="43"/>
    <x v="3"/>
    <x v="3"/>
    <x v="0"/>
    <x v="0"/>
    <x v="64"/>
    <x v="64"/>
    <x v="64"/>
  </r>
  <r>
    <x v="23"/>
    <x v="3"/>
    <x v="3"/>
    <x v="3"/>
    <x v="65"/>
    <x v="10"/>
    <x v="3"/>
    <x v="44"/>
    <x v="3"/>
    <x v="3"/>
    <x v="0"/>
    <x v="0"/>
    <x v="65"/>
    <x v="65"/>
    <x v="65"/>
  </r>
  <r>
    <x v="22"/>
    <x v="6"/>
    <x v="2"/>
    <x v="0"/>
    <x v="66"/>
    <x v="3"/>
    <x v="3"/>
    <x v="45"/>
    <x v="3"/>
    <x v="3"/>
    <x v="0"/>
    <x v="0"/>
    <x v="66"/>
    <x v="66"/>
    <x v="66"/>
  </r>
  <r>
    <x v="24"/>
    <x v="18"/>
    <x v="0"/>
    <x v="3"/>
    <x v="67"/>
    <x v="16"/>
    <x v="3"/>
    <x v="45"/>
    <x v="3"/>
    <x v="3"/>
    <x v="0"/>
    <x v="0"/>
    <x v="67"/>
    <x v="67"/>
    <x v="67"/>
  </r>
  <r>
    <x v="18"/>
    <x v="13"/>
    <x v="3"/>
    <x v="2"/>
    <x v="68"/>
    <x v="6"/>
    <x v="2"/>
    <x v="46"/>
    <x v="3"/>
    <x v="3"/>
    <x v="0"/>
    <x v="0"/>
    <x v="68"/>
    <x v="68"/>
    <x v="68"/>
  </r>
  <r>
    <x v="13"/>
    <x v="0"/>
    <x v="4"/>
    <x v="4"/>
    <x v="69"/>
    <x v="17"/>
    <x v="3"/>
    <x v="47"/>
    <x v="3"/>
    <x v="3"/>
    <x v="0"/>
    <x v="0"/>
    <x v="69"/>
    <x v="69"/>
    <x v="69"/>
  </r>
  <r>
    <x v="4"/>
    <x v="18"/>
    <x v="4"/>
    <x v="2"/>
    <x v="70"/>
    <x v="17"/>
    <x v="2"/>
    <x v="48"/>
    <x v="3"/>
    <x v="3"/>
    <x v="0"/>
    <x v="0"/>
    <x v="70"/>
    <x v="70"/>
    <x v="70"/>
  </r>
  <r>
    <x v="24"/>
    <x v="25"/>
    <x v="2"/>
    <x v="4"/>
    <x v="71"/>
    <x v="15"/>
    <x v="3"/>
    <x v="49"/>
    <x v="3"/>
    <x v="3"/>
    <x v="0"/>
    <x v="0"/>
    <x v="71"/>
    <x v="71"/>
    <x v="71"/>
  </r>
  <r>
    <x v="25"/>
    <x v="18"/>
    <x v="1"/>
    <x v="2"/>
    <x v="72"/>
    <x v="11"/>
    <x v="2"/>
    <x v="50"/>
    <x v="4"/>
    <x v="4"/>
    <x v="4"/>
    <x v="0"/>
    <x v="72"/>
    <x v="72"/>
    <x v="72"/>
  </r>
  <r>
    <x v="1"/>
    <x v="26"/>
    <x v="2"/>
    <x v="0"/>
    <x v="73"/>
    <x v="16"/>
    <x v="2"/>
    <x v="50"/>
    <x v="4"/>
    <x v="4"/>
    <x v="0"/>
    <x v="0"/>
    <x v="73"/>
    <x v="73"/>
    <x v="73"/>
  </r>
  <r>
    <x v="25"/>
    <x v="9"/>
    <x v="0"/>
    <x v="2"/>
    <x v="74"/>
    <x v="12"/>
    <x v="3"/>
    <x v="51"/>
    <x v="4"/>
    <x v="4"/>
    <x v="0"/>
    <x v="0"/>
    <x v="74"/>
    <x v="74"/>
    <x v="74"/>
  </r>
  <r>
    <x v="1"/>
    <x v="5"/>
    <x v="0"/>
    <x v="2"/>
    <x v="75"/>
    <x v="16"/>
    <x v="2"/>
    <x v="52"/>
    <x v="4"/>
    <x v="4"/>
    <x v="0"/>
    <x v="0"/>
    <x v="75"/>
    <x v="75"/>
    <x v="75"/>
  </r>
  <r>
    <x v="3"/>
    <x v="17"/>
    <x v="4"/>
    <x v="3"/>
    <x v="76"/>
    <x v="1"/>
    <x v="3"/>
    <x v="53"/>
    <x v="4"/>
    <x v="4"/>
    <x v="0"/>
    <x v="0"/>
    <x v="76"/>
    <x v="76"/>
    <x v="76"/>
  </r>
  <r>
    <x v="26"/>
    <x v="12"/>
    <x v="3"/>
    <x v="3"/>
    <x v="77"/>
    <x v="9"/>
    <x v="2"/>
    <x v="54"/>
    <x v="4"/>
    <x v="4"/>
    <x v="0"/>
    <x v="0"/>
    <x v="77"/>
    <x v="77"/>
    <x v="77"/>
  </r>
  <r>
    <x v="7"/>
    <x v="5"/>
    <x v="0"/>
    <x v="4"/>
    <x v="78"/>
    <x v="17"/>
    <x v="3"/>
    <x v="55"/>
    <x v="4"/>
    <x v="4"/>
    <x v="0"/>
    <x v="0"/>
    <x v="78"/>
    <x v="78"/>
    <x v="78"/>
  </r>
  <r>
    <x v="4"/>
    <x v="6"/>
    <x v="1"/>
    <x v="1"/>
    <x v="79"/>
    <x v="14"/>
    <x v="3"/>
    <x v="56"/>
    <x v="4"/>
    <x v="4"/>
    <x v="0"/>
    <x v="0"/>
    <x v="79"/>
    <x v="79"/>
    <x v="79"/>
  </r>
  <r>
    <x v="5"/>
    <x v="18"/>
    <x v="3"/>
    <x v="0"/>
    <x v="80"/>
    <x v="15"/>
    <x v="2"/>
    <x v="57"/>
    <x v="4"/>
    <x v="4"/>
    <x v="0"/>
    <x v="0"/>
    <x v="80"/>
    <x v="80"/>
    <x v="80"/>
  </r>
  <r>
    <x v="24"/>
    <x v="7"/>
    <x v="1"/>
    <x v="3"/>
    <x v="81"/>
    <x v="2"/>
    <x v="3"/>
    <x v="57"/>
    <x v="4"/>
    <x v="4"/>
    <x v="0"/>
    <x v="0"/>
    <x v="81"/>
    <x v="81"/>
    <x v="81"/>
  </r>
  <r>
    <x v="16"/>
    <x v="15"/>
    <x v="4"/>
    <x v="2"/>
    <x v="82"/>
    <x v="9"/>
    <x v="2"/>
    <x v="58"/>
    <x v="5"/>
    <x v="5"/>
    <x v="5"/>
    <x v="0"/>
    <x v="82"/>
    <x v="82"/>
    <x v="82"/>
  </r>
  <r>
    <x v="3"/>
    <x v="14"/>
    <x v="4"/>
    <x v="0"/>
    <x v="83"/>
    <x v="9"/>
    <x v="3"/>
    <x v="58"/>
    <x v="5"/>
    <x v="5"/>
    <x v="0"/>
    <x v="0"/>
    <x v="83"/>
    <x v="83"/>
    <x v="83"/>
  </r>
  <r>
    <x v="19"/>
    <x v="8"/>
    <x v="0"/>
    <x v="1"/>
    <x v="84"/>
    <x v="0"/>
    <x v="3"/>
    <x v="59"/>
    <x v="5"/>
    <x v="5"/>
    <x v="0"/>
    <x v="0"/>
    <x v="84"/>
    <x v="84"/>
    <x v="84"/>
  </r>
  <r>
    <x v="23"/>
    <x v="0"/>
    <x v="2"/>
    <x v="2"/>
    <x v="85"/>
    <x v="2"/>
    <x v="3"/>
    <x v="59"/>
    <x v="5"/>
    <x v="5"/>
    <x v="0"/>
    <x v="0"/>
    <x v="85"/>
    <x v="85"/>
    <x v="85"/>
  </r>
  <r>
    <x v="11"/>
    <x v="18"/>
    <x v="1"/>
    <x v="3"/>
    <x v="86"/>
    <x v="13"/>
    <x v="3"/>
    <x v="60"/>
    <x v="5"/>
    <x v="5"/>
    <x v="0"/>
    <x v="0"/>
    <x v="86"/>
    <x v="86"/>
    <x v="86"/>
  </r>
  <r>
    <x v="26"/>
    <x v="23"/>
    <x v="0"/>
    <x v="4"/>
    <x v="87"/>
    <x v="15"/>
    <x v="3"/>
    <x v="61"/>
    <x v="5"/>
    <x v="5"/>
    <x v="0"/>
    <x v="0"/>
    <x v="87"/>
    <x v="87"/>
    <x v="87"/>
  </r>
  <r>
    <x v="11"/>
    <x v="3"/>
    <x v="1"/>
    <x v="4"/>
    <x v="88"/>
    <x v="6"/>
    <x v="3"/>
    <x v="62"/>
    <x v="5"/>
    <x v="5"/>
    <x v="0"/>
    <x v="0"/>
    <x v="88"/>
    <x v="88"/>
    <x v="88"/>
  </r>
  <r>
    <x v="15"/>
    <x v="15"/>
    <x v="2"/>
    <x v="0"/>
    <x v="89"/>
    <x v="18"/>
    <x v="3"/>
    <x v="62"/>
    <x v="5"/>
    <x v="5"/>
    <x v="0"/>
    <x v="0"/>
    <x v="89"/>
    <x v="89"/>
    <x v="89"/>
  </r>
  <r>
    <x v="5"/>
    <x v="24"/>
    <x v="0"/>
    <x v="3"/>
    <x v="90"/>
    <x v="0"/>
    <x v="3"/>
    <x v="63"/>
    <x v="5"/>
    <x v="5"/>
    <x v="0"/>
    <x v="0"/>
    <x v="90"/>
    <x v="90"/>
    <x v="90"/>
  </r>
  <r>
    <x v="27"/>
    <x v="1"/>
    <x v="2"/>
    <x v="3"/>
    <x v="91"/>
    <x v="17"/>
    <x v="2"/>
    <x v="64"/>
    <x v="5"/>
    <x v="5"/>
    <x v="0"/>
    <x v="0"/>
    <x v="91"/>
    <x v="91"/>
    <x v="91"/>
  </r>
  <r>
    <x v="28"/>
    <x v="9"/>
    <x v="1"/>
    <x v="4"/>
    <x v="92"/>
    <x v="12"/>
    <x v="3"/>
    <x v="64"/>
    <x v="5"/>
    <x v="5"/>
    <x v="0"/>
    <x v="0"/>
    <x v="92"/>
    <x v="92"/>
    <x v="92"/>
  </r>
  <r>
    <x v="23"/>
    <x v="3"/>
    <x v="0"/>
    <x v="2"/>
    <x v="93"/>
    <x v="15"/>
    <x v="2"/>
    <x v="65"/>
    <x v="5"/>
    <x v="5"/>
    <x v="0"/>
    <x v="0"/>
    <x v="93"/>
    <x v="93"/>
    <x v="93"/>
  </r>
  <r>
    <x v="29"/>
    <x v="13"/>
    <x v="2"/>
    <x v="0"/>
    <x v="94"/>
    <x v="7"/>
    <x v="3"/>
    <x v="66"/>
    <x v="5"/>
    <x v="5"/>
    <x v="0"/>
    <x v="0"/>
    <x v="94"/>
    <x v="94"/>
    <x v="94"/>
  </r>
  <r>
    <x v="24"/>
    <x v="2"/>
    <x v="2"/>
    <x v="0"/>
    <x v="95"/>
    <x v="5"/>
    <x v="3"/>
    <x v="67"/>
    <x v="5"/>
    <x v="5"/>
    <x v="0"/>
    <x v="0"/>
    <x v="95"/>
    <x v="95"/>
    <x v="95"/>
  </r>
  <r>
    <x v="12"/>
    <x v="21"/>
    <x v="0"/>
    <x v="3"/>
    <x v="96"/>
    <x v="9"/>
    <x v="3"/>
    <x v="68"/>
    <x v="5"/>
    <x v="5"/>
    <x v="0"/>
    <x v="0"/>
    <x v="96"/>
    <x v="96"/>
    <x v="96"/>
  </r>
  <r>
    <x v="18"/>
    <x v="3"/>
    <x v="3"/>
    <x v="1"/>
    <x v="97"/>
    <x v="6"/>
    <x v="3"/>
    <x v="68"/>
    <x v="5"/>
    <x v="5"/>
    <x v="0"/>
    <x v="0"/>
    <x v="97"/>
    <x v="97"/>
    <x v="97"/>
  </r>
  <r>
    <x v="2"/>
    <x v="23"/>
    <x v="0"/>
    <x v="4"/>
    <x v="98"/>
    <x v="11"/>
    <x v="2"/>
    <x v="69"/>
    <x v="5"/>
    <x v="5"/>
    <x v="0"/>
    <x v="0"/>
    <x v="98"/>
    <x v="98"/>
    <x v="98"/>
  </r>
  <r>
    <x v="23"/>
    <x v="3"/>
    <x v="4"/>
    <x v="1"/>
    <x v="99"/>
    <x v="3"/>
    <x v="3"/>
    <x v="69"/>
    <x v="5"/>
    <x v="5"/>
    <x v="0"/>
    <x v="0"/>
    <x v="99"/>
    <x v="99"/>
    <x v="99"/>
  </r>
  <r>
    <x v="28"/>
    <x v="9"/>
    <x v="3"/>
    <x v="0"/>
    <x v="100"/>
    <x v="2"/>
    <x v="2"/>
    <x v="70"/>
    <x v="5"/>
    <x v="5"/>
    <x v="0"/>
    <x v="0"/>
    <x v="100"/>
    <x v="100"/>
    <x v="100"/>
  </r>
  <r>
    <x v="20"/>
    <x v="4"/>
    <x v="3"/>
    <x v="1"/>
    <x v="101"/>
    <x v="4"/>
    <x v="3"/>
    <x v="70"/>
    <x v="5"/>
    <x v="5"/>
    <x v="0"/>
    <x v="0"/>
    <x v="101"/>
    <x v="101"/>
    <x v="101"/>
  </r>
  <r>
    <x v="13"/>
    <x v="19"/>
    <x v="4"/>
    <x v="2"/>
    <x v="102"/>
    <x v="12"/>
    <x v="2"/>
    <x v="71"/>
    <x v="6"/>
    <x v="6"/>
    <x v="6"/>
    <x v="0"/>
    <x v="102"/>
    <x v="102"/>
    <x v="102"/>
  </r>
  <r>
    <x v="1"/>
    <x v="14"/>
    <x v="3"/>
    <x v="2"/>
    <x v="103"/>
    <x v="2"/>
    <x v="2"/>
    <x v="72"/>
    <x v="6"/>
    <x v="6"/>
    <x v="0"/>
    <x v="0"/>
    <x v="103"/>
    <x v="103"/>
    <x v="103"/>
  </r>
  <r>
    <x v="17"/>
    <x v="13"/>
    <x v="1"/>
    <x v="3"/>
    <x v="104"/>
    <x v="4"/>
    <x v="3"/>
    <x v="73"/>
    <x v="6"/>
    <x v="6"/>
    <x v="0"/>
    <x v="0"/>
    <x v="104"/>
    <x v="104"/>
    <x v="104"/>
  </r>
  <r>
    <x v="10"/>
    <x v="23"/>
    <x v="2"/>
    <x v="0"/>
    <x v="105"/>
    <x v="4"/>
    <x v="3"/>
    <x v="74"/>
    <x v="6"/>
    <x v="6"/>
    <x v="0"/>
    <x v="0"/>
    <x v="105"/>
    <x v="105"/>
    <x v="105"/>
  </r>
  <r>
    <x v="13"/>
    <x v="3"/>
    <x v="1"/>
    <x v="0"/>
    <x v="106"/>
    <x v="15"/>
    <x v="3"/>
    <x v="74"/>
    <x v="6"/>
    <x v="6"/>
    <x v="0"/>
    <x v="0"/>
    <x v="106"/>
    <x v="106"/>
    <x v="106"/>
  </r>
  <r>
    <x v="19"/>
    <x v="3"/>
    <x v="0"/>
    <x v="1"/>
    <x v="107"/>
    <x v="13"/>
    <x v="3"/>
    <x v="75"/>
    <x v="6"/>
    <x v="6"/>
    <x v="0"/>
    <x v="0"/>
    <x v="107"/>
    <x v="107"/>
    <x v="107"/>
  </r>
  <r>
    <x v="17"/>
    <x v="24"/>
    <x v="4"/>
    <x v="1"/>
    <x v="108"/>
    <x v="8"/>
    <x v="3"/>
    <x v="76"/>
    <x v="6"/>
    <x v="6"/>
    <x v="0"/>
    <x v="0"/>
    <x v="108"/>
    <x v="108"/>
    <x v="108"/>
  </r>
  <r>
    <x v="0"/>
    <x v="7"/>
    <x v="4"/>
    <x v="1"/>
    <x v="109"/>
    <x v="9"/>
    <x v="3"/>
    <x v="76"/>
    <x v="6"/>
    <x v="6"/>
    <x v="0"/>
    <x v="0"/>
    <x v="109"/>
    <x v="109"/>
    <x v="109"/>
  </r>
  <r>
    <x v="25"/>
    <x v="24"/>
    <x v="1"/>
    <x v="0"/>
    <x v="110"/>
    <x v="18"/>
    <x v="3"/>
    <x v="77"/>
    <x v="6"/>
    <x v="6"/>
    <x v="0"/>
    <x v="0"/>
    <x v="110"/>
    <x v="110"/>
    <x v="110"/>
  </r>
  <r>
    <x v="28"/>
    <x v="3"/>
    <x v="0"/>
    <x v="1"/>
    <x v="111"/>
    <x v="2"/>
    <x v="3"/>
    <x v="78"/>
    <x v="6"/>
    <x v="6"/>
    <x v="0"/>
    <x v="0"/>
    <x v="111"/>
    <x v="111"/>
    <x v="111"/>
  </r>
  <r>
    <x v="14"/>
    <x v="26"/>
    <x v="0"/>
    <x v="3"/>
    <x v="112"/>
    <x v="17"/>
    <x v="3"/>
    <x v="78"/>
    <x v="6"/>
    <x v="6"/>
    <x v="0"/>
    <x v="0"/>
    <x v="112"/>
    <x v="112"/>
    <x v="112"/>
  </r>
  <r>
    <x v="8"/>
    <x v="9"/>
    <x v="2"/>
    <x v="2"/>
    <x v="113"/>
    <x v="17"/>
    <x v="2"/>
    <x v="79"/>
    <x v="6"/>
    <x v="6"/>
    <x v="0"/>
    <x v="0"/>
    <x v="113"/>
    <x v="113"/>
    <x v="113"/>
  </r>
  <r>
    <x v="23"/>
    <x v="25"/>
    <x v="3"/>
    <x v="1"/>
    <x v="114"/>
    <x v="17"/>
    <x v="2"/>
    <x v="80"/>
    <x v="6"/>
    <x v="6"/>
    <x v="0"/>
    <x v="0"/>
    <x v="114"/>
    <x v="114"/>
    <x v="114"/>
  </r>
  <r>
    <x v="1"/>
    <x v="18"/>
    <x v="0"/>
    <x v="2"/>
    <x v="115"/>
    <x v="10"/>
    <x v="2"/>
    <x v="81"/>
    <x v="6"/>
    <x v="6"/>
    <x v="0"/>
    <x v="0"/>
    <x v="115"/>
    <x v="115"/>
    <x v="115"/>
  </r>
  <r>
    <x v="27"/>
    <x v="5"/>
    <x v="4"/>
    <x v="0"/>
    <x v="116"/>
    <x v="0"/>
    <x v="3"/>
    <x v="82"/>
    <x v="7"/>
    <x v="7"/>
    <x v="7"/>
    <x v="0"/>
    <x v="116"/>
    <x v="116"/>
    <x v="116"/>
  </r>
  <r>
    <x v="13"/>
    <x v="3"/>
    <x v="1"/>
    <x v="4"/>
    <x v="117"/>
    <x v="8"/>
    <x v="3"/>
    <x v="83"/>
    <x v="7"/>
    <x v="7"/>
    <x v="0"/>
    <x v="0"/>
    <x v="117"/>
    <x v="117"/>
    <x v="117"/>
  </r>
  <r>
    <x v="17"/>
    <x v="14"/>
    <x v="1"/>
    <x v="0"/>
    <x v="118"/>
    <x v="7"/>
    <x v="3"/>
    <x v="84"/>
    <x v="7"/>
    <x v="7"/>
    <x v="0"/>
    <x v="0"/>
    <x v="118"/>
    <x v="118"/>
    <x v="118"/>
  </r>
  <r>
    <x v="7"/>
    <x v="20"/>
    <x v="3"/>
    <x v="3"/>
    <x v="119"/>
    <x v="0"/>
    <x v="3"/>
    <x v="84"/>
    <x v="7"/>
    <x v="7"/>
    <x v="0"/>
    <x v="0"/>
    <x v="119"/>
    <x v="119"/>
    <x v="119"/>
  </r>
  <r>
    <x v="6"/>
    <x v="12"/>
    <x v="3"/>
    <x v="3"/>
    <x v="120"/>
    <x v="1"/>
    <x v="3"/>
    <x v="85"/>
    <x v="7"/>
    <x v="7"/>
    <x v="0"/>
    <x v="0"/>
    <x v="120"/>
    <x v="120"/>
    <x v="120"/>
  </r>
  <r>
    <x v="16"/>
    <x v="15"/>
    <x v="2"/>
    <x v="1"/>
    <x v="121"/>
    <x v="16"/>
    <x v="3"/>
    <x v="86"/>
    <x v="7"/>
    <x v="7"/>
    <x v="0"/>
    <x v="0"/>
    <x v="121"/>
    <x v="121"/>
    <x v="121"/>
  </r>
  <r>
    <x v="17"/>
    <x v="12"/>
    <x v="1"/>
    <x v="4"/>
    <x v="122"/>
    <x v="11"/>
    <x v="3"/>
    <x v="87"/>
    <x v="7"/>
    <x v="7"/>
    <x v="0"/>
    <x v="0"/>
    <x v="122"/>
    <x v="122"/>
    <x v="122"/>
  </r>
  <r>
    <x v="0"/>
    <x v="2"/>
    <x v="2"/>
    <x v="2"/>
    <x v="123"/>
    <x v="8"/>
    <x v="2"/>
    <x v="88"/>
    <x v="7"/>
    <x v="7"/>
    <x v="0"/>
    <x v="0"/>
    <x v="123"/>
    <x v="123"/>
    <x v="123"/>
  </r>
  <r>
    <x v="26"/>
    <x v="2"/>
    <x v="4"/>
    <x v="1"/>
    <x v="124"/>
    <x v="14"/>
    <x v="3"/>
    <x v="88"/>
    <x v="7"/>
    <x v="7"/>
    <x v="0"/>
    <x v="0"/>
    <x v="124"/>
    <x v="124"/>
    <x v="124"/>
  </r>
  <r>
    <x v="25"/>
    <x v="3"/>
    <x v="3"/>
    <x v="2"/>
    <x v="125"/>
    <x v="17"/>
    <x v="2"/>
    <x v="88"/>
    <x v="7"/>
    <x v="7"/>
    <x v="0"/>
    <x v="0"/>
    <x v="125"/>
    <x v="125"/>
    <x v="125"/>
  </r>
  <r>
    <x v="22"/>
    <x v="15"/>
    <x v="1"/>
    <x v="2"/>
    <x v="126"/>
    <x v="10"/>
    <x v="3"/>
    <x v="89"/>
    <x v="7"/>
    <x v="7"/>
    <x v="0"/>
    <x v="0"/>
    <x v="126"/>
    <x v="126"/>
    <x v="126"/>
  </r>
  <r>
    <x v="8"/>
    <x v="21"/>
    <x v="2"/>
    <x v="3"/>
    <x v="127"/>
    <x v="11"/>
    <x v="3"/>
    <x v="89"/>
    <x v="7"/>
    <x v="7"/>
    <x v="0"/>
    <x v="0"/>
    <x v="127"/>
    <x v="127"/>
    <x v="127"/>
  </r>
  <r>
    <x v="12"/>
    <x v="12"/>
    <x v="1"/>
    <x v="2"/>
    <x v="128"/>
    <x v="0"/>
    <x v="2"/>
    <x v="89"/>
    <x v="7"/>
    <x v="7"/>
    <x v="0"/>
    <x v="0"/>
    <x v="128"/>
    <x v="128"/>
    <x v="128"/>
  </r>
  <r>
    <x v="28"/>
    <x v="3"/>
    <x v="0"/>
    <x v="2"/>
    <x v="129"/>
    <x v="15"/>
    <x v="2"/>
    <x v="90"/>
    <x v="7"/>
    <x v="7"/>
    <x v="0"/>
    <x v="0"/>
    <x v="129"/>
    <x v="129"/>
    <x v="129"/>
  </r>
  <r>
    <x v="21"/>
    <x v="21"/>
    <x v="1"/>
    <x v="0"/>
    <x v="130"/>
    <x v="16"/>
    <x v="3"/>
    <x v="90"/>
    <x v="7"/>
    <x v="7"/>
    <x v="0"/>
    <x v="0"/>
    <x v="130"/>
    <x v="130"/>
    <x v="130"/>
  </r>
  <r>
    <x v="18"/>
    <x v="9"/>
    <x v="4"/>
    <x v="0"/>
    <x v="131"/>
    <x v="4"/>
    <x v="3"/>
    <x v="91"/>
    <x v="7"/>
    <x v="7"/>
    <x v="0"/>
    <x v="0"/>
    <x v="131"/>
    <x v="131"/>
    <x v="131"/>
  </r>
  <r>
    <x v="10"/>
    <x v="26"/>
    <x v="2"/>
    <x v="3"/>
    <x v="132"/>
    <x v="4"/>
    <x v="2"/>
    <x v="91"/>
    <x v="7"/>
    <x v="7"/>
    <x v="0"/>
    <x v="0"/>
    <x v="132"/>
    <x v="132"/>
    <x v="132"/>
  </r>
  <r>
    <x v="29"/>
    <x v="12"/>
    <x v="2"/>
    <x v="2"/>
    <x v="133"/>
    <x v="17"/>
    <x v="2"/>
    <x v="92"/>
    <x v="7"/>
    <x v="7"/>
    <x v="0"/>
    <x v="0"/>
    <x v="133"/>
    <x v="133"/>
    <x v="133"/>
  </r>
  <r>
    <x v="6"/>
    <x v="11"/>
    <x v="0"/>
    <x v="2"/>
    <x v="134"/>
    <x v="15"/>
    <x v="2"/>
    <x v="93"/>
    <x v="7"/>
    <x v="7"/>
    <x v="0"/>
    <x v="0"/>
    <x v="134"/>
    <x v="134"/>
    <x v="134"/>
  </r>
  <r>
    <x v="5"/>
    <x v="9"/>
    <x v="3"/>
    <x v="4"/>
    <x v="135"/>
    <x v="1"/>
    <x v="3"/>
    <x v="94"/>
    <x v="7"/>
    <x v="7"/>
    <x v="0"/>
    <x v="0"/>
    <x v="135"/>
    <x v="135"/>
    <x v="135"/>
  </r>
  <r>
    <x v="19"/>
    <x v="26"/>
    <x v="0"/>
    <x v="3"/>
    <x v="136"/>
    <x v="0"/>
    <x v="2"/>
    <x v="95"/>
    <x v="8"/>
    <x v="8"/>
    <x v="8"/>
    <x v="0"/>
    <x v="136"/>
    <x v="136"/>
    <x v="136"/>
  </r>
  <r>
    <x v="19"/>
    <x v="9"/>
    <x v="4"/>
    <x v="2"/>
    <x v="137"/>
    <x v="4"/>
    <x v="2"/>
    <x v="96"/>
    <x v="8"/>
    <x v="8"/>
    <x v="0"/>
    <x v="0"/>
    <x v="137"/>
    <x v="137"/>
    <x v="137"/>
  </r>
  <r>
    <x v="22"/>
    <x v="21"/>
    <x v="2"/>
    <x v="3"/>
    <x v="138"/>
    <x v="15"/>
    <x v="2"/>
    <x v="97"/>
    <x v="8"/>
    <x v="8"/>
    <x v="0"/>
    <x v="0"/>
    <x v="138"/>
    <x v="138"/>
    <x v="138"/>
  </r>
  <r>
    <x v="6"/>
    <x v="4"/>
    <x v="4"/>
    <x v="3"/>
    <x v="139"/>
    <x v="18"/>
    <x v="3"/>
    <x v="98"/>
    <x v="8"/>
    <x v="8"/>
    <x v="0"/>
    <x v="0"/>
    <x v="139"/>
    <x v="139"/>
    <x v="139"/>
  </r>
  <r>
    <x v="28"/>
    <x v="5"/>
    <x v="4"/>
    <x v="2"/>
    <x v="140"/>
    <x v="11"/>
    <x v="3"/>
    <x v="98"/>
    <x v="8"/>
    <x v="8"/>
    <x v="0"/>
    <x v="0"/>
    <x v="140"/>
    <x v="140"/>
    <x v="140"/>
  </r>
  <r>
    <x v="7"/>
    <x v="24"/>
    <x v="1"/>
    <x v="0"/>
    <x v="141"/>
    <x v="13"/>
    <x v="3"/>
    <x v="99"/>
    <x v="8"/>
    <x v="8"/>
    <x v="0"/>
    <x v="0"/>
    <x v="141"/>
    <x v="141"/>
    <x v="141"/>
  </r>
  <r>
    <x v="7"/>
    <x v="11"/>
    <x v="0"/>
    <x v="2"/>
    <x v="142"/>
    <x v="15"/>
    <x v="2"/>
    <x v="100"/>
    <x v="8"/>
    <x v="8"/>
    <x v="0"/>
    <x v="0"/>
    <x v="142"/>
    <x v="142"/>
    <x v="142"/>
  </r>
  <r>
    <x v="15"/>
    <x v="12"/>
    <x v="4"/>
    <x v="4"/>
    <x v="143"/>
    <x v="18"/>
    <x v="2"/>
    <x v="101"/>
    <x v="8"/>
    <x v="8"/>
    <x v="0"/>
    <x v="0"/>
    <x v="143"/>
    <x v="143"/>
    <x v="143"/>
  </r>
  <r>
    <x v="26"/>
    <x v="6"/>
    <x v="3"/>
    <x v="1"/>
    <x v="144"/>
    <x v="5"/>
    <x v="3"/>
    <x v="102"/>
    <x v="8"/>
    <x v="8"/>
    <x v="0"/>
    <x v="0"/>
    <x v="144"/>
    <x v="144"/>
    <x v="144"/>
  </r>
  <r>
    <x v="6"/>
    <x v="26"/>
    <x v="3"/>
    <x v="1"/>
    <x v="145"/>
    <x v="12"/>
    <x v="2"/>
    <x v="102"/>
    <x v="8"/>
    <x v="8"/>
    <x v="0"/>
    <x v="0"/>
    <x v="145"/>
    <x v="145"/>
    <x v="145"/>
  </r>
  <r>
    <x v="15"/>
    <x v="3"/>
    <x v="0"/>
    <x v="0"/>
    <x v="146"/>
    <x v="8"/>
    <x v="3"/>
    <x v="103"/>
    <x v="8"/>
    <x v="8"/>
    <x v="0"/>
    <x v="0"/>
    <x v="146"/>
    <x v="146"/>
    <x v="146"/>
  </r>
  <r>
    <x v="21"/>
    <x v="25"/>
    <x v="4"/>
    <x v="1"/>
    <x v="147"/>
    <x v="6"/>
    <x v="3"/>
    <x v="104"/>
    <x v="9"/>
    <x v="9"/>
    <x v="9"/>
    <x v="0"/>
    <x v="147"/>
    <x v="147"/>
    <x v="147"/>
  </r>
  <r>
    <x v="16"/>
    <x v="14"/>
    <x v="3"/>
    <x v="4"/>
    <x v="148"/>
    <x v="17"/>
    <x v="2"/>
    <x v="104"/>
    <x v="9"/>
    <x v="9"/>
    <x v="0"/>
    <x v="0"/>
    <x v="148"/>
    <x v="148"/>
    <x v="148"/>
  </r>
  <r>
    <x v="21"/>
    <x v="5"/>
    <x v="3"/>
    <x v="0"/>
    <x v="149"/>
    <x v="14"/>
    <x v="3"/>
    <x v="105"/>
    <x v="9"/>
    <x v="9"/>
    <x v="0"/>
    <x v="0"/>
    <x v="149"/>
    <x v="149"/>
    <x v="149"/>
  </r>
  <r>
    <x v="16"/>
    <x v="3"/>
    <x v="4"/>
    <x v="4"/>
    <x v="150"/>
    <x v="11"/>
    <x v="3"/>
    <x v="106"/>
    <x v="9"/>
    <x v="9"/>
    <x v="0"/>
    <x v="0"/>
    <x v="150"/>
    <x v="150"/>
    <x v="150"/>
  </r>
  <r>
    <x v="20"/>
    <x v="2"/>
    <x v="2"/>
    <x v="1"/>
    <x v="151"/>
    <x v="16"/>
    <x v="3"/>
    <x v="106"/>
    <x v="9"/>
    <x v="9"/>
    <x v="0"/>
    <x v="0"/>
    <x v="151"/>
    <x v="151"/>
    <x v="151"/>
  </r>
  <r>
    <x v="9"/>
    <x v="5"/>
    <x v="0"/>
    <x v="3"/>
    <x v="152"/>
    <x v="14"/>
    <x v="2"/>
    <x v="107"/>
    <x v="9"/>
    <x v="9"/>
    <x v="0"/>
    <x v="0"/>
    <x v="152"/>
    <x v="152"/>
    <x v="152"/>
  </r>
  <r>
    <x v="27"/>
    <x v="20"/>
    <x v="3"/>
    <x v="1"/>
    <x v="153"/>
    <x v="15"/>
    <x v="3"/>
    <x v="108"/>
    <x v="9"/>
    <x v="9"/>
    <x v="0"/>
    <x v="0"/>
    <x v="153"/>
    <x v="153"/>
    <x v="153"/>
  </r>
  <r>
    <x v="19"/>
    <x v="1"/>
    <x v="2"/>
    <x v="3"/>
    <x v="154"/>
    <x v="6"/>
    <x v="3"/>
    <x v="109"/>
    <x v="9"/>
    <x v="9"/>
    <x v="0"/>
    <x v="0"/>
    <x v="154"/>
    <x v="154"/>
    <x v="154"/>
  </r>
  <r>
    <x v="19"/>
    <x v="3"/>
    <x v="3"/>
    <x v="2"/>
    <x v="155"/>
    <x v="16"/>
    <x v="3"/>
    <x v="110"/>
    <x v="9"/>
    <x v="9"/>
    <x v="0"/>
    <x v="0"/>
    <x v="155"/>
    <x v="155"/>
    <x v="155"/>
  </r>
  <r>
    <x v="19"/>
    <x v="8"/>
    <x v="0"/>
    <x v="1"/>
    <x v="156"/>
    <x v="13"/>
    <x v="2"/>
    <x v="111"/>
    <x v="9"/>
    <x v="9"/>
    <x v="0"/>
    <x v="0"/>
    <x v="156"/>
    <x v="156"/>
    <x v="156"/>
  </r>
  <r>
    <x v="13"/>
    <x v="12"/>
    <x v="4"/>
    <x v="1"/>
    <x v="157"/>
    <x v="7"/>
    <x v="3"/>
    <x v="112"/>
    <x v="9"/>
    <x v="9"/>
    <x v="0"/>
    <x v="0"/>
    <x v="157"/>
    <x v="157"/>
    <x v="157"/>
  </r>
  <r>
    <x v="13"/>
    <x v="6"/>
    <x v="4"/>
    <x v="4"/>
    <x v="158"/>
    <x v="9"/>
    <x v="3"/>
    <x v="112"/>
    <x v="9"/>
    <x v="9"/>
    <x v="0"/>
    <x v="0"/>
    <x v="158"/>
    <x v="158"/>
    <x v="158"/>
  </r>
  <r>
    <x v="11"/>
    <x v="2"/>
    <x v="2"/>
    <x v="1"/>
    <x v="159"/>
    <x v="5"/>
    <x v="3"/>
    <x v="112"/>
    <x v="9"/>
    <x v="9"/>
    <x v="0"/>
    <x v="0"/>
    <x v="159"/>
    <x v="159"/>
    <x v="159"/>
  </r>
  <r>
    <x v="25"/>
    <x v="17"/>
    <x v="3"/>
    <x v="1"/>
    <x v="160"/>
    <x v="3"/>
    <x v="3"/>
    <x v="113"/>
    <x v="9"/>
    <x v="9"/>
    <x v="0"/>
    <x v="0"/>
    <x v="160"/>
    <x v="160"/>
    <x v="160"/>
  </r>
  <r>
    <x v="29"/>
    <x v="14"/>
    <x v="3"/>
    <x v="0"/>
    <x v="161"/>
    <x v="6"/>
    <x v="2"/>
    <x v="114"/>
    <x v="9"/>
    <x v="9"/>
    <x v="0"/>
    <x v="0"/>
    <x v="161"/>
    <x v="161"/>
    <x v="161"/>
  </r>
  <r>
    <x v="4"/>
    <x v="11"/>
    <x v="0"/>
    <x v="1"/>
    <x v="162"/>
    <x v="2"/>
    <x v="2"/>
    <x v="115"/>
    <x v="9"/>
    <x v="9"/>
    <x v="0"/>
    <x v="0"/>
    <x v="162"/>
    <x v="162"/>
    <x v="162"/>
  </r>
  <r>
    <x v="4"/>
    <x v="6"/>
    <x v="1"/>
    <x v="1"/>
    <x v="163"/>
    <x v="16"/>
    <x v="3"/>
    <x v="116"/>
    <x v="10"/>
    <x v="10"/>
    <x v="10"/>
    <x v="0"/>
    <x v="163"/>
    <x v="163"/>
    <x v="163"/>
  </r>
  <r>
    <x v="19"/>
    <x v="12"/>
    <x v="1"/>
    <x v="0"/>
    <x v="164"/>
    <x v="13"/>
    <x v="3"/>
    <x v="117"/>
    <x v="10"/>
    <x v="10"/>
    <x v="0"/>
    <x v="0"/>
    <x v="164"/>
    <x v="164"/>
    <x v="164"/>
  </r>
  <r>
    <x v="22"/>
    <x v="14"/>
    <x v="0"/>
    <x v="4"/>
    <x v="165"/>
    <x v="9"/>
    <x v="3"/>
    <x v="118"/>
    <x v="10"/>
    <x v="10"/>
    <x v="0"/>
    <x v="0"/>
    <x v="165"/>
    <x v="165"/>
    <x v="165"/>
  </r>
  <r>
    <x v="25"/>
    <x v="5"/>
    <x v="4"/>
    <x v="1"/>
    <x v="166"/>
    <x v="18"/>
    <x v="3"/>
    <x v="119"/>
    <x v="10"/>
    <x v="10"/>
    <x v="0"/>
    <x v="0"/>
    <x v="166"/>
    <x v="166"/>
    <x v="166"/>
  </r>
  <r>
    <x v="26"/>
    <x v="0"/>
    <x v="1"/>
    <x v="4"/>
    <x v="167"/>
    <x v="5"/>
    <x v="3"/>
    <x v="120"/>
    <x v="10"/>
    <x v="10"/>
    <x v="0"/>
    <x v="0"/>
    <x v="167"/>
    <x v="167"/>
    <x v="167"/>
  </r>
  <r>
    <x v="26"/>
    <x v="6"/>
    <x v="2"/>
    <x v="4"/>
    <x v="168"/>
    <x v="15"/>
    <x v="2"/>
    <x v="121"/>
    <x v="10"/>
    <x v="10"/>
    <x v="0"/>
    <x v="0"/>
    <x v="168"/>
    <x v="168"/>
    <x v="168"/>
  </r>
  <r>
    <x v="16"/>
    <x v="3"/>
    <x v="0"/>
    <x v="2"/>
    <x v="169"/>
    <x v="8"/>
    <x v="2"/>
    <x v="122"/>
    <x v="10"/>
    <x v="10"/>
    <x v="0"/>
    <x v="0"/>
    <x v="169"/>
    <x v="169"/>
    <x v="169"/>
  </r>
  <r>
    <x v="1"/>
    <x v="12"/>
    <x v="3"/>
    <x v="1"/>
    <x v="170"/>
    <x v="0"/>
    <x v="3"/>
    <x v="123"/>
    <x v="10"/>
    <x v="10"/>
    <x v="0"/>
    <x v="0"/>
    <x v="170"/>
    <x v="170"/>
    <x v="170"/>
  </r>
  <r>
    <x v="7"/>
    <x v="18"/>
    <x v="0"/>
    <x v="2"/>
    <x v="171"/>
    <x v="1"/>
    <x v="2"/>
    <x v="124"/>
    <x v="10"/>
    <x v="10"/>
    <x v="0"/>
    <x v="0"/>
    <x v="171"/>
    <x v="171"/>
    <x v="171"/>
  </r>
  <r>
    <x v="8"/>
    <x v="6"/>
    <x v="3"/>
    <x v="0"/>
    <x v="172"/>
    <x v="7"/>
    <x v="3"/>
    <x v="125"/>
    <x v="10"/>
    <x v="10"/>
    <x v="0"/>
    <x v="0"/>
    <x v="172"/>
    <x v="172"/>
    <x v="172"/>
  </r>
  <r>
    <x v="23"/>
    <x v="11"/>
    <x v="2"/>
    <x v="0"/>
    <x v="173"/>
    <x v="10"/>
    <x v="2"/>
    <x v="126"/>
    <x v="10"/>
    <x v="10"/>
    <x v="0"/>
    <x v="0"/>
    <x v="173"/>
    <x v="173"/>
    <x v="173"/>
  </r>
  <r>
    <x v="22"/>
    <x v="13"/>
    <x v="4"/>
    <x v="4"/>
    <x v="174"/>
    <x v="3"/>
    <x v="3"/>
    <x v="126"/>
    <x v="10"/>
    <x v="10"/>
    <x v="0"/>
    <x v="0"/>
    <x v="174"/>
    <x v="174"/>
    <x v="174"/>
  </r>
  <r>
    <x v="27"/>
    <x v="17"/>
    <x v="4"/>
    <x v="0"/>
    <x v="175"/>
    <x v="7"/>
    <x v="3"/>
    <x v="127"/>
    <x v="10"/>
    <x v="10"/>
    <x v="0"/>
    <x v="0"/>
    <x v="175"/>
    <x v="175"/>
    <x v="175"/>
  </r>
  <r>
    <x v="29"/>
    <x v="6"/>
    <x v="4"/>
    <x v="1"/>
    <x v="176"/>
    <x v="14"/>
    <x v="3"/>
    <x v="128"/>
    <x v="10"/>
    <x v="10"/>
    <x v="0"/>
    <x v="0"/>
    <x v="176"/>
    <x v="176"/>
    <x v="176"/>
  </r>
  <r>
    <x v="2"/>
    <x v="6"/>
    <x v="4"/>
    <x v="1"/>
    <x v="177"/>
    <x v="4"/>
    <x v="3"/>
    <x v="129"/>
    <x v="11"/>
    <x v="11"/>
    <x v="11"/>
    <x v="0"/>
    <x v="177"/>
    <x v="177"/>
    <x v="177"/>
  </r>
  <r>
    <x v="26"/>
    <x v="5"/>
    <x v="1"/>
    <x v="0"/>
    <x v="178"/>
    <x v="5"/>
    <x v="3"/>
    <x v="130"/>
    <x v="11"/>
    <x v="11"/>
    <x v="0"/>
    <x v="0"/>
    <x v="178"/>
    <x v="178"/>
    <x v="178"/>
  </r>
  <r>
    <x v="16"/>
    <x v="23"/>
    <x v="3"/>
    <x v="0"/>
    <x v="179"/>
    <x v="4"/>
    <x v="2"/>
    <x v="131"/>
    <x v="11"/>
    <x v="11"/>
    <x v="0"/>
    <x v="0"/>
    <x v="179"/>
    <x v="179"/>
    <x v="179"/>
  </r>
  <r>
    <x v="16"/>
    <x v="20"/>
    <x v="3"/>
    <x v="0"/>
    <x v="180"/>
    <x v="10"/>
    <x v="2"/>
    <x v="132"/>
    <x v="11"/>
    <x v="11"/>
    <x v="0"/>
    <x v="0"/>
    <x v="180"/>
    <x v="180"/>
    <x v="180"/>
  </r>
  <r>
    <x v="10"/>
    <x v="9"/>
    <x v="2"/>
    <x v="0"/>
    <x v="181"/>
    <x v="14"/>
    <x v="3"/>
    <x v="133"/>
    <x v="11"/>
    <x v="11"/>
    <x v="0"/>
    <x v="0"/>
    <x v="181"/>
    <x v="181"/>
    <x v="181"/>
  </r>
  <r>
    <x v="23"/>
    <x v="9"/>
    <x v="1"/>
    <x v="4"/>
    <x v="182"/>
    <x v="14"/>
    <x v="2"/>
    <x v="134"/>
    <x v="11"/>
    <x v="11"/>
    <x v="0"/>
    <x v="0"/>
    <x v="182"/>
    <x v="182"/>
    <x v="182"/>
  </r>
  <r>
    <x v="12"/>
    <x v="18"/>
    <x v="0"/>
    <x v="1"/>
    <x v="183"/>
    <x v="7"/>
    <x v="3"/>
    <x v="135"/>
    <x v="11"/>
    <x v="11"/>
    <x v="0"/>
    <x v="0"/>
    <x v="183"/>
    <x v="183"/>
    <x v="183"/>
  </r>
  <r>
    <x v="18"/>
    <x v="18"/>
    <x v="0"/>
    <x v="3"/>
    <x v="184"/>
    <x v="8"/>
    <x v="2"/>
    <x v="136"/>
    <x v="11"/>
    <x v="11"/>
    <x v="0"/>
    <x v="0"/>
    <x v="184"/>
    <x v="184"/>
    <x v="184"/>
  </r>
  <r>
    <x v="5"/>
    <x v="18"/>
    <x v="0"/>
    <x v="1"/>
    <x v="185"/>
    <x v="14"/>
    <x v="3"/>
    <x v="137"/>
    <x v="11"/>
    <x v="11"/>
    <x v="0"/>
    <x v="0"/>
    <x v="185"/>
    <x v="185"/>
    <x v="185"/>
  </r>
  <r>
    <x v="8"/>
    <x v="17"/>
    <x v="2"/>
    <x v="1"/>
    <x v="186"/>
    <x v="13"/>
    <x v="3"/>
    <x v="138"/>
    <x v="11"/>
    <x v="11"/>
    <x v="0"/>
    <x v="0"/>
    <x v="186"/>
    <x v="186"/>
    <x v="186"/>
  </r>
  <r>
    <x v="11"/>
    <x v="20"/>
    <x v="2"/>
    <x v="1"/>
    <x v="187"/>
    <x v="17"/>
    <x v="3"/>
    <x v="139"/>
    <x v="11"/>
    <x v="11"/>
    <x v="0"/>
    <x v="0"/>
    <x v="187"/>
    <x v="187"/>
    <x v="187"/>
  </r>
  <r>
    <x v="12"/>
    <x v="4"/>
    <x v="3"/>
    <x v="2"/>
    <x v="188"/>
    <x v="10"/>
    <x v="2"/>
    <x v="140"/>
    <x v="11"/>
    <x v="11"/>
    <x v="0"/>
    <x v="0"/>
    <x v="188"/>
    <x v="188"/>
    <x v="188"/>
  </r>
  <r>
    <x v="8"/>
    <x v="4"/>
    <x v="2"/>
    <x v="3"/>
    <x v="189"/>
    <x v="6"/>
    <x v="3"/>
    <x v="141"/>
    <x v="11"/>
    <x v="11"/>
    <x v="0"/>
    <x v="0"/>
    <x v="189"/>
    <x v="189"/>
    <x v="189"/>
  </r>
  <r>
    <x v="5"/>
    <x v="0"/>
    <x v="2"/>
    <x v="1"/>
    <x v="190"/>
    <x v="13"/>
    <x v="3"/>
    <x v="142"/>
    <x v="11"/>
    <x v="11"/>
    <x v="0"/>
    <x v="0"/>
    <x v="190"/>
    <x v="190"/>
    <x v="190"/>
  </r>
  <r>
    <x v="4"/>
    <x v="17"/>
    <x v="3"/>
    <x v="0"/>
    <x v="191"/>
    <x v="11"/>
    <x v="2"/>
    <x v="142"/>
    <x v="11"/>
    <x v="11"/>
    <x v="0"/>
    <x v="0"/>
    <x v="191"/>
    <x v="191"/>
    <x v="191"/>
  </r>
  <r>
    <x v="29"/>
    <x v="26"/>
    <x v="4"/>
    <x v="1"/>
    <x v="192"/>
    <x v="8"/>
    <x v="3"/>
    <x v="143"/>
    <x v="11"/>
    <x v="11"/>
    <x v="0"/>
    <x v="0"/>
    <x v="192"/>
    <x v="192"/>
    <x v="192"/>
  </r>
  <r>
    <x v="13"/>
    <x v="21"/>
    <x v="1"/>
    <x v="3"/>
    <x v="193"/>
    <x v="2"/>
    <x v="3"/>
    <x v="143"/>
    <x v="11"/>
    <x v="11"/>
    <x v="0"/>
    <x v="0"/>
    <x v="193"/>
    <x v="193"/>
    <x v="193"/>
  </r>
  <r>
    <x v="10"/>
    <x v="11"/>
    <x v="0"/>
    <x v="1"/>
    <x v="194"/>
    <x v="4"/>
    <x v="3"/>
    <x v="144"/>
    <x v="11"/>
    <x v="11"/>
    <x v="0"/>
    <x v="0"/>
    <x v="194"/>
    <x v="194"/>
    <x v="194"/>
  </r>
  <r>
    <x v="25"/>
    <x v="8"/>
    <x v="4"/>
    <x v="1"/>
    <x v="195"/>
    <x v="4"/>
    <x v="3"/>
    <x v="144"/>
    <x v="11"/>
    <x v="11"/>
    <x v="0"/>
    <x v="0"/>
    <x v="195"/>
    <x v="195"/>
    <x v="195"/>
  </r>
  <r>
    <x v="16"/>
    <x v="1"/>
    <x v="2"/>
    <x v="4"/>
    <x v="196"/>
    <x v="1"/>
    <x v="3"/>
    <x v="145"/>
    <x v="0"/>
    <x v="0"/>
    <x v="12"/>
    <x v="0"/>
    <x v="196"/>
    <x v="196"/>
    <x v="196"/>
  </r>
  <r>
    <x v="19"/>
    <x v="11"/>
    <x v="0"/>
    <x v="4"/>
    <x v="197"/>
    <x v="2"/>
    <x v="2"/>
    <x v="146"/>
    <x v="0"/>
    <x v="0"/>
    <x v="0"/>
    <x v="0"/>
    <x v="197"/>
    <x v="197"/>
    <x v="197"/>
  </r>
  <r>
    <x v="9"/>
    <x v="8"/>
    <x v="1"/>
    <x v="0"/>
    <x v="198"/>
    <x v="4"/>
    <x v="3"/>
    <x v="146"/>
    <x v="0"/>
    <x v="0"/>
    <x v="0"/>
    <x v="0"/>
    <x v="198"/>
    <x v="198"/>
    <x v="198"/>
  </r>
  <r>
    <x v="20"/>
    <x v="8"/>
    <x v="2"/>
    <x v="1"/>
    <x v="199"/>
    <x v="7"/>
    <x v="3"/>
    <x v="147"/>
    <x v="0"/>
    <x v="0"/>
    <x v="0"/>
    <x v="0"/>
    <x v="199"/>
    <x v="199"/>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9" firstHeaderRow="1" firstDataRow="1" firstDataCol="1"/>
  <pivotFields count="15">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compact="0" showAll="0">
      <items count="6">
        <item x="4"/>
        <item x="1"/>
        <item x="3"/>
        <item x="2"/>
        <item x="0"/>
        <item t="default"/>
      </items>
    </pivotField>
    <pivotField compact="0" showAll="0">
      <items count="6">
        <item x="0"/>
        <item x="1"/>
        <item x="2"/>
        <item x="3"/>
        <item x="4"/>
        <item t="default"/>
      </items>
    </pivotField>
    <pivotField dataField="1"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5">
        <item x="0"/>
        <item x="1"/>
        <item x="2"/>
        <item x="3"/>
        <item t="default"/>
      </items>
    </pivotField>
    <pivotField compact="0" numFmtId="18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13">
        <item h="1" x="0"/>
        <item h="1" x="1"/>
        <item x="2"/>
        <item h="1" x="3"/>
        <item h="1" x="4"/>
        <item x="5"/>
        <item h="1" x="6"/>
        <item h="1" x="7"/>
        <item h="1" x="8"/>
        <item h="1" x="9"/>
        <item h="1" x="10"/>
        <item h="1" x="11"/>
        <item t="default"/>
      </items>
    </pivotField>
    <pivotField compact="0" showAll="0">
      <items count="13">
        <item x="0"/>
        <item x="1"/>
        <item x="2"/>
        <item x="3"/>
        <item x="4"/>
        <item x="5"/>
        <item x="6"/>
        <item x="7"/>
        <item x="8"/>
        <item x="9"/>
        <item x="10"/>
        <item x="11"/>
        <item t="default"/>
      </items>
    </pivotField>
    <pivotField compact="0" numFmtId="10" showAll="0">
      <items count="14">
        <item x="0"/>
        <item x="1"/>
        <item x="2"/>
        <item x="3"/>
        <item x="4"/>
        <item x="5"/>
        <item x="6"/>
        <item x="7"/>
        <item x="8"/>
        <item x="9"/>
        <item x="10"/>
        <item x="11"/>
        <item x="12"/>
        <item t="default"/>
      </items>
    </pivotField>
    <pivotField compact="0" numFmtId="181" showAll="0">
      <items count="2">
        <item x="0"/>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count="1">
    <field x="2"/>
  </rowFields>
  <rowItems count="6">
    <i>
      <x/>
    </i>
    <i>
      <x v="1"/>
    </i>
    <i>
      <x v="2"/>
    </i>
    <i>
      <x v="3"/>
    </i>
    <i>
      <x v="4"/>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9" firstHeaderRow="1" firstDataRow="1" firstDataCol="1"/>
  <pivotFields count="15">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6">
        <item x="4"/>
        <item x="1"/>
        <item x="3"/>
        <item x="2"/>
        <item x="0"/>
        <item t="default"/>
      </items>
    </pivotField>
    <pivotField axis="axisRow" compact="0" showAll="0">
      <items count="6">
        <item x="0"/>
        <item x="1"/>
        <item x="2"/>
        <item x="3"/>
        <item x="4"/>
        <item t="default"/>
      </items>
    </pivotField>
    <pivotField dataField="1"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5">
        <item x="0"/>
        <item x="1"/>
        <item x="2"/>
        <item x="3"/>
        <item t="default"/>
      </items>
    </pivotField>
    <pivotField compact="0" numFmtId="18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13">
        <item h="1" x="0"/>
        <item h="1" x="1"/>
        <item x="2"/>
        <item h="1" x="3"/>
        <item h="1" x="4"/>
        <item h="1" x="5"/>
        <item h="1" x="6"/>
        <item h="1" x="7"/>
        <item h="1" x="8"/>
        <item h="1" x="9"/>
        <item h="1" x="10"/>
        <item h="1" x="11"/>
        <item t="default"/>
      </items>
    </pivotField>
    <pivotField compact="0" showAll="0">
      <items count="13">
        <item x="0"/>
        <item x="1"/>
        <item x="2"/>
        <item x="3"/>
        <item x="4"/>
        <item x="5"/>
        <item x="6"/>
        <item x="7"/>
        <item x="8"/>
        <item x="9"/>
        <item x="10"/>
        <item x="11"/>
        <item t="default"/>
      </items>
    </pivotField>
    <pivotField compact="0" numFmtId="10" showAll="0">
      <items count="14">
        <item x="0"/>
        <item x="1"/>
        <item x="2"/>
        <item x="3"/>
        <item x="4"/>
        <item x="5"/>
        <item x="6"/>
        <item x="7"/>
        <item x="8"/>
        <item x="9"/>
        <item x="10"/>
        <item x="11"/>
        <item x="12"/>
        <item t="default"/>
      </items>
    </pivotField>
    <pivotField compact="0" numFmtId="181" showAll="0">
      <items count="2">
        <item x="0"/>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count="1">
    <field x="3"/>
  </rowFields>
  <rowItems count="6">
    <i>
      <x/>
    </i>
    <i>
      <x v="1"/>
    </i>
    <i>
      <x v="2"/>
    </i>
    <i>
      <x v="3"/>
    </i>
    <i>
      <x v="4"/>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C28" firstHeaderRow="1" firstDataRow="1" firstDataCol="2"/>
  <pivotFields count="15">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6">
        <item x="4"/>
        <item x="1"/>
        <item x="3"/>
        <item x="2"/>
        <item x="0"/>
        <item t="default"/>
      </items>
    </pivotField>
    <pivotField compact="0" showAll="0">
      <items count="6">
        <item x="0"/>
        <item x="1"/>
        <item x="2"/>
        <item x="3"/>
        <item x="4"/>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5">
        <item x="0"/>
        <item x="1"/>
        <item x="2"/>
        <item x="3"/>
        <item t="default"/>
      </items>
    </pivotField>
    <pivotField compact="0" numFmtId="18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compact="0" multipleItemSelectionAllowed="1" showAll="0">
      <items count="13">
        <item x="0"/>
        <item x="1"/>
        <item x="2"/>
        <item x="3"/>
        <item x="4"/>
        <item x="5"/>
        <item x="6"/>
        <item x="7"/>
        <item x="8"/>
        <item x="9"/>
        <item x="10"/>
        <item x="11"/>
        <item t="default"/>
      </items>
    </pivotField>
    <pivotField axis="axisRow" compact="0" showAll="0">
      <items count="13">
        <item x="0"/>
        <item x="1"/>
        <item x="2"/>
        <item x="3"/>
        <item x="4"/>
        <item x="5"/>
        <item x="6"/>
        <item x="7"/>
        <item x="8"/>
        <item x="9"/>
        <item x="10"/>
        <item x="11"/>
        <item t="default"/>
      </items>
    </pivotField>
    <pivotField compact="0" numFmtId="10" showAll="0">
      <items count="14">
        <item x="0"/>
        <item x="1"/>
        <item x="2"/>
        <item x="3"/>
        <item x="4"/>
        <item x="5"/>
        <item x="6"/>
        <item x="7"/>
        <item x="8"/>
        <item x="9"/>
        <item x="10"/>
        <item x="11"/>
        <item x="12"/>
        <item t="default"/>
      </items>
    </pivotField>
    <pivotField compact="0" numFmtId="181" showAll="0">
      <items count="2">
        <item x="0"/>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count="2">
    <field x="8"/>
    <field x="9"/>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name="Sum of Profit" fld="13"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Year2" sourceName="Month-Year ">
  <pivotTables>
    <pivotTable tabId="6" name="PivotTable1"/>
  </pivotTables>
  <data>
    <tabular pivotCacheId="1">
      <items count="12">
        <i x="9" s="1"/>
        <i x="10" s="1"/>
        <i x="11" s="1"/>
        <i x="0" s="1"/>
        <i x="1" s="1"/>
        <i x="2" s="1"/>
        <i x="3" s="1"/>
        <i x="4" s="1"/>
        <i x="5" s="1"/>
        <i x="6" s="1"/>
        <i x="7" s="1"/>
        <i x="8"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Year1" sourceName="Month-Year ">
  <pivotTables>
    <pivotTable tabId="8" name="PivotTable1"/>
  </pivotTables>
  <data>
    <tabular pivotCacheId="1">
      <items count="12">
        <i x="9" s="0"/>
        <i x="10" s="0"/>
        <i x="11" s="0"/>
        <i x="0" s="0"/>
        <i x="1" s="0"/>
        <i x="2" s="1"/>
        <i x="3" s="0"/>
        <i x="4" s="0"/>
        <i x="5" s="0"/>
        <i x="6" s="0"/>
        <i x="7" s="0"/>
        <i x="8" s="0"/>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Year" sourceName="Month-Year ">
  <pivotTables>
    <pivotTable tabId="4" name="PivotTable1"/>
  </pivotTables>
  <data>
    <tabular pivotCacheId="1">
      <items count="12">
        <i x="9" s="0"/>
        <i x="10" s="0"/>
        <i x="11" s="0"/>
        <i x="0" s="0"/>
        <i x="1" s="0"/>
        <i x="2" s="1"/>
        <i x="3" s="0"/>
        <i x="4" s="0"/>
        <i x="5" s="1"/>
        <i x="6" s="0"/>
        <i x="7" s="0"/>
        <i x="8"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Year " cache="Slicer_Month_Year" caption="Month-Year " startItem="4" rowHeight="225425"/>
  <slicer name="Month-Year  1" cache="Slicer_Month_Year1" caption="Month-Year " rowHeight="225425"/>
  <slicer name="Month-Year  2" cache="Slicer_Month_Year2" caption="Month-Year " rowHeight="225425"/>
</slicers>
</file>

<file path=xl/tables/table1.xml><?xml version="1.0" encoding="utf-8"?>
<table xmlns="http://schemas.openxmlformats.org/spreadsheetml/2006/main" id="2" name="Pooja" displayName="Pooja" ref="A1:O201" totalsRowShown="0">
  <autoFilter xmlns:etc="http://www.wps.cn/officeDocument/2017/etCustomData" ref="A1:O201" etc:filterBottomFollowUsedRange="0"/>
  <tableColumns count="15">
    <tableColumn id="1" name="Customer_ID" dataDxfId="0"/>
    <tableColumn id="2" name="Customer_Name" dataDxfId="1"/>
    <tableColumn id="3" name="Region" dataDxfId="2"/>
    <tableColumn id="4" name="Product_Category" dataDxfId="3"/>
    <tableColumn id="5" name="Sales" dataDxfId="4"/>
    <tableColumn id="6" name="Quantity" dataDxfId="5"/>
    <tableColumn id="7" name="Discount" dataDxfId="6">
      <calculatedColumnFormula>IF(AND(N2&gt;300,N2&lt;=500),0.05,IF(AND(N2&gt;500,N2&lt;=800),0.1,IF(AND(N2&gt;800,N2&lt;=1000),0.12,IF(N2&gt;1000,0.15,0))))</calculatedColumnFormula>
    </tableColumn>
    <tableColumn id="8" name="Order_Date" dataDxfId="7"/>
    <tableColumn id="9" name="Month-Year " dataDxfId="8">
      <calculatedColumnFormula>TEXT(H2,"mmm")</calculatedColumnFormula>
    </tableColumn>
    <tableColumn id="10" name="Total Sales per Month" dataDxfId="9">
      <calculatedColumnFormula>SUMIFS(E:E,I:I,I2)</calculatedColumnFormula>
    </tableColumn>
    <tableColumn id="11" name="Monthly Growth%" dataDxfId="10">
      <calculatedColumnFormula>IFERROR((J2-J1)/J1,0)</calculatedColumnFormula>
    </tableColumn>
    <tableColumn id="12" name="TimeStamp" dataDxfId="11">
      <calculatedColumnFormula>NOW()</calculatedColumnFormula>
    </tableColumn>
    <tableColumn id="13" name="Cost" dataDxfId="12"/>
    <tableColumn id="14" name="Profit" dataDxfId="13">
      <calculatedColumnFormula>E2-M2</calculatedColumnFormula>
    </tableColumn>
    <tableColumn id="15" name="profit after dis" dataDxfId="14">
      <calculatedColumnFormula>N2*(1-G2)</calculatedColumnFormula>
    </tableColumn>
  </tableColumns>
  <tableStyleInfo name="TableStylePreset3_Accent1" showFirstColumn="0" showLastColumn="0" showRowStripes="1" showColumnStripes="0"/>
</table>
</file>

<file path=xl/tables/table2.xml><?xml version="1.0" encoding="utf-8"?>
<table xmlns="http://schemas.openxmlformats.org/spreadsheetml/2006/main" id="1" name="Table1" displayName="Table1" ref="A1:I201" totalsRowShown="0">
  <autoFilter xmlns:etc="http://www.wps.cn/officeDocument/2017/etCustomData" ref="A1:I201" etc:filterBottomFollowUsedRange="0">
    <filterColumn colId="4">
      <customFilters>
        <customFilter operator="greaterThanOrEqual" val="1000"/>
      </customFilters>
    </filterColumn>
  </autoFilter>
  <tableColumns count="9">
    <tableColumn id="1" name="Customer_ID" dataDxfId="19"/>
    <tableColumn id="2" name="Customer_Name" dataDxfId="20"/>
    <tableColumn id="3" name="Region" dataDxfId="21"/>
    <tableColumn id="4" name="Product_Category" dataDxfId="22"/>
    <tableColumn id="5" name="Sales" dataDxfId="23"/>
    <tableColumn id="6" name="Quantity" dataDxfId="24"/>
    <tableColumn id="7" name="Discount" dataDxfId="25"/>
    <tableColumn id="8" name="Order_Date" dataDxfId="26"/>
    <tableColumn id="9" name="Profit" dataDxfId="27"/>
  </tableColumns>
  <tableStyleInfo name="TableStylePreset3_Accen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2.jpeg"/></Relationships>
</file>

<file path=xl/theme/theme1.xml><?xml version="1.0" encoding="utf-8"?>
<a:theme xmlns:a="http://schemas.openxmlformats.org/drawingml/2006/main" name="Origin">
  <a:themeElements>
    <a:clrScheme name="Origin">
      <a:dk1>
        <a:sysClr val="windowText" lastClr="000000"/>
      </a:dk1>
      <a:lt1>
        <a:sysClr val="window" lastClr="FFFFFF"/>
      </a:lt1>
      <a:dk2>
        <a:srgbClr val="464653"/>
      </a:dk2>
      <a:lt2>
        <a:srgbClr val="DDE9EC"/>
      </a:lt2>
      <a:accent1>
        <a:srgbClr val="727CA3"/>
      </a:accent1>
      <a:accent2>
        <a:srgbClr val="9FB8CD"/>
      </a:accent2>
      <a:accent3>
        <a:srgbClr val="D2DA7A"/>
      </a:accent3>
      <a:accent4>
        <a:srgbClr val="FADA7A"/>
      </a:accent4>
      <a:accent5>
        <a:srgbClr val="B88472"/>
      </a:accent5>
      <a:accent6>
        <a:srgbClr val="8E736A"/>
      </a:accent6>
      <a:hlink>
        <a:srgbClr val="B292CA"/>
      </a:hlink>
      <a:folHlink>
        <a:srgbClr val="6B5680"/>
      </a:folHlink>
    </a:clrScheme>
    <a:fontScheme name="Origin">
      <a:majorFont>
        <a:latin typeface="Bookman Old Style"/>
        <a:ea typeface=""/>
        <a:cs typeface=""/>
        <a:font script="Grek" typeface="Cambria"/>
        <a:font script="Cyrl" typeface="Cambria"/>
        <a:font script="Jpan" typeface="HG明朝E"/>
        <a:font script="Hang" typeface="돋움"/>
        <a:font script="Hans" typeface="宋体"/>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a:ea typeface=""/>
        <a:cs typeface=""/>
        <a:font script="Grek" typeface="Calibri"/>
        <a:font script="Cyrl" typeface="Calibri"/>
        <a:font script="Jpan" typeface="ＭＳ Ｐゴシック"/>
        <a:font script="Hang" typeface="맑은 고딕"/>
        <a:font script="Hans" typeface="华文新魏"/>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rigin">
      <a:fillStyleLst>
        <a:solidFill>
          <a:schemeClr val="phClr"/>
        </a:solidFill>
        <a:gradFill rotWithShape="1">
          <a:gsLst>
            <a:gs pos="0">
              <a:schemeClr val="phClr">
                <a:tint val="45000"/>
                <a:satMod val="200000"/>
              </a:schemeClr>
            </a:gs>
            <a:gs pos="30000">
              <a:schemeClr val="phClr">
                <a:tint val="61000"/>
                <a:satMod val="200000"/>
              </a:schemeClr>
            </a:gs>
            <a:gs pos="45000">
              <a:schemeClr val="phClr">
                <a:tint val="66000"/>
                <a:satMod val="200000"/>
              </a:schemeClr>
            </a:gs>
            <a:gs pos="55000">
              <a:schemeClr val="phClr">
                <a:tint val="66000"/>
                <a:satMod val="200000"/>
              </a:schemeClr>
            </a:gs>
            <a:gs pos="73000">
              <a:schemeClr val="phClr">
                <a:tint val="61000"/>
                <a:satMod val="200000"/>
              </a:schemeClr>
            </a:gs>
            <a:gs pos="100000">
              <a:schemeClr val="phClr">
                <a:tint val="45000"/>
                <a:satMod val="200000"/>
              </a:schemeClr>
            </a:gs>
          </a:gsLst>
          <a:lin ang="950000" scaled="1"/>
        </a:gradFill>
        <a:gradFill rotWithShape="1">
          <a:gsLst>
            <a:gs pos="0">
              <a:schemeClr val="phClr">
                <a:shade val="63000"/>
              </a:schemeClr>
            </a:gs>
            <a:gs pos="30000">
              <a:schemeClr val="phClr">
                <a:shade val="90000"/>
                <a:satMod val="110000"/>
              </a:schemeClr>
            </a:gs>
            <a:gs pos="45000">
              <a:schemeClr val="phClr">
                <a:shade val="100000"/>
                <a:satMod val="118000"/>
              </a:schemeClr>
            </a:gs>
            <a:gs pos="55000">
              <a:schemeClr val="phClr">
                <a:shade val="100000"/>
                <a:satMod val="118000"/>
              </a:schemeClr>
            </a:gs>
            <a:gs pos="73000">
              <a:schemeClr val="phClr">
                <a:shade val="90000"/>
                <a:satMod val="110000"/>
              </a:schemeClr>
            </a:gs>
            <a:gs pos="100000">
              <a:schemeClr val="phClr">
                <a:shade val="63000"/>
              </a:schemeClr>
            </a:gs>
          </a:gsLst>
          <a:lin ang="950000" scaled="1"/>
        </a:gradFill>
      </a:fillStyleLst>
      <a:lnStyleLst>
        <a:ln w="9525"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outerShdw blurRad="38100" dist="25400" dir="5400000" rotWithShape="0">
              <a:srgbClr val="000000">
                <a:alpha val="40000"/>
              </a:srgbClr>
            </a:outerShdw>
          </a:effectLst>
        </a:effectStyle>
        <a:effectStyle>
          <a:effectLst>
            <a:outerShdw blurRad="50800" dist="43000" dir="5400000" rotWithShape="0">
              <a:srgbClr val="000000">
                <a:alpha val="40000"/>
              </a:srgbClr>
            </a:outerShdw>
          </a:effectLst>
          <a:scene3d>
            <a:camera prst="orthographicFront" fov="0">
              <a:rot lat="0" lon="0" rev="0"/>
            </a:camera>
            <a:lightRig rig="balanced" dir="t">
              <a:rot lat="0" lon="0" rev="0"/>
            </a:lightRig>
          </a:scene3d>
          <a:sp3d prstMaterial="matte">
            <a:bevelT w="0" h="0"/>
            <a:contourClr>
              <a:schemeClr val="phClr">
                <a:tint val="100000"/>
                <a:shade val="100000"/>
                <a:hueMod val="100000"/>
                <a:satMod val="100000"/>
              </a:schemeClr>
            </a:contourClr>
          </a:sp3d>
        </a:effectStyle>
        <a:effectStyle>
          <a:effectLst>
            <a:outerShdw blurRad="50800" dist="25400" dir="5400000" rotWithShape="0">
              <a:srgbClr val="000000">
                <a:alpha val="50000"/>
              </a:srgbClr>
            </a:outerShdw>
          </a:effectLst>
          <a:scene3d>
            <a:camera prst="orthographicFront" fov="0">
              <a:rot lat="0" lon="0" rev="0"/>
            </a:camera>
            <a:lightRig rig="soft" dir="t">
              <a:rot lat="0" lon="0" rev="2700000"/>
            </a:lightRig>
          </a:scene3d>
          <a:sp3d prstMaterial="matte">
            <a:bevelT w="50800" h="50800"/>
            <a:contourClr>
              <a:schemeClr val="phClr"/>
            </a:contourClr>
          </a:sp3d>
        </a:effectStyle>
      </a:effectStyleLst>
      <a:bgFillStyleLst>
        <a:solidFill>
          <a:schemeClr val="phClr"/>
        </a:solidFill>
        <a:gradFill rotWithShape="1">
          <a:gsLst>
            <a:gs pos="0">
              <a:schemeClr val="phClr">
                <a:shade val="60000"/>
                <a:satMod val="300000"/>
              </a:schemeClr>
            </a:gs>
            <a:gs pos="30000">
              <a:schemeClr val="phClr">
                <a:shade val="80000"/>
                <a:satMod val="230000"/>
              </a:schemeClr>
            </a:gs>
            <a:gs pos="100000">
              <a:schemeClr val="phClr">
                <a:tint val="97000"/>
                <a:satMod val="220000"/>
              </a:schemeClr>
            </a:gs>
          </a:gsLst>
          <a:lin ang="16200000" scaled="1"/>
        </a:gradFill>
        <a:blipFill>
          <a:blip xmlns:r="http://schemas.openxmlformats.org/officeDocument/2006/relationships" r:embed="rId1">
            <a:duotone>
              <a:schemeClr val="phClr">
                <a:shade val="6000"/>
                <a:satMod val="120000"/>
              </a:schemeClr>
              <a:schemeClr val="phClr">
                <a:tint val="90000"/>
              </a:schemeClr>
            </a:duotone>
          </a:blip>
          <a:tile tx="0" ty="0" sx="35000" sy="40000" flip="x" algn="tl"/>
        </a:blip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47"/>
  <sheetViews>
    <sheetView topLeftCell="A2" workbookViewId="0">
      <selection activeCell="A2" sqref="A2"/>
    </sheetView>
  </sheetViews>
  <sheetFormatPr defaultColWidth="14.4259259259259" defaultRowHeight="18" customHeight="1"/>
  <cols>
    <col min="1" max="1" width="74.8611111111111" customWidth="1"/>
    <col min="2" max="26" width="8.71296296296296" customWidth="1"/>
  </cols>
  <sheetData>
    <row r="1" spans="1:26">
      <c r="A1" s="21" t="s">
        <v>0</v>
      </c>
      <c r="B1" s="22"/>
      <c r="C1" s="22"/>
      <c r="D1" s="22"/>
      <c r="E1" s="22"/>
      <c r="F1" s="22"/>
      <c r="G1" s="22"/>
      <c r="H1" s="22"/>
      <c r="I1" s="22"/>
      <c r="J1" s="22"/>
      <c r="K1" s="22"/>
      <c r="L1" s="22"/>
      <c r="M1" s="22"/>
      <c r="N1" s="22"/>
      <c r="O1" s="22"/>
      <c r="P1" s="22"/>
      <c r="Q1" s="22"/>
      <c r="R1" s="22"/>
      <c r="S1" s="22"/>
      <c r="T1" s="22"/>
      <c r="U1" s="22"/>
      <c r="V1" s="22"/>
      <c r="W1" s="22"/>
      <c r="X1" s="22"/>
      <c r="Y1" s="22"/>
      <c r="Z1" s="22"/>
    </row>
    <row r="2" ht="409.5" spans="1:26">
      <c r="A2" s="23" t="s">
        <v>1</v>
      </c>
      <c r="B2" s="22"/>
      <c r="C2" s="22"/>
      <c r="D2" s="22"/>
      <c r="E2" s="22"/>
      <c r="F2" s="22"/>
      <c r="G2" s="22"/>
      <c r="H2" s="22"/>
      <c r="I2" s="22"/>
      <c r="J2" s="22"/>
      <c r="K2" s="22"/>
      <c r="L2" s="22"/>
      <c r="M2" s="22"/>
      <c r="N2" s="22"/>
      <c r="O2" s="22"/>
      <c r="P2" s="22"/>
      <c r="Q2" s="22"/>
      <c r="R2" s="22"/>
      <c r="S2" s="22"/>
      <c r="T2" s="22"/>
      <c r="U2" s="22"/>
      <c r="V2" s="22"/>
      <c r="W2" s="22"/>
      <c r="X2" s="22"/>
      <c r="Y2" s="22"/>
      <c r="Z2" s="22"/>
    </row>
    <row r="3" spans="1:26">
      <c r="A3" s="22"/>
      <c r="B3" s="22"/>
      <c r="C3" s="22"/>
      <c r="D3" s="22"/>
      <c r="E3" s="22"/>
      <c r="F3" s="22"/>
      <c r="G3" s="22"/>
      <c r="H3" s="22"/>
      <c r="I3" s="22"/>
      <c r="J3" s="22"/>
      <c r="K3" s="22"/>
      <c r="L3" s="22"/>
      <c r="M3" s="22"/>
      <c r="N3" s="22"/>
      <c r="O3" s="22"/>
      <c r="P3" s="22"/>
      <c r="Q3" s="22"/>
      <c r="R3" s="22"/>
      <c r="S3" s="22"/>
      <c r="T3" s="22"/>
      <c r="U3" s="22"/>
      <c r="V3" s="22"/>
      <c r="W3" s="22"/>
      <c r="X3" s="22"/>
      <c r="Y3" s="22"/>
      <c r="Z3" s="22"/>
    </row>
    <row r="4" ht="15.75" customHeight="1" spans="1:26">
      <c r="A4" s="22"/>
      <c r="B4" s="22"/>
      <c r="C4" s="22"/>
      <c r="D4" s="22"/>
      <c r="E4" s="22"/>
      <c r="F4" s="22"/>
      <c r="G4" s="22"/>
      <c r="H4" s="22"/>
      <c r="I4" s="22"/>
      <c r="J4" s="22"/>
      <c r="K4" s="22"/>
      <c r="L4" s="22"/>
      <c r="M4" s="22"/>
      <c r="N4" s="22"/>
      <c r="O4" s="22"/>
      <c r="P4" s="22"/>
      <c r="Q4" s="22"/>
      <c r="R4" s="22"/>
      <c r="S4" s="22"/>
      <c r="T4" s="22"/>
      <c r="U4" s="22"/>
      <c r="V4" s="22"/>
      <c r="W4" s="22"/>
      <c r="X4" s="22"/>
      <c r="Y4" s="22"/>
      <c r="Z4" s="22"/>
    </row>
    <row r="5" ht="15.75" customHeight="1" spans="1:26">
      <c r="A5" s="22"/>
      <c r="B5" s="22"/>
      <c r="C5" s="22"/>
      <c r="D5" s="22"/>
      <c r="E5" s="22"/>
      <c r="F5" s="22"/>
      <c r="G5" s="22"/>
      <c r="H5" s="22"/>
      <c r="I5" s="22"/>
      <c r="J5" s="22"/>
      <c r="K5" s="22"/>
      <c r="L5" s="22"/>
      <c r="M5" s="22"/>
      <c r="N5" s="22"/>
      <c r="O5" s="22"/>
      <c r="P5" s="22"/>
      <c r="Q5" s="22"/>
      <c r="R5" s="22"/>
      <c r="S5" s="22"/>
      <c r="T5" s="22"/>
      <c r="U5" s="22"/>
      <c r="V5" s="22"/>
      <c r="W5" s="22"/>
      <c r="X5" s="22"/>
      <c r="Y5" s="22"/>
      <c r="Z5" s="22"/>
    </row>
    <row r="6" ht="15.75" customHeight="1" spans="1:26">
      <c r="A6" s="22"/>
      <c r="B6" s="22"/>
      <c r="C6" s="22"/>
      <c r="D6" s="22"/>
      <c r="E6" s="22"/>
      <c r="F6" s="22"/>
      <c r="G6" s="22"/>
      <c r="H6" s="22"/>
      <c r="I6" s="22"/>
      <c r="J6" s="22"/>
      <c r="K6" s="22"/>
      <c r="L6" s="22"/>
      <c r="M6" s="22"/>
      <c r="N6" s="22"/>
      <c r="O6" s="22"/>
      <c r="P6" s="22"/>
      <c r="Q6" s="22"/>
      <c r="R6" s="22"/>
      <c r="S6" s="22"/>
      <c r="T6" s="22"/>
      <c r="U6" s="22"/>
      <c r="V6" s="22"/>
      <c r="W6" s="22"/>
      <c r="X6" s="22"/>
      <c r="Y6" s="22"/>
      <c r="Z6" s="22"/>
    </row>
    <row r="7" ht="15.75" customHeight="1" spans="1:26">
      <c r="A7" s="22"/>
      <c r="B7" s="22"/>
      <c r="C7" s="22"/>
      <c r="D7" s="22"/>
      <c r="E7" s="22"/>
      <c r="F7" s="22"/>
      <c r="G7" s="22"/>
      <c r="H7" s="22"/>
      <c r="I7" s="22"/>
      <c r="J7" s="22"/>
      <c r="K7" s="22"/>
      <c r="L7" s="22"/>
      <c r="M7" s="22"/>
      <c r="N7" s="22"/>
      <c r="O7" s="22"/>
      <c r="P7" s="22"/>
      <c r="Q7" s="22"/>
      <c r="R7" s="22"/>
      <c r="S7" s="22"/>
      <c r="T7" s="22"/>
      <c r="U7" s="22"/>
      <c r="V7" s="22"/>
      <c r="W7" s="22"/>
      <c r="X7" s="22"/>
      <c r="Y7" s="22"/>
      <c r="Z7" s="22"/>
    </row>
    <row r="8" ht="15.75" customHeight="1" spans="1:26">
      <c r="A8" s="22"/>
      <c r="B8" s="22"/>
      <c r="C8" s="22"/>
      <c r="D8" s="22"/>
      <c r="E8" s="22"/>
      <c r="F8" s="22"/>
      <c r="G8" s="22"/>
      <c r="H8" s="22"/>
      <c r="I8" s="22"/>
      <c r="J8" s="22"/>
      <c r="K8" s="22"/>
      <c r="L8" s="22"/>
      <c r="M8" s="22"/>
      <c r="N8" s="22"/>
      <c r="O8" s="22"/>
      <c r="P8" s="22"/>
      <c r="Q8" s="22"/>
      <c r="R8" s="22"/>
      <c r="S8" s="22"/>
      <c r="T8" s="22"/>
      <c r="U8" s="22"/>
      <c r="V8" s="22"/>
      <c r="W8" s="22"/>
      <c r="X8" s="22"/>
      <c r="Y8" s="22"/>
      <c r="Z8" s="22"/>
    </row>
    <row r="9" ht="15.75" customHeight="1" spans="1:26">
      <c r="A9" s="22"/>
      <c r="B9" s="22"/>
      <c r="C9" s="22"/>
      <c r="D9" s="22"/>
      <c r="E9" s="22"/>
      <c r="F9" s="22"/>
      <c r="G9" s="22"/>
      <c r="H9" s="22"/>
      <c r="I9" s="22"/>
      <c r="J9" s="22"/>
      <c r="K9" s="22"/>
      <c r="L9" s="22"/>
      <c r="M9" s="22"/>
      <c r="N9" s="22"/>
      <c r="O9" s="22"/>
      <c r="P9" s="22"/>
      <c r="Q9" s="22"/>
      <c r="R9" s="22"/>
      <c r="S9" s="22"/>
      <c r="T9" s="22"/>
      <c r="U9" s="22"/>
      <c r="V9" s="22"/>
      <c r="W9" s="22"/>
      <c r="X9" s="22"/>
      <c r="Y9" s="22"/>
      <c r="Z9" s="22"/>
    </row>
    <row r="10" ht="15.75" customHeight="1" spans="1:26">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5.75" customHeight="1" spans="1:26">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5.75" customHeight="1" spans="1:26">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5.75" customHeight="1" spans="1:26">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5.75" customHeight="1" spans="1:26">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5.75" customHeight="1" spans="1:26">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5.75" customHeight="1" spans="1:2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5.75" customHeight="1" spans="1:26">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spans="1:26">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spans="1:26">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spans="1:26">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spans="1:26">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spans="1:26">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spans="1:26">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spans="1:26">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spans="1:26">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spans="1: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spans="1:26">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spans="1:26">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spans="1:26">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spans="1:26">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spans="1:26">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spans="1:26">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spans="1:26">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spans="1:26">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spans="1:26">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spans="1:2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spans="1:26">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spans="1:26">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spans="1:26">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spans="1:26">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spans="1:26">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spans="1:26">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spans="1:26">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spans="1:26">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spans="1:2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spans="1:26">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spans="1:26">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spans="1:26">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spans="1:26">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spans="1:26">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spans="1:26">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spans="1:26">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spans="1:26">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spans="1:26">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spans="1:2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spans="1:2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spans="1:26">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spans="1:26">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spans="1:26">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spans="1:26">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spans="1:26">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spans="1:2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spans="1:2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spans="1:2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spans="1:2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spans="1:2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spans="1:2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spans="1:2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spans="1:2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spans="1:2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spans="1:2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spans="1:2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spans="1:2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spans="1:2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spans="1:2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spans="1:2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spans="1:2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spans="1:2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spans="1:2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spans="1:2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spans="1:2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spans="1:2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spans="1:2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spans="1:2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spans="1:2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spans="1:2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spans="1:2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spans="1:2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spans="1:2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spans="1:2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spans="1:2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spans="1:2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spans="1:2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spans="1:2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spans="1:2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spans="1:2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spans="1:2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spans="1:2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spans="1:2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spans="1:2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spans="1:2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spans="1:2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spans="1:2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spans="1:2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spans="1:2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spans="1:2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spans="1:2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spans="1:2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spans="1:2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spans="1:2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spans="1:2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spans="1:2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spans="1:2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spans="1:2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spans="1:2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spans="1:2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spans="1:2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spans="1:2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spans="1:2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spans="1:2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spans="1:2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spans="1:2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spans="1:2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spans="1:2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spans="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spans="1:2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spans="1:2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spans="1:2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spans="1:2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spans="1:2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spans="1:2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spans="1:2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spans="1:2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spans="1:2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spans="1:2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spans="1:2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spans="1:2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spans="1:2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spans="1:2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spans="1:2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spans="1:2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spans="1:2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spans="1:2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spans="1:2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spans="1:2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spans="1:2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spans="1:2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spans="1:2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spans="1:2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spans="1:2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spans="1:2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spans="1:2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spans="1:2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spans="1:2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spans="1:2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spans="1:2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spans="1:2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spans="1:2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spans="1:2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spans="1:2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spans="1:2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spans="1:2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spans="1:2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spans="1:2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spans="1:2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spans="1:2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spans="1:2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spans="1:2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spans="1:2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spans="1:2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spans="1:2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spans="1:2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spans="1:2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spans="1:2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spans="1:2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spans="1:2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spans="1:2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spans="1:2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spans="1:2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spans="1:2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spans="1:2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spans="1:2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spans="1:2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spans="1:2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spans="1:2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spans="1:2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spans="1:2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spans="1:2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spans="1:2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spans="1:2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spans="1:2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spans="1:2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spans="1:2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spans="1:2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spans="1:2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spans="1:2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spans="1:2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spans="1:2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spans="1:2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spans="1:2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spans="1:2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spans="1:2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spans="1:2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spans="1:2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spans="1:2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spans="1:2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spans="1:2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spans="1:2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spans="1:2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spans="1:2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spans="1:2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spans="1:2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spans="1:2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spans="1:2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spans="1:2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spans="1:2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spans="1:2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spans="1:2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spans="1:2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spans="1:2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spans="1:2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spans="1:2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spans="1:2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spans="1:2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spans="1: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spans="1:2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spans="1:2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spans="1:2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spans="1:2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spans="1:2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spans="1:2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spans="1:2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spans="1:2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spans="1:2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spans="1:2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spans="1:2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spans="1:2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spans="1:2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spans="1:2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spans="1:2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spans="1:2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spans="1:2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spans="1:2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spans="1:2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spans="1:2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spans="1:2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spans="1:2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spans="1:2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spans="1:2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spans="1:2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spans="1:2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spans="1:2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spans="1:2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spans="1:2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spans="1:2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spans="1:2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spans="1:2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spans="1:2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spans="1:2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spans="1:2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spans="1:2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spans="1:2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spans="1:2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spans="1:2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spans="1:2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spans="1:2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spans="1:2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spans="1:2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spans="1:2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spans="1:2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spans="1:2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spans="1:2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spans="1:2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spans="1:2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spans="1:2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spans="1:2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spans="1:2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spans="1:2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spans="1:2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spans="1:2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spans="1:2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spans="1:2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spans="1:2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spans="1:2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spans="1:2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spans="1:2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spans="1:2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spans="1:2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spans="1:2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spans="1:2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spans="1:2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spans="1:2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spans="1:2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spans="1:2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spans="1:2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spans="1:2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spans="1:2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spans="1:2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spans="1:2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spans="1:2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spans="1:2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spans="1:2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spans="1:2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spans="1:2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spans="1:2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spans="1:2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spans="1:2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spans="1:2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spans="1:2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spans="1:2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spans="1:2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spans="1:2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spans="1:2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spans="1:2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spans="1:2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spans="1:2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spans="1:2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spans="1:2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spans="1:2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spans="1:2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spans="1:2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spans="1:2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spans="1:2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spans="1:2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spans="1: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spans="1:2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spans="1:2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spans="1:2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spans="1:2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spans="1:2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spans="1:2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spans="1:2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spans="1:2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spans="1:2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spans="1:2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spans="1:2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spans="1:2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spans="1:2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spans="1:2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spans="1:2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spans="1:2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spans="1:2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spans="1:2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spans="1:2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spans="1:2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spans="1:2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spans="1:2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spans="1:2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spans="1:2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spans="1:2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spans="1:2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spans="1:2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spans="1:2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spans="1:2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spans="1:2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spans="1:2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spans="1:2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spans="1:2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spans="1:2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spans="1:2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spans="1:2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spans="1:2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spans="1:2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spans="1:2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spans="1:2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spans="1:2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spans="1:2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spans="1:2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spans="1:2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spans="1:2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spans="1:2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spans="1:2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spans="1:2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spans="1:2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spans="1:2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spans="1:2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spans="1:2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spans="1:2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spans="1:2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spans="1:2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spans="1:2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spans="1:2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spans="1:2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spans="1:2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spans="1:2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spans="1:2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spans="1:2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spans="1:2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spans="1:2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spans="1:2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spans="1:2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spans="1:2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spans="1:2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spans="1:2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spans="1:2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spans="1:2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spans="1:2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spans="1:2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spans="1:2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spans="1:2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spans="1:2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spans="1:2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spans="1:2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spans="1:2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spans="1:2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spans="1:2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spans="1:2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spans="1:2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spans="1:2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spans="1:2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spans="1:2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spans="1:2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spans="1:2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spans="1:2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spans="1:2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spans="1:2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spans="1:2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spans="1:2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spans="1:2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spans="1:2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spans="1:2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spans="1:2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spans="1:2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spans="1:2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spans="1: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spans="1:2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spans="1:2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spans="1:2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spans="1:2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spans="1:2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spans="1:2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spans="1:2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spans="1:2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spans="1:2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spans="1:2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spans="1:2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spans="1:2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spans="1:2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spans="1:2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spans="1:2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spans="1:2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spans="1:2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spans="1:2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spans="1:2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spans="1:2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spans="1:2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spans="1:2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spans="1:2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spans="1:2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spans="1:2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spans="1:2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spans="1:2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spans="1:2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spans="1:2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spans="1:2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spans="1:2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spans="1:2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spans="1:2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spans="1:2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spans="1:2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spans="1:2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spans="1:2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spans="1:2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spans="1:2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spans="1:2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spans="1:2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spans="1:2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spans="1:2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spans="1:2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spans="1:2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spans="1:2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spans="1:2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spans="1:2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spans="1:2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spans="1:2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spans="1:2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spans="1:2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spans="1:2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spans="1:2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spans="1:2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spans="1:2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spans="1:2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spans="1:2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spans="1:2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spans="1:2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spans="1:2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spans="1:2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spans="1:2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spans="1:2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spans="1:2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spans="1:2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spans="1:2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spans="1:2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spans="1:2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spans="1:2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spans="1:2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spans="1:2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spans="1:2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spans="1:2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spans="1:2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spans="1:2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spans="1:2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spans="1:2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spans="1:2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spans="1:2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spans="1:2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spans="1:2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spans="1:2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spans="1:2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spans="1:2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spans="1:2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spans="1:2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spans="1:2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spans="1:2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spans="1:2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spans="1:2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spans="1:2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spans="1:2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spans="1:2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spans="1:2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spans="1:2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spans="1:2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spans="1:2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spans="1:2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spans="1: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spans="1:2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spans="1:2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spans="1:2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spans="1:2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spans="1:2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spans="1:2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spans="1:2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spans="1:2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spans="1:2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spans="1:2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spans="1:2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spans="1:2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spans="1:2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spans="1:2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spans="1:2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spans="1:2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spans="1:2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spans="1:2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spans="1:2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spans="1:2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spans="1:2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spans="1:2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spans="1:2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spans="1:2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spans="1:2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spans="1:2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spans="1:2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spans="1:2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spans="1:2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spans="1:2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spans="1:2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spans="1:2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spans="1:2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spans="1:2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spans="1:2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spans="1:2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spans="1:2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spans="1:2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spans="1:2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spans="1:2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spans="1:2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spans="1:2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spans="1:2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spans="1:2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spans="1:2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spans="1:2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spans="1:2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spans="1:2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spans="1:2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spans="1:2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spans="1:2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spans="1:2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spans="1:2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spans="1:2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spans="1:2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spans="1:2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spans="1:2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spans="1:2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spans="1:2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spans="1:2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spans="1:2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spans="1:2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spans="1:2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spans="1:2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spans="1:2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spans="1:2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spans="1:2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spans="1:2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spans="1:2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spans="1:2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spans="1:2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spans="1:2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spans="1:2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spans="1:2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spans="1:2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spans="1:2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spans="1:2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spans="1:2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spans="1:2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spans="1:2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spans="1:2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spans="1:2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spans="1:2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spans="1:2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spans="1:2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spans="1:2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spans="1:2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spans="1:2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spans="1:2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spans="1:2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spans="1:2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spans="1:2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spans="1:2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spans="1:2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spans="1:2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spans="1:2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spans="1:2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spans="1:2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spans="1:2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spans="1: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spans="1:2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spans="1:2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spans="1:2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spans="1:2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spans="1:2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spans="1:2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spans="1:2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spans="1:2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spans="1:2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spans="1:2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spans="1:2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spans="1:2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spans="1:2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spans="1:2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spans="1:2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spans="1:2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spans="1:2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spans="1:2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spans="1:2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spans="1:2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spans="1:2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spans="1:2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spans="1:2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spans="1:2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spans="1:2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spans="1:2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spans="1:2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spans="1:2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spans="1:2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spans="1:2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spans="1:2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spans="1:2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spans="1:2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spans="1:2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spans="1:2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spans="1:2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spans="1:2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spans="1:2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spans="1:2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spans="1:2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spans="1:2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spans="1:2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spans="1:2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spans="1:2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spans="1:2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spans="1:2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spans="1:2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spans="1:2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spans="1:2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spans="1:2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spans="1:2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spans="1:2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spans="1:2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spans="1:2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spans="1:2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spans="1:2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spans="1:2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spans="1:2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spans="1:2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spans="1:2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spans="1:2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spans="1:2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spans="1:2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spans="1:2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spans="1:2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spans="1:2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spans="1:2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spans="1:2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spans="1:2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spans="1:2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spans="1:2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spans="1:2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spans="1:2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spans="1:2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spans="1:2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spans="1:2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spans="1:2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spans="1:2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spans="1:2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spans="1:2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spans="1:2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spans="1:2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spans="1:2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spans="1:2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spans="1:2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spans="1:2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spans="1:2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spans="1:2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spans="1:2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spans="1:2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spans="1:2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spans="1:2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spans="1:2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spans="1:2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spans="1:2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spans="1:2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spans="1:2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spans="1:2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spans="1:2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spans="1: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spans="1:2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spans="1:2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spans="1:2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spans="1:2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spans="1:2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spans="1:2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spans="1:2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spans="1:2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spans="1:2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spans="1:2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spans="1:2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spans="1:2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spans="1:2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spans="1:2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spans="1:2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spans="1:2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spans="1:2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spans="1:2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spans="1:2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spans="1:2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spans="1:2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spans="1:2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spans="1:2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spans="1:2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spans="1:2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spans="1:2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spans="1:2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spans="1:2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spans="1:2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spans="1:2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spans="1:2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spans="1:2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spans="1:2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spans="1:2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spans="1:2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spans="1:2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spans="1:2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spans="1:2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spans="1:2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spans="1:2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spans="1:2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spans="1:2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spans="1:2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spans="1:2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spans="1:2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spans="1:2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spans="1:2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spans="1:2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spans="1:2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spans="1:2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spans="1:2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spans="1:2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spans="1:2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spans="1:2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spans="1:2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spans="1:2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spans="1:2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spans="1:2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spans="1:2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spans="1:2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spans="1:2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spans="1:2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spans="1:2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spans="1:2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spans="1:2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spans="1:2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spans="1:2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spans="1:2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spans="1:2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spans="1:2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spans="1:2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spans="1:2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spans="1:2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spans="1:2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spans="1:2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spans="1:2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spans="1:2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spans="1:2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spans="1:2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spans="1:2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spans="1:2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spans="1:2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spans="1:2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spans="1:2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spans="1:2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spans="1:2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spans="1:2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spans="1:2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spans="1:2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spans="1:2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spans="1:2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spans="1:2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spans="1:2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spans="1:2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spans="1:2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spans="1:2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spans="1:2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spans="1:2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spans="1: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spans="1:2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spans="1:2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spans="1:2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spans="1:2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spans="1:2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spans="1:2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spans="1:2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spans="1:2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spans="1:2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spans="1:2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spans="1:2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spans="1:2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spans="1:2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spans="1:2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spans="1:2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spans="1:2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spans="1:2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spans="1:2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spans="1:2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spans="1:2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spans="1:2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spans="1:2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spans="1:2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spans="1:2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spans="1:2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spans="1:2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spans="1:2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spans="1:2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spans="1:2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spans="1:2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spans="1:2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spans="1:2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spans="1:2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spans="1:2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spans="1:2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spans="1:2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spans="1:2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spans="1:2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spans="1:2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spans="1:2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spans="1:2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spans="1:2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spans="1:2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spans="1:2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spans="1:2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spans="1:2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spans="1:2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spans="1:2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spans="1:2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spans="1:2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spans="1:2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spans="1:2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spans="1:2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spans="1:2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spans="1:2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spans="1:2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spans="1:2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spans="1:2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spans="1:2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spans="1:2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spans="1:2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spans="1:2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spans="1:2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spans="1:2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spans="1:2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spans="1:2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spans="1:2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spans="1:2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spans="1:2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spans="1:2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spans="1:2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spans="1:2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spans="1:2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spans="1:2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spans="1:2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spans="1:2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spans="1:2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spans="1:2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spans="1:2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spans="1:2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spans="1:2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spans="1:2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spans="1:2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spans="1:2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spans="1:2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spans="1:2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spans="1:2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spans="1:2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spans="1:2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spans="1:2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spans="1:2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spans="1:2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spans="1:2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spans="1:2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spans="1:2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spans="1:2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spans="1:2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spans="1:2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67"/>
  <sheetViews>
    <sheetView zoomScale="64" zoomScaleNormal="64" workbookViewId="0">
      <selection activeCell="A1" sqref="A1:BI67"/>
    </sheetView>
  </sheetViews>
  <sheetFormatPr defaultColWidth="8.88888888888889" defaultRowHeight="18"/>
  <sheetData>
    <row r="1" spans="1:6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row>
    <row r="2" spans="1:6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row>
    <row r="3" spans="1:61">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row>
    <row r="4" spans="1:6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row>
    <row r="5" spans="1:6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row>
    <row r="6" spans="1:6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row>
    <row r="7" spans="1:6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row>
    <row r="8" spans="1:6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row>
    <row r="9" spans="1:6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row>
    <row r="10" spans="1:6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row>
    <row r="11" spans="1:6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row>
    <row r="12" spans="1:6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row>
    <row r="13" spans="1:6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row>
    <row r="14" spans="1:6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row>
    <row r="15" spans="1:6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row>
    <row r="16" spans="1:6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row>
    <row r="17" spans="1:6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row>
    <row r="18" spans="1:6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row>
    <row r="19" spans="1:6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row>
    <row r="20" spans="1:6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row>
    <row r="21" spans="1:6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row>
    <row r="22" spans="1:6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row>
    <row r="23" spans="1:6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row>
    <row r="24" spans="1:6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row>
    <row r="25" spans="1:6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row>
    <row r="26" spans="1:6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row>
    <row r="27" spans="1:6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row>
    <row r="28" spans="1:6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row>
    <row r="29" spans="1:6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row>
    <row r="30" spans="1:6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row>
    <row r="31" spans="1:6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row>
    <row r="32" spans="1:6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row>
    <row r="33" spans="1:6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row>
    <row r="34" spans="1:6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row>
    <row r="35" spans="1:6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row>
    <row r="36" spans="1:6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row>
    <row r="37" spans="1:6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row>
    <row r="38" spans="1:6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row>
    <row r="39" spans="1:6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row>
    <row r="40" spans="1:6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row>
    <row r="41" spans="1:6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row>
    <row r="42" spans="1:6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row>
    <row r="43" spans="1:6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row>
    <row r="44" spans="1:6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row>
    <row r="45" spans="1:6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row>
    <row r="46" spans="1:6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row>
    <row r="47" spans="1:6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row>
    <row r="48" spans="1:6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row>
    <row r="49" spans="1:6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row>
    <row r="50" spans="1:6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row>
    <row r="51" spans="1:6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row>
    <row r="52" spans="1:6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row>
    <row r="53" spans="1:6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row>
    <row r="54" spans="1:6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row>
    <row r="55" spans="1:6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row>
    <row r="56" spans="1:6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row>
    <row r="57" spans="1:6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row>
    <row r="58" spans="1:6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row>
    <row r="59" spans="1:6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row>
    <row r="60" spans="1:6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row>
    <row r="61" spans="1: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row>
    <row r="62" spans="1:6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row>
    <row r="63" spans="1:6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row>
    <row r="64" spans="1:6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row>
    <row r="65" spans="1:6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row>
    <row r="66" spans="1:6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row>
    <row r="67" spans="1:6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row>
  </sheetData>
  <mergeCells count="1">
    <mergeCell ref="A1:BI67"/>
  </mergeCells>
  <pageMargins left="0.75" right="0.75" top="1" bottom="1" header="0.5" footer="0.5"/>
  <headerFooter/>
  <drawing r:id="rId1"/>
  <picture r:id="rId3"/>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0"/>
  <sheetViews>
    <sheetView tabSelected="1" zoomScale="70" zoomScaleNormal="70" topLeftCell="E1" workbookViewId="0">
      <selection activeCell="Q16" sqref="Q16"/>
    </sheetView>
  </sheetViews>
  <sheetFormatPr defaultColWidth="14.4259259259259" defaultRowHeight="18" customHeight="1"/>
  <cols>
    <col min="1" max="1" width="12.4259259259259" customWidth="1"/>
    <col min="2" max="2" width="16.5740740740741" customWidth="1"/>
    <col min="3" max="3" width="7.28703703703704" customWidth="1"/>
    <col min="4" max="4" width="16.712962962963" customWidth="1"/>
    <col min="5" max="5" width="8" customWidth="1"/>
    <col min="6" max="6" width="8.86111111111111" customWidth="1"/>
    <col min="7" max="7" width="8.71296296296296" customWidth="1"/>
    <col min="8" max="8" width="11.287037037037" customWidth="1"/>
    <col min="9" max="9" width="12.5555555555556" customWidth="1"/>
    <col min="10" max="10" width="19" customWidth="1"/>
    <col min="11" max="11" width="16.2222222222222" customWidth="1"/>
    <col min="12" max="12" width="17.7777777777778" customWidth="1"/>
    <col min="13" max="13" width="7" customWidth="1"/>
    <col min="14" max="14" width="7.44444444444444" customWidth="1"/>
    <col min="15" max="15" width="13.3333333333333" customWidth="1"/>
    <col min="16" max="16" width="8.71296296296296" customWidth="1"/>
    <col min="17" max="17" width="14" customWidth="1"/>
    <col min="18" max="18" width="8.77777777777778" customWidth="1"/>
    <col min="19" max="21" width="8.71296296296296" customWidth="1"/>
    <col min="22" max="22" width="17" customWidth="1"/>
    <col min="23" max="23" width="19.4444444444444" customWidth="1"/>
    <col min="24" max="26" width="8.71296296296296" customWidth="1"/>
    <col min="27" max="27" width="17.037037037037" customWidth="1"/>
    <col min="28" max="28" width="8.66666666666667" customWidth="1"/>
    <col min="29" max="31" width="8.71296296296296" customWidth="1"/>
  </cols>
  <sheetData>
    <row r="1" spans="1:31">
      <c r="A1" s="4" t="s">
        <v>2</v>
      </c>
      <c r="B1" s="4" t="s">
        <v>3</v>
      </c>
      <c r="C1" s="4" t="s">
        <v>4</v>
      </c>
      <c r="D1" s="4" t="s">
        <v>5</v>
      </c>
      <c r="E1" s="4" t="s">
        <v>6</v>
      </c>
      <c r="F1" s="4" t="s">
        <v>7</v>
      </c>
      <c r="G1" s="4" t="s">
        <v>8</v>
      </c>
      <c r="H1" s="4" t="s">
        <v>9</v>
      </c>
      <c r="I1" s="7" t="s">
        <v>10</v>
      </c>
      <c r="J1" s="7" t="s">
        <v>11</v>
      </c>
      <c r="K1" s="7" t="s">
        <v>12</v>
      </c>
      <c r="L1" s="7" t="s">
        <v>13</v>
      </c>
      <c r="M1" s="7" t="s">
        <v>14</v>
      </c>
      <c r="N1" s="4" t="s">
        <v>15</v>
      </c>
      <c r="O1" s="7" t="s">
        <v>16</v>
      </c>
      <c r="Q1" s="7"/>
      <c r="R1" s="7"/>
      <c r="S1" s="7"/>
      <c r="T1" s="7"/>
      <c r="U1" s="7"/>
      <c r="V1" s="7"/>
      <c r="W1" s="7"/>
      <c r="X1" s="7"/>
      <c r="Y1" s="7"/>
      <c r="Z1" s="7"/>
      <c r="AA1" s="7"/>
      <c r="AB1" s="7"/>
      <c r="AC1" s="7"/>
      <c r="AD1" s="7"/>
      <c r="AE1" s="7"/>
    </row>
    <row r="2" spans="1:15">
      <c r="A2" t="s">
        <v>17</v>
      </c>
      <c r="B2" t="s">
        <v>18</v>
      </c>
      <c r="C2" t="s">
        <v>19</v>
      </c>
      <c r="D2" t="s">
        <v>20</v>
      </c>
      <c r="E2">
        <v>1036.09</v>
      </c>
      <c r="F2">
        <v>4</v>
      </c>
      <c r="G2" s="5">
        <f>IF(AND(N2&gt;300,N2&lt;=500),0.05,IF(AND(N2&gt;500,N2&lt;=800),0.1,IF(AND(N2&gt;800,N2&lt;=1000),0.12,IF(N2&gt;1000,0.15,0))))</f>
        <v>0.05</v>
      </c>
      <c r="H2" s="6">
        <v>45392</v>
      </c>
      <c r="I2" s="8" t="str">
        <f>TEXT(H2,"mmm")</f>
        <v>Apr</v>
      </c>
      <c r="J2" s="9">
        <f>SUMIFS(E:E,I:I,I2)</f>
        <v>22242.13</v>
      </c>
      <c r="K2" s="10">
        <f>IFERROR((J2-J1)/J1,0)</f>
        <v>0</v>
      </c>
      <c r="L2" s="11">
        <f ca="1">NOW()</f>
        <v>45972.4111111111</v>
      </c>
      <c r="M2" s="8">
        <v>705.09</v>
      </c>
      <c r="N2" s="8">
        <f>E2-M2</f>
        <v>331</v>
      </c>
      <c r="O2">
        <f>N2*(1-G2)</f>
        <v>314.45</v>
      </c>
    </row>
    <row r="3" spans="1:15">
      <c r="A3" t="s">
        <v>21</v>
      </c>
      <c r="B3" t="s">
        <v>22</v>
      </c>
      <c r="C3" t="s">
        <v>19</v>
      </c>
      <c r="D3" t="s">
        <v>23</v>
      </c>
      <c r="E3">
        <v>1101.28</v>
      </c>
      <c r="F3">
        <v>3</v>
      </c>
      <c r="G3" s="5">
        <f t="shared" ref="G3:G34" si="0">IF(AND(N3&gt;300,N3&lt;=500),0.05,IF(AND(N3&gt;500,N3&lt;=800),0.1,IF(AND(N3&gt;800,N3&lt;=1000),0.12,IF(N3&gt;1000,0.15,0))))</f>
        <v>0.05</v>
      </c>
      <c r="H3" s="6">
        <v>45393</v>
      </c>
      <c r="I3" s="8" t="str">
        <f t="shared" ref="I3:I34" si="1">TEXT(H3,"mmm")</f>
        <v>Apr</v>
      </c>
      <c r="J3" s="9">
        <f t="shared" ref="J3:J34" si="2">SUMIFS(E:E,I:I,I3)</f>
        <v>22242.13</v>
      </c>
      <c r="K3" s="10">
        <f t="shared" ref="K3:K34" si="3">IFERROR((J3-J2)/J2,0)</f>
        <v>0</v>
      </c>
      <c r="L3" s="11">
        <f ca="1" t="shared" ref="L3:L12" si="4">NOW()</f>
        <v>45972.4111111111</v>
      </c>
      <c r="M3">
        <v>660.77</v>
      </c>
      <c r="N3" s="8">
        <f t="shared" ref="N3:N34" si="5">E3-M3</f>
        <v>440.51</v>
      </c>
      <c r="O3">
        <f t="shared" ref="O3:O34" si="6">N3*(1-G3)</f>
        <v>418.4845</v>
      </c>
    </row>
    <row r="4" spans="1:18">
      <c r="A4" t="s">
        <v>24</v>
      </c>
      <c r="B4" t="s">
        <v>25</v>
      </c>
      <c r="C4" t="s">
        <v>26</v>
      </c>
      <c r="D4" t="s">
        <v>20</v>
      </c>
      <c r="E4">
        <v>713.34</v>
      </c>
      <c r="F4">
        <v>17</v>
      </c>
      <c r="G4" s="5">
        <f t="shared" si="0"/>
        <v>0</v>
      </c>
      <c r="H4" s="6">
        <v>45396</v>
      </c>
      <c r="I4" s="8" t="str">
        <f t="shared" si="1"/>
        <v>Apr</v>
      </c>
      <c r="J4" s="9">
        <f t="shared" si="2"/>
        <v>22242.13</v>
      </c>
      <c r="K4" s="10">
        <f t="shared" si="3"/>
        <v>0</v>
      </c>
      <c r="L4" s="11">
        <f ca="1" t="shared" si="4"/>
        <v>45972.4111111111</v>
      </c>
      <c r="M4">
        <v>428</v>
      </c>
      <c r="N4" s="8">
        <f t="shared" si="5"/>
        <v>285.34</v>
      </c>
      <c r="O4">
        <f t="shared" si="6"/>
        <v>285.34</v>
      </c>
      <c r="Q4" t="s">
        <v>15</v>
      </c>
      <c r="R4" t="s">
        <v>8</v>
      </c>
    </row>
    <row r="5" spans="1:18">
      <c r="A5" t="s">
        <v>27</v>
      </c>
      <c r="B5" t="s">
        <v>22</v>
      </c>
      <c r="C5" t="s">
        <v>28</v>
      </c>
      <c r="D5" t="s">
        <v>29</v>
      </c>
      <c r="E5">
        <v>760.93</v>
      </c>
      <c r="F5">
        <v>4</v>
      </c>
      <c r="G5" s="5">
        <f t="shared" si="0"/>
        <v>0</v>
      </c>
      <c r="H5" s="6">
        <v>45396</v>
      </c>
      <c r="I5" s="8" t="str">
        <f t="shared" si="1"/>
        <v>Apr</v>
      </c>
      <c r="J5" s="9">
        <f t="shared" si="2"/>
        <v>22242.13</v>
      </c>
      <c r="K5" s="10">
        <f t="shared" si="3"/>
        <v>0</v>
      </c>
      <c r="L5" s="11">
        <f ca="1" t="shared" si="4"/>
        <v>45972.4111111111</v>
      </c>
      <c r="M5">
        <v>599.23</v>
      </c>
      <c r="N5" s="8">
        <f t="shared" si="5"/>
        <v>161.7</v>
      </c>
      <c r="O5">
        <f t="shared" si="6"/>
        <v>161.7</v>
      </c>
      <c r="Q5" t="s">
        <v>30</v>
      </c>
      <c r="R5" s="12">
        <v>0.05</v>
      </c>
    </row>
    <row r="6" spans="1:18">
      <c r="A6" t="s">
        <v>31</v>
      </c>
      <c r="B6" t="s">
        <v>32</v>
      </c>
      <c r="C6" t="s">
        <v>33</v>
      </c>
      <c r="D6" t="s">
        <v>20</v>
      </c>
      <c r="E6">
        <v>847</v>
      </c>
      <c r="F6">
        <v>12</v>
      </c>
      <c r="G6" s="5">
        <f t="shared" si="0"/>
        <v>0</v>
      </c>
      <c r="H6" s="6">
        <v>45397</v>
      </c>
      <c r="I6" s="8" t="str">
        <f t="shared" si="1"/>
        <v>Apr</v>
      </c>
      <c r="J6" s="9">
        <f t="shared" si="2"/>
        <v>22242.13</v>
      </c>
      <c r="K6" s="10">
        <f t="shared" si="3"/>
        <v>0</v>
      </c>
      <c r="L6" s="11">
        <f ca="1" t="shared" si="4"/>
        <v>45972.4111111111</v>
      </c>
      <c r="M6">
        <v>575.96</v>
      </c>
      <c r="N6" s="8">
        <f t="shared" si="5"/>
        <v>271.04</v>
      </c>
      <c r="O6">
        <f t="shared" si="6"/>
        <v>271.04</v>
      </c>
      <c r="Q6" t="s">
        <v>34</v>
      </c>
      <c r="R6" s="12">
        <v>0.1</v>
      </c>
    </row>
    <row r="7" spans="1:18">
      <c r="A7" t="s">
        <v>35</v>
      </c>
      <c r="B7" t="s">
        <v>36</v>
      </c>
      <c r="C7" t="s">
        <v>33</v>
      </c>
      <c r="D7" t="s">
        <v>37</v>
      </c>
      <c r="E7">
        <v>965.64</v>
      </c>
      <c r="F7">
        <v>8</v>
      </c>
      <c r="G7" s="5">
        <f t="shared" si="0"/>
        <v>0.05</v>
      </c>
      <c r="H7" s="6">
        <v>45398</v>
      </c>
      <c r="I7" s="8" t="str">
        <f t="shared" si="1"/>
        <v>Apr</v>
      </c>
      <c r="J7" s="9">
        <f t="shared" si="2"/>
        <v>22242.13</v>
      </c>
      <c r="K7" s="10">
        <f t="shared" si="3"/>
        <v>0</v>
      </c>
      <c r="L7" s="11">
        <f ca="1" t="shared" si="4"/>
        <v>45972.4111111111</v>
      </c>
      <c r="M7">
        <v>661.46</v>
      </c>
      <c r="N7" s="8">
        <f t="shared" si="5"/>
        <v>304.18</v>
      </c>
      <c r="O7">
        <f t="shared" si="6"/>
        <v>288.971</v>
      </c>
      <c r="Q7" t="s">
        <v>38</v>
      </c>
      <c r="R7" s="12">
        <v>0.12</v>
      </c>
    </row>
    <row r="8" spans="1:28">
      <c r="A8" t="s">
        <v>39</v>
      </c>
      <c r="B8" t="s">
        <v>40</v>
      </c>
      <c r="C8" t="s">
        <v>19</v>
      </c>
      <c r="D8" t="s">
        <v>29</v>
      </c>
      <c r="E8">
        <v>1317.53</v>
      </c>
      <c r="F8">
        <v>12</v>
      </c>
      <c r="G8" s="5">
        <f t="shared" si="0"/>
        <v>0.05</v>
      </c>
      <c r="H8" s="6">
        <v>45398</v>
      </c>
      <c r="I8" s="8" t="str">
        <f t="shared" si="1"/>
        <v>Apr</v>
      </c>
      <c r="J8" s="9">
        <f t="shared" si="2"/>
        <v>22242.13</v>
      </c>
      <c r="K8" s="10">
        <f t="shared" si="3"/>
        <v>0</v>
      </c>
      <c r="L8" s="11">
        <f ca="1" t="shared" si="4"/>
        <v>45972.4111111111</v>
      </c>
      <c r="M8">
        <v>1004.62</v>
      </c>
      <c r="N8" s="8">
        <f t="shared" si="5"/>
        <v>312.91</v>
      </c>
      <c r="O8">
        <f t="shared" si="6"/>
        <v>297.2645</v>
      </c>
      <c r="Q8" t="s">
        <v>41</v>
      </c>
      <c r="R8" s="12">
        <v>0.15</v>
      </c>
      <c r="V8" s="13" t="s">
        <v>42</v>
      </c>
      <c r="W8" s="14"/>
      <c r="AA8" s="13" t="s">
        <v>43</v>
      </c>
      <c r="AB8" s="14"/>
    </row>
    <row r="9" spans="1:28">
      <c r="A9" t="s">
        <v>44</v>
      </c>
      <c r="B9" t="s">
        <v>45</v>
      </c>
      <c r="C9" t="s">
        <v>26</v>
      </c>
      <c r="D9" t="s">
        <v>37</v>
      </c>
      <c r="E9">
        <v>1074.47</v>
      </c>
      <c r="F9">
        <v>6</v>
      </c>
      <c r="G9" s="5">
        <f t="shared" si="0"/>
        <v>0.05</v>
      </c>
      <c r="H9" s="6">
        <v>45401</v>
      </c>
      <c r="I9" s="8" t="str">
        <f t="shared" si="1"/>
        <v>Apr</v>
      </c>
      <c r="J9" s="9">
        <f t="shared" si="2"/>
        <v>22242.13</v>
      </c>
      <c r="K9" s="10">
        <f t="shared" si="3"/>
        <v>0</v>
      </c>
      <c r="L9" s="11">
        <f ca="1" t="shared" si="4"/>
        <v>45972.4111111111</v>
      </c>
      <c r="M9">
        <v>773.62</v>
      </c>
      <c r="N9" s="8">
        <f t="shared" si="5"/>
        <v>300.85</v>
      </c>
      <c r="O9">
        <f t="shared" si="6"/>
        <v>285.8075</v>
      </c>
      <c r="V9" t="s">
        <v>46</v>
      </c>
      <c r="W9">
        <f>AVERAGE(N2:N201)</f>
        <v>341.4323</v>
      </c>
      <c r="AA9" t="s">
        <v>47</v>
      </c>
      <c r="AB9" s="16">
        <f>MATCH(MAX(E2:E201),E2:E201,0)</f>
        <v>108</v>
      </c>
    </row>
    <row r="10" spans="1:23">
      <c r="A10" t="s">
        <v>48</v>
      </c>
      <c r="B10" t="s">
        <v>49</v>
      </c>
      <c r="C10" t="s">
        <v>50</v>
      </c>
      <c r="D10" t="s">
        <v>20</v>
      </c>
      <c r="E10">
        <v>501.54</v>
      </c>
      <c r="F10">
        <v>11</v>
      </c>
      <c r="G10" s="5">
        <f t="shared" si="0"/>
        <v>0</v>
      </c>
      <c r="H10" s="6">
        <v>45401</v>
      </c>
      <c r="I10" s="8" t="str">
        <f t="shared" si="1"/>
        <v>Apr</v>
      </c>
      <c r="J10" s="9">
        <f t="shared" si="2"/>
        <v>22242.13</v>
      </c>
      <c r="K10" s="10">
        <f t="shared" si="3"/>
        <v>0</v>
      </c>
      <c r="L10" s="11">
        <f ca="1" t="shared" si="4"/>
        <v>45972.4111111111</v>
      </c>
      <c r="M10">
        <v>310.95</v>
      </c>
      <c r="N10" s="8">
        <f t="shared" si="5"/>
        <v>190.59</v>
      </c>
      <c r="O10">
        <f t="shared" si="6"/>
        <v>190.59</v>
      </c>
      <c r="V10" t="s">
        <v>51</v>
      </c>
      <c r="W10">
        <f>MEDIAN(M2:M201)</f>
        <v>630.855</v>
      </c>
    </row>
    <row r="11" spans="1:23">
      <c r="A11" t="s">
        <v>52</v>
      </c>
      <c r="B11" t="s">
        <v>53</v>
      </c>
      <c r="C11" t="s">
        <v>50</v>
      </c>
      <c r="D11" t="s">
        <v>23</v>
      </c>
      <c r="E11">
        <v>737.31</v>
      </c>
      <c r="F11">
        <v>2</v>
      </c>
      <c r="G11" s="5">
        <f t="shared" si="0"/>
        <v>0.05</v>
      </c>
      <c r="H11" s="6">
        <v>45401</v>
      </c>
      <c r="I11" s="8" t="str">
        <f t="shared" si="1"/>
        <v>Apr</v>
      </c>
      <c r="J11" s="9">
        <f t="shared" si="2"/>
        <v>22242.13</v>
      </c>
      <c r="K11" s="10">
        <f t="shared" si="3"/>
        <v>0</v>
      </c>
      <c r="L11" s="11">
        <f ca="1" t="shared" si="4"/>
        <v>45972.4111111111</v>
      </c>
      <c r="M11">
        <v>387.09</v>
      </c>
      <c r="N11" s="8">
        <f t="shared" si="5"/>
        <v>350.22</v>
      </c>
      <c r="O11">
        <f t="shared" si="6"/>
        <v>332.709</v>
      </c>
      <c r="V11" t="s">
        <v>54</v>
      </c>
      <c r="W11" cm="1">
        <f t="array" ref="W11">MODE(F2:F201)</f>
        <v>8</v>
      </c>
    </row>
    <row r="12" spans="1:28">
      <c r="A12" t="s">
        <v>55</v>
      </c>
      <c r="B12" t="s">
        <v>56</v>
      </c>
      <c r="C12" t="s">
        <v>19</v>
      </c>
      <c r="D12" t="s">
        <v>57</v>
      </c>
      <c r="E12">
        <v>1572.82</v>
      </c>
      <c r="F12">
        <v>6</v>
      </c>
      <c r="G12" s="5">
        <f t="shared" si="0"/>
        <v>0.1</v>
      </c>
      <c r="H12" s="6">
        <v>45402</v>
      </c>
      <c r="I12" s="8" t="str">
        <f t="shared" si="1"/>
        <v>Apr</v>
      </c>
      <c r="J12" s="9">
        <f t="shared" si="2"/>
        <v>22242.13</v>
      </c>
      <c r="K12" s="10">
        <f t="shared" si="3"/>
        <v>0</v>
      </c>
      <c r="L12" s="11">
        <f ca="1" t="shared" si="4"/>
        <v>45972.4111111111</v>
      </c>
      <c r="M12">
        <v>900.44</v>
      </c>
      <c r="N12" s="8">
        <f t="shared" si="5"/>
        <v>672.38</v>
      </c>
      <c r="O12">
        <f t="shared" si="6"/>
        <v>605.142</v>
      </c>
      <c r="V12" t="s">
        <v>58</v>
      </c>
      <c r="W12">
        <f>MIN(N2:N201)</f>
        <v>64.63</v>
      </c>
      <c r="AA12" s="13" t="s">
        <v>59</v>
      </c>
      <c r="AB12" s="13"/>
    </row>
    <row r="13" spans="1:28">
      <c r="A13" t="s">
        <v>55</v>
      </c>
      <c r="B13" t="s">
        <v>53</v>
      </c>
      <c r="C13" t="s">
        <v>50</v>
      </c>
      <c r="D13" t="s">
        <v>20</v>
      </c>
      <c r="E13">
        <v>1343.13</v>
      </c>
      <c r="F13">
        <v>14</v>
      </c>
      <c r="G13" s="5">
        <f t="shared" si="0"/>
        <v>0.05</v>
      </c>
      <c r="H13" s="6">
        <v>45404</v>
      </c>
      <c r="I13" s="8" t="str">
        <f t="shared" si="1"/>
        <v>Apr</v>
      </c>
      <c r="J13" s="9">
        <f t="shared" si="2"/>
        <v>22242.13</v>
      </c>
      <c r="K13" s="10">
        <f t="shared" si="3"/>
        <v>0</v>
      </c>
      <c r="L13" s="11">
        <f ca="1" t="shared" ref="L13:L22" si="7">NOW()</f>
        <v>45972.4111111111</v>
      </c>
      <c r="M13">
        <v>886.47</v>
      </c>
      <c r="N13" s="8">
        <f t="shared" si="5"/>
        <v>456.66</v>
      </c>
      <c r="O13">
        <f t="shared" si="6"/>
        <v>433.827</v>
      </c>
      <c r="V13" t="s">
        <v>60</v>
      </c>
      <c r="W13">
        <f>MAX(M2:M201)</f>
        <v>1344.97</v>
      </c>
      <c r="AA13" t="str">
        <f>INDEX(B2:B201,1)</f>
        <v>James Davis</v>
      </c>
      <c r="AB13">
        <f>INDEX(E2:E201,1)</f>
        <v>1036.09</v>
      </c>
    </row>
    <row r="14" spans="1:23">
      <c r="A14" t="s">
        <v>35</v>
      </c>
      <c r="B14" t="s">
        <v>36</v>
      </c>
      <c r="C14" t="s">
        <v>50</v>
      </c>
      <c r="D14" t="s">
        <v>20</v>
      </c>
      <c r="E14">
        <v>1191.58</v>
      </c>
      <c r="F14">
        <v>14</v>
      </c>
      <c r="G14" s="5">
        <f t="shared" si="0"/>
        <v>0.05</v>
      </c>
      <c r="H14" s="6">
        <v>45406</v>
      </c>
      <c r="I14" s="8" t="str">
        <f t="shared" si="1"/>
        <v>Apr</v>
      </c>
      <c r="J14" s="9">
        <f t="shared" si="2"/>
        <v>22242.13</v>
      </c>
      <c r="K14" s="10">
        <f t="shared" si="3"/>
        <v>0</v>
      </c>
      <c r="L14" s="11">
        <f ca="1" t="shared" si="7"/>
        <v>45972.4111111111</v>
      </c>
      <c r="M14">
        <v>738.78</v>
      </c>
      <c r="N14" s="8">
        <f t="shared" si="5"/>
        <v>452.8</v>
      </c>
      <c r="O14">
        <f t="shared" si="6"/>
        <v>430.16</v>
      </c>
      <c r="V14" t="s">
        <v>61</v>
      </c>
      <c r="W14">
        <f>COUNT(F2:F201)</f>
        <v>200</v>
      </c>
    </row>
    <row r="15" spans="1:23">
      <c r="A15" t="s">
        <v>62</v>
      </c>
      <c r="B15" t="s">
        <v>22</v>
      </c>
      <c r="C15" t="s">
        <v>19</v>
      </c>
      <c r="D15" t="s">
        <v>37</v>
      </c>
      <c r="E15">
        <v>822.28</v>
      </c>
      <c r="F15">
        <v>7</v>
      </c>
      <c r="G15" s="5">
        <f t="shared" si="0"/>
        <v>0</v>
      </c>
      <c r="H15" s="6">
        <v>45406</v>
      </c>
      <c r="I15" s="8" t="str">
        <f t="shared" si="1"/>
        <v>Apr</v>
      </c>
      <c r="J15" s="9">
        <f t="shared" si="2"/>
        <v>22242.13</v>
      </c>
      <c r="K15" s="10">
        <f t="shared" si="3"/>
        <v>0</v>
      </c>
      <c r="L15" s="11">
        <f ca="1" t="shared" si="7"/>
        <v>45972.4111111111</v>
      </c>
      <c r="M15">
        <v>548.87</v>
      </c>
      <c r="N15" s="8">
        <f t="shared" si="5"/>
        <v>273.41</v>
      </c>
      <c r="O15">
        <f t="shared" si="6"/>
        <v>273.41</v>
      </c>
      <c r="V15" t="s">
        <v>63</v>
      </c>
      <c r="W15" s="15">
        <f>SUM(E2:E201)</f>
        <v>195217.76</v>
      </c>
    </row>
    <row r="16" spans="1:28">
      <c r="A16" t="s">
        <v>64</v>
      </c>
      <c r="B16" t="s">
        <v>65</v>
      </c>
      <c r="C16" t="s">
        <v>33</v>
      </c>
      <c r="D16" t="s">
        <v>37</v>
      </c>
      <c r="E16">
        <v>521.67</v>
      </c>
      <c r="F16">
        <v>15</v>
      </c>
      <c r="G16" s="5">
        <f t="shared" si="0"/>
        <v>0</v>
      </c>
      <c r="H16" s="6">
        <v>45409</v>
      </c>
      <c r="I16" s="8" t="str">
        <f t="shared" si="1"/>
        <v>Apr</v>
      </c>
      <c r="J16" s="9">
        <f t="shared" si="2"/>
        <v>22242.13</v>
      </c>
      <c r="K16" s="10">
        <f t="shared" si="3"/>
        <v>0</v>
      </c>
      <c r="L16" s="11">
        <f ca="1" t="shared" si="7"/>
        <v>45972.4111111111</v>
      </c>
      <c r="M16">
        <v>366.47</v>
      </c>
      <c r="N16" s="8">
        <f t="shared" si="5"/>
        <v>155.2</v>
      </c>
      <c r="O16">
        <f t="shared" si="6"/>
        <v>155.2</v>
      </c>
      <c r="AA16" s="13" t="s">
        <v>66</v>
      </c>
      <c r="AB16" s="13"/>
    </row>
    <row r="17" spans="1:15">
      <c r="A17" t="s">
        <v>27</v>
      </c>
      <c r="B17" t="s">
        <v>67</v>
      </c>
      <c r="C17" t="s">
        <v>28</v>
      </c>
      <c r="D17" t="s">
        <v>29</v>
      </c>
      <c r="E17">
        <v>1502.93</v>
      </c>
      <c r="F17">
        <v>14</v>
      </c>
      <c r="G17" s="5">
        <f t="shared" si="0"/>
        <v>0.05</v>
      </c>
      <c r="H17" s="6">
        <v>45410</v>
      </c>
      <c r="I17" s="8" t="str">
        <f t="shared" si="1"/>
        <v>Apr</v>
      </c>
      <c r="J17" s="9">
        <f t="shared" si="2"/>
        <v>22242.13</v>
      </c>
      <c r="K17" s="10">
        <f t="shared" si="3"/>
        <v>0</v>
      </c>
      <c r="L17" s="11">
        <f ca="1" t="shared" si="7"/>
        <v>45972.4111111111</v>
      </c>
      <c r="M17">
        <v>1202.34</v>
      </c>
      <c r="N17" s="8">
        <f t="shared" si="5"/>
        <v>300.59</v>
      </c>
      <c r="O17">
        <f t="shared" si="6"/>
        <v>285.5605</v>
      </c>
    </row>
    <row r="18" spans="1:15">
      <c r="A18" t="s">
        <v>68</v>
      </c>
      <c r="B18" t="s">
        <v>22</v>
      </c>
      <c r="C18" t="s">
        <v>28</v>
      </c>
      <c r="D18" t="s">
        <v>20</v>
      </c>
      <c r="E18">
        <v>877.58</v>
      </c>
      <c r="F18">
        <v>10</v>
      </c>
      <c r="G18" s="5">
        <f t="shared" si="0"/>
        <v>0</v>
      </c>
      <c r="H18" s="6">
        <v>45411</v>
      </c>
      <c r="I18" s="8" t="str">
        <f t="shared" si="1"/>
        <v>Apr</v>
      </c>
      <c r="J18" s="9">
        <f t="shared" si="2"/>
        <v>22242.13</v>
      </c>
      <c r="K18" s="10">
        <f t="shared" si="3"/>
        <v>0</v>
      </c>
      <c r="L18" s="11">
        <f ca="1" t="shared" si="7"/>
        <v>45972.4111111111</v>
      </c>
      <c r="M18">
        <v>579.2</v>
      </c>
      <c r="N18" s="8">
        <f t="shared" si="5"/>
        <v>298.38</v>
      </c>
      <c r="O18">
        <f t="shared" si="6"/>
        <v>298.38</v>
      </c>
    </row>
    <row r="19" spans="1:28">
      <c r="A19" t="s">
        <v>39</v>
      </c>
      <c r="B19" t="s">
        <v>69</v>
      </c>
      <c r="C19" t="s">
        <v>19</v>
      </c>
      <c r="D19" t="s">
        <v>20</v>
      </c>
      <c r="E19">
        <v>636.7</v>
      </c>
      <c r="F19">
        <v>4</v>
      </c>
      <c r="G19" s="5">
        <f t="shared" si="0"/>
        <v>0</v>
      </c>
      <c r="H19" s="6">
        <v>45411</v>
      </c>
      <c r="I19" s="8" t="str">
        <f t="shared" si="1"/>
        <v>Apr</v>
      </c>
      <c r="J19" s="9">
        <f t="shared" si="2"/>
        <v>22242.13</v>
      </c>
      <c r="K19" s="10">
        <f t="shared" si="3"/>
        <v>0</v>
      </c>
      <c r="L19" s="11">
        <f ca="1" t="shared" si="7"/>
        <v>45972.4111111111</v>
      </c>
      <c r="M19">
        <v>432.96</v>
      </c>
      <c r="N19" s="8">
        <f t="shared" si="5"/>
        <v>203.74</v>
      </c>
      <c r="O19">
        <f t="shared" si="6"/>
        <v>203.74</v>
      </c>
      <c r="AA19" s="13" t="s">
        <v>70</v>
      </c>
      <c r="AB19" s="13"/>
    </row>
    <row r="20" spans="1:28">
      <c r="A20" t="s">
        <v>71</v>
      </c>
      <c r="B20" t="s">
        <v>72</v>
      </c>
      <c r="C20" t="s">
        <v>19</v>
      </c>
      <c r="D20" t="s">
        <v>20</v>
      </c>
      <c r="E20">
        <v>1506.14</v>
      </c>
      <c r="F20">
        <v>13</v>
      </c>
      <c r="G20" s="5">
        <f t="shared" si="0"/>
        <v>0.05</v>
      </c>
      <c r="H20" s="6">
        <v>45412</v>
      </c>
      <c r="I20" s="8" t="str">
        <f t="shared" si="1"/>
        <v>Apr</v>
      </c>
      <c r="J20" s="9">
        <f t="shared" si="2"/>
        <v>22242.13</v>
      </c>
      <c r="K20" s="10">
        <f t="shared" si="3"/>
        <v>0</v>
      </c>
      <c r="L20" s="11">
        <f ca="1" t="shared" si="7"/>
        <v>45972.4111111111</v>
      </c>
      <c r="M20">
        <v>1024.18</v>
      </c>
      <c r="N20" s="8">
        <f t="shared" si="5"/>
        <v>481.96</v>
      </c>
      <c r="O20">
        <f t="shared" si="6"/>
        <v>457.862</v>
      </c>
      <c r="AA20" s="17" t="s">
        <v>8</v>
      </c>
      <c r="AB20" s="17" t="s">
        <v>15</v>
      </c>
    </row>
    <row r="21" ht="15.75" customHeight="1" spans="1:28">
      <c r="A21" t="s">
        <v>44</v>
      </c>
      <c r="B21" t="s">
        <v>45</v>
      </c>
      <c r="C21" t="s">
        <v>50</v>
      </c>
      <c r="D21" t="s">
        <v>29</v>
      </c>
      <c r="E21">
        <v>645.02</v>
      </c>
      <c r="F21">
        <v>4</v>
      </c>
      <c r="G21" s="5">
        <f t="shared" si="0"/>
        <v>0</v>
      </c>
      <c r="H21" s="6">
        <v>45414</v>
      </c>
      <c r="I21" s="8" t="str">
        <f t="shared" si="1"/>
        <v>May</v>
      </c>
      <c r="J21" s="9">
        <f t="shared" si="2"/>
        <v>18507.34</v>
      </c>
      <c r="K21" s="10">
        <f t="shared" si="3"/>
        <v>-0.167915123236848</v>
      </c>
      <c r="L21" s="11">
        <f ca="1" t="shared" si="7"/>
        <v>45972.4111111111</v>
      </c>
      <c r="M21">
        <v>483.76</v>
      </c>
      <c r="N21" s="8">
        <f t="shared" si="5"/>
        <v>161.26</v>
      </c>
      <c r="O21">
        <f t="shared" si="6"/>
        <v>161.26</v>
      </c>
      <c r="AA21" s="18">
        <f>IF(AND(AB21&gt;300,AB21&lt;=500),0.05,IF(AND(AB21&gt;500,AB21&lt;=800),0.1,IF(AND(AB21&gt;800,AB21&lt;=1000),0.12,IF(AB21&gt;1000,0.15,0))))</f>
        <v>0.15</v>
      </c>
      <c r="AB21" s="19">
        <v>2661.24000001541</v>
      </c>
    </row>
    <row r="22" ht="15.75" customHeight="1" spans="1:28">
      <c r="A22" t="s">
        <v>35</v>
      </c>
      <c r="B22" t="s">
        <v>73</v>
      </c>
      <c r="C22" t="s">
        <v>28</v>
      </c>
      <c r="D22" t="s">
        <v>23</v>
      </c>
      <c r="E22">
        <v>953.3</v>
      </c>
      <c r="F22">
        <v>11</v>
      </c>
      <c r="G22" s="5">
        <f t="shared" si="0"/>
        <v>0.05</v>
      </c>
      <c r="H22" s="6">
        <v>45415</v>
      </c>
      <c r="I22" s="8" t="str">
        <f t="shared" si="1"/>
        <v>May</v>
      </c>
      <c r="J22" s="9">
        <f t="shared" si="2"/>
        <v>18507.34</v>
      </c>
      <c r="K22" s="10">
        <f t="shared" si="3"/>
        <v>0</v>
      </c>
      <c r="L22" s="11">
        <f ca="1" t="shared" si="7"/>
        <v>45972.4111111111</v>
      </c>
      <c r="M22">
        <v>476.65</v>
      </c>
      <c r="N22" s="8">
        <f t="shared" si="5"/>
        <v>476.65</v>
      </c>
      <c r="O22">
        <f t="shared" si="6"/>
        <v>452.8175</v>
      </c>
      <c r="AA22" s="18">
        <f t="shared" ref="AA22:AA29" si="8">IF(AND(AB22&gt;300,AB22&lt;=500),0.05,IF(AND(AB22&gt;500,AB22&lt;=800),0.1,IF(AND(AB22&gt;800,AB22&lt;=1000),0.12,IF(AB22&gt;1000,0.15,0))))</f>
        <v>0.05</v>
      </c>
      <c r="AB22" s="20">
        <v>440.51</v>
      </c>
    </row>
    <row r="23" ht="15.75" customHeight="1" spans="1:28">
      <c r="A23" t="s">
        <v>74</v>
      </c>
      <c r="B23" t="s">
        <v>22</v>
      </c>
      <c r="C23" t="s">
        <v>33</v>
      </c>
      <c r="D23" t="s">
        <v>29</v>
      </c>
      <c r="E23">
        <v>388.56</v>
      </c>
      <c r="F23">
        <v>14</v>
      </c>
      <c r="G23" s="5">
        <f t="shared" si="0"/>
        <v>0</v>
      </c>
      <c r="H23" s="6">
        <v>45416</v>
      </c>
      <c r="I23" s="8" t="str">
        <f t="shared" si="1"/>
        <v>May</v>
      </c>
      <c r="J23" s="9">
        <f t="shared" si="2"/>
        <v>18507.34</v>
      </c>
      <c r="K23" s="10">
        <f t="shared" si="3"/>
        <v>0</v>
      </c>
      <c r="L23" s="11">
        <f ca="1" t="shared" ref="L23:L32" si="9">NOW()</f>
        <v>45972.4111111111</v>
      </c>
      <c r="M23">
        <v>305.99</v>
      </c>
      <c r="N23" s="8">
        <f t="shared" si="5"/>
        <v>82.57</v>
      </c>
      <c r="O23">
        <f t="shared" si="6"/>
        <v>82.57</v>
      </c>
      <c r="AA23" s="18">
        <f t="shared" si="8"/>
        <v>0</v>
      </c>
      <c r="AB23" s="19">
        <v>285.34</v>
      </c>
    </row>
    <row r="24" ht="15.75" customHeight="1" spans="1:28">
      <c r="A24" t="s">
        <v>17</v>
      </c>
      <c r="B24" t="s">
        <v>45</v>
      </c>
      <c r="C24" t="s">
        <v>19</v>
      </c>
      <c r="D24" t="s">
        <v>20</v>
      </c>
      <c r="E24">
        <v>743.17</v>
      </c>
      <c r="F24">
        <v>9</v>
      </c>
      <c r="G24" s="5">
        <f t="shared" si="0"/>
        <v>0</v>
      </c>
      <c r="H24" s="6">
        <v>45416</v>
      </c>
      <c r="I24" s="8" t="str">
        <f t="shared" si="1"/>
        <v>May</v>
      </c>
      <c r="J24" s="9">
        <f t="shared" si="2"/>
        <v>18507.34</v>
      </c>
      <c r="K24" s="10">
        <f t="shared" si="3"/>
        <v>0</v>
      </c>
      <c r="L24" s="11">
        <f ca="1" t="shared" si="9"/>
        <v>45972.4111111111</v>
      </c>
      <c r="M24">
        <v>445.9</v>
      </c>
      <c r="N24" s="8">
        <f t="shared" si="5"/>
        <v>297.27</v>
      </c>
      <c r="O24">
        <f t="shared" si="6"/>
        <v>297.27</v>
      </c>
      <c r="AA24" s="18">
        <f t="shared" si="8"/>
        <v>0</v>
      </c>
      <c r="AB24" s="20">
        <v>161.7</v>
      </c>
    </row>
    <row r="25" ht="15.75" customHeight="1" spans="1:28">
      <c r="A25" t="s">
        <v>62</v>
      </c>
      <c r="B25" t="s">
        <v>45</v>
      </c>
      <c r="C25" t="s">
        <v>50</v>
      </c>
      <c r="D25" t="s">
        <v>29</v>
      </c>
      <c r="E25">
        <v>706.37</v>
      </c>
      <c r="F25">
        <v>6</v>
      </c>
      <c r="G25" s="5">
        <f t="shared" si="0"/>
        <v>0</v>
      </c>
      <c r="H25" s="6">
        <v>45416</v>
      </c>
      <c r="I25" s="8" t="str">
        <f t="shared" si="1"/>
        <v>May</v>
      </c>
      <c r="J25" s="9">
        <f t="shared" si="2"/>
        <v>18507.34</v>
      </c>
      <c r="K25" s="10">
        <f t="shared" si="3"/>
        <v>0</v>
      </c>
      <c r="L25" s="11">
        <f ca="1" t="shared" si="9"/>
        <v>45972.4111111111</v>
      </c>
      <c r="M25">
        <v>529.78</v>
      </c>
      <c r="N25" s="8">
        <f t="shared" si="5"/>
        <v>176.59</v>
      </c>
      <c r="O25">
        <f t="shared" si="6"/>
        <v>176.59</v>
      </c>
      <c r="AA25" s="18">
        <f t="shared" si="8"/>
        <v>0</v>
      </c>
      <c r="AB25" s="19">
        <v>271.04</v>
      </c>
    </row>
    <row r="26" ht="15.75" customHeight="1" spans="1:28">
      <c r="A26" t="s">
        <v>21</v>
      </c>
      <c r="B26" t="s">
        <v>45</v>
      </c>
      <c r="C26" t="s">
        <v>50</v>
      </c>
      <c r="D26" t="s">
        <v>57</v>
      </c>
      <c r="E26">
        <v>925.31</v>
      </c>
      <c r="F26">
        <v>8</v>
      </c>
      <c r="G26" s="5">
        <f t="shared" si="0"/>
        <v>0.05</v>
      </c>
      <c r="H26" s="6">
        <v>45418</v>
      </c>
      <c r="I26" s="8" t="str">
        <f t="shared" si="1"/>
        <v>May</v>
      </c>
      <c r="J26" s="9">
        <f t="shared" si="2"/>
        <v>18507.34</v>
      </c>
      <c r="K26" s="10">
        <f t="shared" si="3"/>
        <v>0</v>
      </c>
      <c r="L26" s="11">
        <f ca="1" t="shared" si="9"/>
        <v>45972.4111111111</v>
      </c>
      <c r="M26">
        <v>550.56</v>
      </c>
      <c r="N26" s="8">
        <f t="shared" si="5"/>
        <v>374.75</v>
      </c>
      <c r="O26">
        <f t="shared" si="6"/>
        <v>356.0125</v>
      </c>
      <c r="AA26" s="18">
        <f t="shared" si="8"/>
        <v>0.05</v>
      </c>
      <c r="AB26" s="20">
        <v>304.18</v>
      </c>
    </row>
    <row r="27" ht="15.75" customHeight="1" spans="1:28">
      <c r="A27" t="s">
        <v>52</v>
      </c>
      <c r="B27" t="s">
        <v>75</v>
      </c>
      <c r="C27" t="s">
        <v>28</v>
      </c>
      <c r="D27" t="s">
        <v>29</v>
      </c>
      <c r="E27">
        <v>1173.12</v>
      </c>
      <c r="F27">
        <v>18</v>
      </c>
      <c r="G27" s="5">
        <f t="shared" si="0"/>
        <v>0</v>
      </c>
      <c r="H27" s="6">
        <v>45418</v>
      </c>
      <c r="I27" s="8" t="str">
        <f t="shared" si="1"/>
        <v>May</v>
      </c>
      <c r="J27" s="9">
        <f t="shared" si="2"/>
        <v>18507.34</v>
      </c>
      <c r="K27" s="10">
        <f t="shared" si="3"/>
        <v>0</v>
      </c>
      <c r="L27" s="11">
        <f ca="1" t="shared" si="9"/>
        <v>45972.4111111111</v>
      </c>
      <c r="M27">
        <v>879.84</v>
      </c>
      <c r="N27" s="8">
        <f t="shared" si="5"/>
        <v>293.28</v>
      </c>
      <c r="O27">
        <f t="shared" si="6"/>
        <v>293.28</v>
      </c>
      <c r="AA27" s="18">
        <f t="shared" si="8"/>
        <v>0.05</v>
      </c>
      <c r="AB27" s="19">
        <v>312.91</v>
      </c>
    </row>
    <row r="28" ht="15.75" customHeight="1" spans="1:28">
      <c r="A28" t="s">
        <v>31</v>
      </c>
      <c r="B28" t="s">
        <v>76</v>
      </c>
      <c r="C28" t="s">
        <v>33</v>
      </c>
      <c r="D28" t="s">
        <v>37</v>
      </c>
      <c r="E28">
        <v>675.54</v>
      </c>
      <c r="F28">
        <v>17</v>
      </c>
      <c r="G28" s="5">
        <f t="shared" si="0"/>
        <v>0</v>
      </c>
      <c r="H28" s="6">
        <v>45420</v>
      </c>
      <c r="I28" s="8" t="str">
        <f t="shared" si="1"/>
        <v>May</v>
      </c>
      <c r="J28" s="9">
        <f t="shared" si="2"/>
        <v>18507.34</v>
      </c>
      <c r="K28" s="10">
        <f t="shared" si="3"/>
        <v>0</v>
      </c>
      <c r="L28" s="11">
        <f ca="1" t="shared" si="9"/>
        <v>45972.4111111111</v>
      </c>
      <c r="M28">
        <v>439.1</v>
      </c>
      <c r="N28" s="8">
        <f t="shared" si="5"/>
        <v>236.44</v>
      </c>
      <c r="O28">
        <f t="shared" si="6"/>
        <v>236.44</v>
      </c>
      <c r="AA28" s="18">
        <f t="shared" si="8"/>
        <v>0.05</v>
      </c>
      <c r="AB28" s="20">
        <v>300.85</v>
      </c>
    </row>
    <row r="29" ht="15.75" customHeight="1" spans="1:28">
      <c r="A29" t="s">
        <v>35</v>
      </c>
      <c r="B29" t="s">
        <v>22</v>
      </c>
      <c r="C29" t="s">
        <v>50</v>
      </c>
      <c r="D29" t="s">
        <v>20</v>
      </c>
      <c r="E29">
        <v>939.09</v>
      </c>
      <c r="F29">
        <v>2</v>
      </c>
      <c r="G29" s="5">
        <f t="shared" si="0"/>
        <v>0.05</v>
      </c>
      <c r="H29" s="6">
        <v>45422</v>
      </c>
      <c r="I29" s="8" t="str">
        <f t="shared" si="1"/>
        <v>May</v>
      </c>
      <c r="J29" s="9">
        <f t="shared" si="2"/>
        <v>18507.34</v>
      </c>
      <c r="K29" s="10">
        <f t="shared" si="3"/>
        <v>0</v>
      </c>
      <c r="L29" s="11">
        <f ca="1" t="shared" si="9"/>
        <v>45972.4111111111</v>
      </c>
      <c r="M29">
        <v>582.24</v>
      </c>
      <c r="N29" s="8">
        <f t="shared" si="5"/>
        <v>356.85</v>
      </c>
      <c r="O29">
        <f t="shared" si="6"/>
        <v>339.0075</v>
      </c>
      <c r="AA29" s="18">
        <f t="shared" si="8"/>
        <v>0</v>
      </c>
      <c r="AB29" s="19">
        <v>190.59</v>
      </c>
    </row>
    <row r="30" ht="15.75" customHeight="1" spans="1:15">
      <c r="A30" t="s">
        <v>77</v>
      </c>
      <c r="B30" t="s">
        <v>78</v>
      </c>
      <c r="C30" t="s">
        <v>26</v>
      </c>
      <c r="D30" t="s">
        <v>57</v>
      </c>
      <c r="E30">
        <v>983.34</v>
      </c>
      <c r="F30">
        <v>19</v>
      </c>
      <c r="G30" s="5">
        <f t="shared" si="0"/>
        <v>0.05</v>
      </c>
      <c r="H30" s="6">
        <v>45426</v>
      </c>
      <c r="I30" s="8" t="str">
        <f t="shared" si="1"/>
        <v>May</v>
      </c>
      <c r="J30" s="9">
        <f t="shared" si="2"/>
        <v>18507.34</v>
      </c>
      <c r="K30" s="10">
        <f t="shared" si="3"/>
        <v>0</v>
      </c>
      <c r="L30" s="11">
        <f ca="1" t="shared" si="9"/>
        <v>45972.4111111111</v>
      </c>
      <c r="M30">
        <v>585.09</v>
      </c>
      <c r="N30" s="8">
        <f t="shared" si="5"/>
        <v>398.25</v>
      </c>
      <c r="O30">
        <f t="shared" si="6"/>
        <v>378.3375</v>
      </c>
    </row>
    <row r="31" ht="15.75" customHeight="1" spans="1:15">
      <c r="A31" t="s">
        <v>77</v>
      </c>
      <c r="B31" t="s">
        <v>32</v>
      </c>
      <c r="C31" t="s">
        <v>28</v>
      </c>
      <c r="D31" t="s">
        <v>29</v>
      </c>
      <c r="E31">
        <v>801.21</v>
      </c>
      <c r="F31">
        <v>3</v>
      </c>
      <c r="G31" s="5">
        <f t="shared" si="0"/>
        <v>0</v>
      </c>
      <c r="H31" s="6">
        <v>45426</v>
      </c>
      <c r="I31" s="8" t="str">
        <f t="shared" si="1"/>
        <v>May</v>
      </c>
      <c r="J31" s="9">
        <f t="shared" si="2"/>
        <v>18507.34</v>
      </c>
      <c r="K31" s="10">
        <f t="shared" si="3"/>
        <v>0</v>
      </c>
      <c r="L31" s="11">
        <f ca="1" t="shared" si="9"/>
        <v>45972.4111111111</v>
      </c>
      <c r="M31">
        <v>640.97</v>
      </c>
      <c r="N31" s="8">
        <f t="shared" si="5"/>
        <v>160.24</v>
      </c>
      <c r="O31">
        <f t="shared" si="6"/>
        <v>160.24</v>
      </c>
    </row>
    <row r="32" ht="15.75" customHeight="1" spans="1:15">
      <c r="A32" t="s">
        <v>79</v>
      </c>
      <c r="B32" t="s">
        <v>80</v>
      </c>
      <c r="C32" t="s">
        <v>33</v>
      </c>
      <c r="D32" t="s">
        <v>29</v>
      </c>
      <c r="E32">
        <v>1450.71</v>
      </c>
      <c r="F32">
        <v>5</v>
      </c>
      <c r="G32" s="5">
        <f t="shared" si="0"/>
        <v>0.05</v>
      </c>
      <c r="H32" s="6">
        <v>45427</v>
      </c>
      <c r="I32" s="8" t="str">
        <f t="shared" si="1"/>
        <v>May</v>
      </c>
      <c r="J32" s="9">
        <f t="shared" si="2"/>
        <v>18507.34</v>
      </c>
      <c r="K32" s="10">
        <f t="shared" si="3"/>
        <v>0</v>
      </c>
      <c r="L32" s="11">
        <f ca="1" t="shared" si="9"/>
        <v>45972.4111111111</v>
      </c>
      <c r="M32">
        <v>1124.3</v>
      </c>
      <c r="N32" s="8">
        <f t="shared" si="5"/>
        <v>326.41</v>
      </c>
      <c r="O32">
        <f t="shared" si="6"/>
        <v>310.0895</v>
      </c>
    </row>
    <row r="33" ht="15.75" customHeight="1" spans="1:15">
      <c r="A33" t="s">
        <v>74</v>
      </c>
      <c r="B33" t="s">
        <v>81</v>
      </c>
      <c r="C33" t="s">
        <v>50</v>
      </c>
      <c r="D33" t="s">
        <v>20</v>
      </c>
      <c r="E33">
        <v>1023.21</v>
      </c>
      <c r="F33">
        <v>18</v>
      </c>
      <c r="G33" s="5">
        <f t="shared" si="0"/>
        <v>0.05</v>
      </c>
      <c r="H33" s="6">
        <v>45428</v>
      </c>
      <c r="I33" s="8" t="str">
        <f t="shared" si="1"/>
        <v>May</v>
      </c>
      <c r="J33" s="9">
        <f t="shared" si="2"/>
        <v>18507.34</v>
      </c>
      <c r="K33" s="10">
        <f t="shared" si="3"/>
        <v>0</v>
      </c>
      <c r="L33" s="11">
        <f ca="1" t="shared" ref="L33:L42" si="10">NOW()</f>
        <v>45972.4111111111</v>
      </c>
      <c r="M33">
        <v>634.39</v>
      </c>
      <c r="N33" s="8">
        <f t="shared" si="5"/>
        <v>388.82</v>
      </c>
      <c r="O33">
        <f t="shared" si="6"/>
        <v>369.379</v>
      </c>
    </row>
    <row r="34" ht="15.75" customHeight="1" spans="1:15">
      <c r="A34" t="s">
        <v>39</v>
      </c>
      <c r="B34" t="s">
        <v>72</v>
      </c>
      <c r="C34" t="s">
        <v>19</v>
      </c>
      <c r="D34" t="s">
        <v>37</v>
      </c>
      <c r="E34">
        <v>853.72</v>
      </c>
      <c r="F34">
        <v>5</v>
      </c>
      <c r="G34" s="5">
        <f t="shared" si="0"/>
        <v>0</v>
      </c>
      <c r="H34" s="6">
        <v>45428</v>
      </c>
      <c r="I34" s="8" t="str">
        <f t="shared" si="1"/>
        <v>May</v>
      </c>
      <c r="J34" s="9">
        <f t="shared" si="2"/>
        <v>18507.34</v>
      </c>
      <c r="K34" s="10">
        <f t="shared" si="3"/>
        <v>0</v>
      </c>
      <c r="L34" s="11">
        <f ca="1" t="shared" si="10"/>
        <v>45972.4111111111</v>
      </c>
      <c r="M34">
        <v>599.74</v>
      </c>
      <c r="N34" s="8">
        <f t="shared" si="5"/>
        <v>253.98</v>
      </c>
      <c r="O34">
        <f t="shared" si="6"/>
        <v>253.98</v>
      </c>
    </row>
    <row r="35" ht="15.75" customHeight="1" spans="1:15">
      <c r="A35" t="s">
        <v>82</v>
      </c>
      <c r="B35" t="s">
        <v>67</v>
      </c>
      <c r="C35" t="s">
        <v>28</v>
      </c>
      <c r="D35" t="s">
        <v>29</v>
      </c>
      <c r="E35">
        <v>967.89</v>
      </c>
      <c r="F35">
        <v>10</v>
      </c>
      <c r="G35" s="5">
        <f t="shared" ref="G35:G66" si="11">IF(AND(N35&gt;300,N35&lt;=500),0.05,IF(AND(N35&gt;500,N35&lt;=800),0.1,IF(AND(N35&gt;800,N35&lt;=1000),0.12,IF(N35&gt;1000,0.15,0))))</f>
        <v>0</v>
      </c>
      <c r="H35" s="6">
        <v>45429</v>
      </c>
      <c r="I35" s="8" t="str">
        <f t="shared" ref="I35:I66" si="12">TEXT(H35,"mmm")</f>
        <v>May</v>
      </c>
      <c r="J35" s="9">
        <f t="shared" ref="J35:J66" si="13">SUMIFS(E:E,I:I,I35)</f>
        <v>18507.34</v>
      </c>
      <c r="K35" s="10">
        <f t="shared" ref="K35:K66" si="14">IFERROR((J35-J34)/J34,0)</f>
        <v>0</v>
      </c>
      <c r="L35" s="11">
        <f ca="1" t="shared" si="10"/>
        <v>45972.4111111111</v>
      </c>
      <c r="M35">
        <v>750.11</v>
      </c>
      <c r="N35" s="8">
        <f t="shared" ref="N35:N66" si="15">E35-M35</f>
        <v>217.78</v>
      </c>
      <c r="O35">
        <f t="shared" ref="O35:O66" si="16">N35*(1-G35)</f>
        <v>217.78</v>
      </c>
    </row>
    <row r="36" ht="15.75" customHeight="1" spans="1:15">
      <c r="A36" t="s">
        <v>83</v>
      </c>
      <c r="B36" t="s">
        <v>78</v>
      </c>
      <c r="C36" t="s">
        <v>33</v>
      </c>
      <c r="D36" t="s">
        <v>57</v>
      </c>
      <c r="E36">
        <v>1200.9</v>
      </c>
      <c r="F36">
        <v>14</v>
      </c>
      <c r="G36" s="5">
        <f t="shared" si="11"/>
        <v>0.1</v>
      </c>
      <c r="H36" s="6">
        <v>45429</v>
      </c>
      <c r="I36" s="8" t="str">
        <f t="shared" si="12"/>
        <v>May</v>
      </c>
      <c r="J36" s="9">
        <f t="shared" si="13"/>
        <v>18507.34</v>
      </c>
      <c r="K36" s="10">
        <f t="shared" si="14"/>
        <v>0</v>
      </c>
      <c r="L36" s="11">
        <f ca="1" t="shared" si="10"/>
        <v>45972.4111111111</v>
      </c>
      <c r="M36">
        <v>687.52</v>
      </c>
      <c r="N36" s="8">
        <f t="shared" si="15"/>
        <v>513.38</v>
      </c>
      <c r="O36">
        <f t="shared" si="16"/>
        <v>462.042</v>
      </c>
    </row>
    <row r="37" ht="15.75" customHeight="1" spans="1:15">
      <c r="A37" t="s">
        <v>21</v>
      </c>
      <c r="B37" t="s">
        <v>36</v>
      </c>
      <c r="C37" t="s">
        <v>19</v>
      </c>
      <c r="D37" t="s">
        <v>20</v>
      </c>
      <c r="E37">
        <v>472.38</v>
      </c>
      <c r="F37">
        <v>12</v>
      </c>
      <c r="G37" s="5">
        <f t="shared" si="11"/>
        <v>0</v>
      </c>
      <c r="H37" s="6">
        <v>45429</v>
      </c>
      <c r="I37" s="8" t="str">
        <f t="shared" si="12"/>
        <v>May</v>
      </c>
      <c r="J37" s="9">
        <f t="shared" si="13"/>
        <v>18507.34</v>
      </c>
      <c r="K37" s="10">
        <f t="shared" si="14"/>
        <v>0</v>
      </c>
      <c r="L37" s="11">
        <f ca="1" t="shared" si="10"/>
        <v>45972.4111111111</v>
      </c>
      <c r="M37">
        <v>321.22</v>
      </c>
      <c r="N37" s="8">
        <f t="shared" si="15"/>
        <v>151.16</v>
      </c>
      <c r="O37">
        <f t="shared" si="16"/>
        <v>151.16</v>
      </c>
    </row>
    <row r="38" ht="15.75" customHeight="1" spans="1:15">
      <c r="A38" t="s">
        <v>17</v>
      </c>
      <c r="B38" t="s">
        <v>80</v>
      </c>
      <c r="C38" t="s">
        <v>26</v>
      </c>
      <c r="D38" t="s">
        <v>57</v>
      </c>
      <c r="E38">
        <v>840.92</v>
      </c>
      <c r="F38">
        <v>9</v>
      </c>
      <c r="G38" s="5">
        <f t="shared" si="11"/>
        <v>0.05</v>
      </c>
      <c r="H38" s="6">
        <v>45429</v>
      </c>
      <c r="I38" s="8" t="str">
        <f t="shared" si="12"/>
        <v>May</v>
      </c>
      <c r="J38" s="9">
        <f t="shared" si="13"/>
        <v>18507.34</v>
      </c>
      <c r="K38" s="10">
        <f t="shared" si="14"/>
        <v>0</v>
      </c>
      <c r="L38" s="11">
        <f ca="1" t="shared" si="10"/>
        <v>45972.4111111111</v>
      </c>
      <c r="M38">
        <v>481.43</v>
      </c>
      <c r="N38" s="8">
        <f t="shared" si="15"/>
        <v>359.49</v>
      </c>
      <c r="O38">
        <f t="shared" si="16"/>
        <v>341.5155</v>
      </c>
    </row>
    <row r="39" ht="15.75" customHeight="1" spans="1:15">
      <c r="A39" t="s">
        <v>77</v>
      </c>
      <c r="B39" t="s">
        <v>73</v>
      </c>
      <c r="C39" t="s">
        <v>50</v>
      </c>
      <c r="D39" t="s">
        <v>37</v>
      </c>
      <c r="E39">
        <v>1410.06</v>
      </c>
      <c r="F39">
        <v>11</v>
      </c>
      <c r="G39" s="5">
        <f t="shared" si="11"/>
        <v>0.05</v>
      </c>
      <c r="H39" s="6">
        <v>45434</v>
      </c>
      <c r="I39" s="8" t="str">
        <f t="shared" si="12"/>
        <v>May</v>
      </c>
      <c r="J39" s="9">
        <f t="shared" si="13"/>
        <v>18507.34</v>
      </c>
      <c r="K39" s="10">
        <f t="shared" si="14"/>
        <v>0</v>
      </c>
      <c r="L39" s="11">
        <f ca="1" t="shared" si="10"/>
        <v>45972.4111111111</v>
      </c>
      <c r="M39">
        <v>941.22</v>
      </c>
      <c r="N39" s="8">
        <f t="shared" si="15"/>
        <v>468.84</v>
      </c>
      <c r="O39">
        <f t="shared" si="16"/>
        <v>445.398</v>
      </c>
    </row>
    <row r="40" ht="15.75" customHeight="1" spans="1:15">
      <c r="A40" t="s">
        <v>68</v>
      </c>
      <c r="B40" t="s">
        <v>84</v>
      </c>
      <c r="C40" t="s">
        <v>50</v>
      </c>
      <c r="D40" t="s">
        <v>37</v>
      </c>
      <c r="E40">
        <v>773.09</v>
      </c>
      <c r="F40">
        <v>13</v>
      </c>
      <c r="G40" s="5">
        <f t="shared" si="11"/>
        <v>0</v>
      </c>
      <c r="H40" s="6">
        <v>45434</v>
      </c>
      <c r="I40" s="8" t="str">
        <f t="shared" si="12"/>
        <v>May</v>
      </c>
      <c r="J40" s="9">
        <f t="shared" si="13"/>
        <v>18507.34</v>
      </c>
      <c r="K40" s="10">
        <f t="shared" si="14"/>
        <v>0</v>
      </c>
      <c r="L40" s="11">
        <f ca="1" t="shared" si="10"/>
        <v>45972.4111111111</v>
      </c>
      <c r="M40">
        <v>543.1</v>
      </c>
      <c r="N40" s="8">
        <f t="shared" si="15"/>
        <v>229.99</v>
      </c>
      <c r="O40">
        <f t="shared" si="16"/>
        <v>229.99</v>
      </c>
    </row>
    <row r="41" ht="15.75" customHeight="1" spans="1:15">
      <c r="A41" t="s">
        <v>85</v>
      </c>
      <c r="B41" t="s">
        <v>86</v>
      </c>
      <c r="C41" t="s">
        <v>26</v>
      </c>
      <c r="D41" t="s">
        <v>20</v>
      </c>
      <c r="E41">
        <v>580.43</v>
      </c>
      <c r="F41">
        <v>19</v>
      </c>
      <c r="G41" s="5">
        <f t="shared" si="11"/>
        <v>0</v>
      </c>
      <c r="H41" s="6">
        <v>45435</v>
      </c>
      <c r="I41" s="8" t="str">
        <f t="shared" si="12"/>
        <v>May</v>
      </c>
      <c r="J41" s="9">
        <f t="shared" si="13"/>
        <v>18507.34</v>
      </c>
      <c r="K41" s="10">
        <f t="shared" si="14"/>
        <v>0</v>
      </c>
      <c r="L41" s="11">
        <f ca="1" t="shared" si="10"/>
        <v>45972.4111111111</v>
      </c>
      <c r="M41">
        <v>383.08</v>
      </c>
      <c r="N41" s="8">
        <f t="shared" si="15"/>
        <v>197.35</v>
      </c>
      <c r="O41">
        <f t="shared" si="16"/>
        <v>197.35</v>
      </c>
    </row>
    <row r="42" ht="15.75" customHeight="1" spans="1:15">
      <c r="A42" t="s">
        <v>27</v>
      </c>
      <c r="B42" t="s">
        <v>65</v>
      </c>
      <c r="C42" t="s">
        <v>28</v>
      </c>
      <c r="D42" t="s">
        <v>20</v>
      </c>
      <c r="E42">
        <v>1151.21</v>
      </c>
      <c r="F42">
        <v>15</v>
      </c>
      <c r="G42" s="5">
        <f t="shared" si="11"/>
        <v>0.05</v>
      </c>
      <c r="H42" s="6">
        <v>45445</v>
      </c>
      <c r="I42" s="8" t="str">
        <f t="shared" si="12"/>
        <v>Jun</v>
      </c>
      <c r="J42" s="9">
        <f t="shared" si="13"/>
        <v>20187.51</v>
      </c>
      <c r="K42" s="10">
        <f t="shared" si="14"/>
        <v>0.0907839808421957</v>
      </c>
      <c r="L42" s="11">
        <f ca="1" t="shared" si="10"/>
        <v>45972.4111111111</v>
      </c>
      <c r="M42">
        <v>736.77</v>
      </c>
      <c r="N42" s="8">
        <f t="shared" si="15"/>
        <v>414.44</v>
      </c>
      <c r="O42">
        <f t="shared" si="16"/>
        <v>393.718</v>
      </c>
    </row>
    <row r="43" ht="15.75" customHeight="1" spans="1:15">
      <c r="A43" t="s">
        <v>77</v>
      </c>
      <c r="B43" t="s">
        <v>32</v>
      </c>
      <c r="C43" t="s">
        <v>50</v>
      </c>
      <c r="D43" t="s">
        <v>57</v>
      </c>
      <c r="E43">
        <v>1025.98</v>
      </c>
      <c r="F43">
        <v>5</v>
      </c>
      <c r="G43" s="5">
        <f t="shared" si="11"/>
        <v>0.05</v>
      </c>
      <c r="H43" s="6">
        <v>45447</v>
      </c>
      <c r="I43" s="8" t="str">
        <f t="shared" si="12"/>
        <v>Jun</v>
      </c>
      <c r="J43" s="9">
        <f t="shared" si="13"/>
        <v>20187.51</v>
      </c>
      <c r="K43" s="10">
        <f t="shared" si="14"/>
        <v>0</v>
      </c>
      <c r="L43" s="11">
        <f ca="1" t="shared" ref="L43:L52" si="17">NOW()</f>
        <v>45972.4111111111</v>
      </c>
      <c r="M43">
        <v>656.63</v>
      </c>
      <c r="N43" s="8">
        <f t="shared" si="15"/>
        <v>369.35</v>
      </c>
      <c r="O43">
        <f t="shared" si="16"/>
        <v>350.8825</v>
      </c>
    </row>
    <row r="44" ht="15.75" customHeight="1" spans="1:15">
      <c r="A44" t="s">
        <v>62</v>
      </c>
      <c r="B44" t="s">
        <v>81</v>
      </c>
      <c r="C44" t="s">
        <v>26</v>
      </c>
      <c r="D44" t="s">
        <v>57</v>
      </c>
      <c r="E44">
        <v>556.42</v>
      </c>
      <c r="F44">
        <v>11</v>
      </c>
      <c r="G44" s="5">
        <f t="shared" si="11"/>
        <v>0</v>
      </c>
      <c r="H44" s="6">
        <v>45447</v>
      </c>
      <c r="I44" s="8" t="str">
        <f t="shared" si="12"/>
        <v>Jun</v>
      </c>
      <c r="J44" s="9">
        <f t="shared" si="13"/>
        <v>20187.51</v>
      </c>
      <c r="K44" s="10">
        <f t="shared" si="14"/>
        <v>0</v>
      </c>
      <c r="L44" s="11">
        <f ca="1" t="shared" si="17"/>
        <v>45972.4111111111</v>
      </c>
      <c r="M44">
        <v>343.59</v>
      </c>
      <c r="N44" s="8">
        <f t="shared" si="15"/>
        <v>212.83</v>
      </c>
      <c r="O44">
        <f t="shared" si="16"/>
        <v>212.83</v>
      </c>
    </row>
    <row r="45" ht="15.75" customHeight="1" spans="1:15">
      <c r="A45" t="s">
        <v>82</v>
      </c>
      <c r="B45" t="s">
        <v>32</v>
      </c>
      <c r="C45" t="s">
        <v>50</v>
      </c>
      <c r="D45" t="s">
        <v>20</v>
      </c>
      <c r="E45">
        <v>840.85</v>
      </c>
      <c r="F45">
        <v>19</v>
      </c>
      <c r="G45" s="5">
        <f t="shared" si="11"/>
        <v>0.05</v>
      </c>
      <c r="H45" s="6">
        <v>45448</v>
      </c>
      <c r="I45" s="8" t="str">
        <f t="shared" si="12"/>
        <v>Jun</v>
      </c>
      <c r="J45" s="9">
        <f t="shared" si="13"/>
        <v>20187.51</v>
      </c>
      <c r="K45" s="10">
        <f t="shared" si="14"/>
        <v>0</v>
      </c>
      <c r="L45" s="11">
        <f ca="1" t="shared" si="17"/>
        <v>45972.4111111111</v>
      </c>
      <c r="M45">
        <v>538.14</v>
      </c>
      <c r="N45" s="8">
        <f t="shared" si="15"/>
        <v>302.71</v>
      </c>
      <c r="O45">
        <f t="shared" si="16"/>
        <v>287.5745</v>
      </c>
    </row>
    <row r="46" ht="15.75" customHeight="1" spans="1:15">
      <c r="A46" t="s">
        <v>44</v>
      </c>
      <c r="B46" t="s">
        <v>86</v>
      </c>
      <c r="C46" t="s">
        <v>33</v>
      </c>
      <c r="D46" t="s">
        <v>37</v>
      </c>
      <c r="E46">
        <v>1227.25</v>
      </c>
      <c r="F46">
        <v>12</v>
      </c>
      <c r="G46" s="5">
        <f t="shared" si="11"/>
        <v>0.05</v>
      </c>
      <c r="H46" s="6">
        <v>45448</v>
      </c>
      <c r="I46" s="8" t="str">
        <f t="shared" si="12"/>
        <v>Jun</v>
      </c>
      <c r="J46" s="9">
        <f t="shared" si="13"/>
        <v>20187.51</v>
      </c>
      <c r="K46" s="10">
        <f t="shared" si="14"/>
        <v>0</v>
      </c>
      <c r="L46" s="11">
        <f ca="1" t="shared" si="17"/>
        <v>45972.4111111111</v>
      </c>
      <c r="M46">
        <v>862.14</v>
      </c>
      <c r="N46" s="8">
        <f t="shared" si="15"/>
        <v>365.11</v>
      </c>
      <c r="O46">
        <f t="shared" si="16"/>
        <v>346.8545</v>
      </c>
    </row>
    <row r="47" ht="15.75" customHeight="1" spans="1:15">
      <c r="A47" t="s">
        <v>24</v>
      </c>
      <c r="B47" t="s">
        <v>87</v>
      </c>
      <c r="C47" t="s">
        <v>50</v>
      </c>
      <c r="D47" t="s">
        <v>29</v>
      </c>
      <c r="E47">
        <v>856.7</v>
      </c>
      <c r="F47">
        <v>2</v>
      </c>
      <c r="G47" s="5">
        <f t="shared" si="11"/>
        <v>0</v>
      </c>
      <c r="H47" s="6">
        <v>45449</v>
      </c>
      <c r="I47" s="8" t="str">
        <f t="shared" si="12"/>
        <v>Jun</v>
      </c>
      <c r="J47" s="9">
        <f t="shared" si="13"/>
        <v>20187.51</v>
      </c>
      <c r="K47" s="10">
        <f t="shared" si="14"/>
        <v>0</v>
      </c>
      <c r="L47" s="11">
        <f ca="1" t="shared" si="17"/>
        <v>45972.4111111111</v>
      </c>
      <c r="M47">
        <v>642.52</v>
      </c>
      <c r="N47" s="8">
        <f t="shared" si="15"/>
        <v>214.18</v>
      </c>
      <c r="O47">
        <f t="shared" si="16"/>
        <v>214.18</v>
      </c>
    </row>
    <row r="48" ht="15.75" customHeight="1" spans="1:15">
      <c r="A48" t="s">
        <v>79</v>
      </c>
      <c r="B48" t="s">
        <v>81</v>
      </c>
      <c r="C48" t="s">
        <v>50</v>
      </c>
      <c r="D48" t="s">
        <v>57</v>
      </c>
      <c r="E48">
        <v>1225.42</v>
      </c>
      <c r="F48">
        <v>8</v>
      </c>
      <c r="G48" s="5">
        <f t="shared" si="11"/>
        <v>0.05</v>
      </c>
      <c r="H48" s="6">
        <v>45449</v>
      </c>
      <c r="I48" s="8" t="str">
        <f t="shared" si="12"/>
        <v>Jun</v>
      </c>
      <c r="J48" s="9">
        <f t="shared" si="13"/>
        <v>20187.51</v>
      </c>
      <c r="K48" s="10">
        <f t="shared" si="14"/>
        <v>0</v>
      </c>
      <c r="L48" s="11">
        <f ca="1" t="shared" si="17"/>
        <v>45972.4111111111</v>
      </c>
      <c r="M48">
        <v>756.7</v>
      </c>
      <c r="N48" s="8">
        <f t="shared" si="15"/>
        <v>468.72</v>
      </c>
      <c r="O48">
        <f t="shared" si="16"/>
        <v>445.284</v>
      </c>
    </row>
    <row r="49" ht="15.75" customHeight="1" spans="1:15">
      <c r="A49" t="s">
        <v>88</v>
      </c>
      <c r="B49" t="s">
        <v>45</v>
      </c>
      <c r="C49" t="s">
        <v>33</v>
      </c>
      <c r="D49" t="s">
        <v>57</v>
      </c>
      <c r="E49">
        <v>1001.57</v>
      </c>
      <c r="F49">
        <v>12</v>
      </c>
      <c r="G49" s="5">
        <f t="shared" si="11"/>
        <v>0.05</v>
      </c>
      <c r="H49" s="6">
        <v>45450</v>
      </c>
      <c r="I49" s="8" t="str">
        <f t="shared" si="12"/>
        <v>Jun</v>
      </c>
      <c r="J49" s="9">
        <f t="shared" si="13"/>
        <v>20187.51</v>
      </c>
      <c r="K49" s="10">
        <f t="shared" si="14"/>
        <v>0</v>
      </c>
      <c r="L49" s="11">
        <f ca="1" t="shared" si="17"/>
        <v>45972.4111111111</v>
      </c>
      <c r="M49">
        <v>550.86</v>
      </c>
      <c r="N49" s="8">
        <f t="shared" si="15"/>
        <v>450.71</v>
      </c>
      <c r="O49">
        <f t="shared" si="16"/>
        <v>428.1745</v>
      </c>
    </row>
    <row r="50" ht="15.75" customHeight="1" spans="1:15">
      <c r="A50" t="s">
        <v>82</v>
      </c>
      <c r="B50" t="s">
        <v>36</v>
      </c>
      <c r="C50" t="s">
        <v>26</v>
      </c>
      <c r="D50" t="s">
        <v>37</v>
      </c>
      <c r="E50">
        <v>1186.85</v>
      </c>
      <c r="F50">
        <v>19</v>
      </c>
      <c r="G50" s="5">
        <f t="shared" si="11"/>
        <v>0.05</v>
      </c>
      <c r="H50" s="6">
        <v>45451</v>
      </c>
      <c r="I50" s="8" t="str">
        <f t="shared" si="12"/>
        <v>Jun</v>
      </c>
      <c r="J50" s="9">
        <f t="shared" si="13"/>
        <v>20187.51</v>
      </c>
      <c r="K50" s="10">
        <f t="shared" si="14"/>
        <v>0</v>
      </c>
      <c r="L50" s="11">
        <f ca="1" t="shared" si="17"/>
        <v>45972.4111111111</v>
      </c>
      <c r="M50">
        <v>854.53</v>
      </c>
      <c r="N50" s="8">
        <f t="shared" si="15"/>
        <v>332.32</v>
      </c>
      <c r="O50">
        <f t="shared" si="16"/>
        <v>315.704</v>
      </c>
    </row>
    <row r="51" ht="15.75" customHeight="1" spans="1:15">
      <c r="A51" t="s">
        <v>68</v>
      </c>
      <c r="B51" t="s">
        <v>76</v>
      </c>
      <c r="C51" t="s">
        <v>28</v>
      </c>
      <c r="D51" t="s">
        <v>29</v>
      </c>
      <c r="E51">
        <v>775.45</v>
      </c>
      <c r="F51">
        <v>6</v>
      </c>
      <c r="G51" s="5">
        <f t="shared" si="11"/>
        <v>0</v>
      </c>
      <c r="H51" s="6">
        <v>45457</v>
      </c>
      <c r="I51" s="8" t="str">
        <f t="shared" si="12"/>
        <v>Jun</v>
      </c>
      <c r="J51" s="9">
        <f t="shared" si="13"/>
        <v>20187.51</v>
      </c>
      <c r="K51" s="10">
        <f t="shared" si="14"/>
        <v>0</v>
      </c>
      <c r="L51" s="11">
        <f ca="1" t="shared" si="17"/>
        <v>45972.4111111111</v>
      </c>
      <c r="M51">
        <v>600.97</v>
      </c>
      <c r="N51" s="8">
        <f t="shared" si="15"/>
        <v>174.48</v>
      </c>
      <c r="O51">
        <f t="shared" si="16"/>
        <v>174.48</v>
      </c>
    </row>
    <row r="52" ht="15.75" customHeight="1" spans="1:15">
      <c r="A52" t="s">
        <v>35</v>
      </c>
      <c r="B52" t="s">
        <v>49</v>
      </c>
      <c r="C52" t="s">
        <v>28</v>
      </c>
      <c r="D52" t="s">
        <v>29</v>
      </c>
      <c r="E52">
        <v>1021.47</v>
      </c>
      <c r="F52">
        <v>6</v>
      </c>
      <c r="G52" s="5">
        <f t="shared" si="11"/>
        <v>0</v>
      </c>
      <c r="H52" s="6">
        <v>45461</v>
      </c>
      <c r="I52" s="8" t="str">
        <f t="shared" si="12"/>
        <v>Jun</v>
      </c>
      <c r="J52" s="9">
        <f t="shared" si="13"/>
        <v>20187.51</v>
      </c>
      <c r="K52" s="10">
        <f t="shared" si="14"/>
        <v>0</v>
      </c>
      <c r="L52" s="11">
        <f ca="1" t="shared" si="17"/>
        <v>45972.4111111111</v>
      </c>
      <c r="M52">
        <v>778.87</v>
      </c>
      <c r="N52" s="8">
        <f t="shared" si="15"/>
        <v>242.6</v>
      </c>
      <c r="O52">
        <f t="shared" si="16"/>
        <v>242.6</v>
      </c>
    </row>
    <row r="53" ht="15.75" customHeight="1" spans="1:15">
      <c r="A53" t="s">
        <v>83</v>
      </c>
      <c r="B53" t="s">
        <v>32</v>
      </c>
      <c r="C53" t="s">
        <v>28</v>
      </c>
      <c r="D53" t="s">
        <v>23</v>
      </c>
      <c r="E53">
        <v>1226.62</v>
      </c>
      <c r="F53">
        <v>7</v>
      </c>
      <c r="G53" s="5">
        <f t="shared" si="11"/>
        <v>0.1</v>
      </c>
      <c r="H53" s="6">
        <v>45463</v>
      </c>
      <c r="I53" s="8" t="str">
        <f t="shared" si="12"/>
        <v>Jun</v>
      </c>
      <c r="J53" s="9">
        <f t="shared" si="13"/>
        <v>20187.51</v>
      </c>
      <c r="K53" s="10">
        <f t="shared" si="14"/>
        <v>0</v>
      </c>
      <c r="L53" s="11">
        <f ca="1" t="shared" ref="L53:L62" si="18">NOW()</f>
        <v>45972.4111111111</v>
      </c>
      <c r="M53">
        <v>674.64</v>
      </c>
      <c r="N53" s="8">
        <f t="shared" si="15"/>
        <v>551.98</v>
      </c>
      <c r="O53">
        <f t="shared" si="16"/>
        <v>496.782</v>
      </c>
    </row>
    <row r="54" ht="15.75" customHeight="1" spans="1:15">
      <c r="A54" t="s">
        <v>31</v>
      </c>
      <c r="B54" t="s">
        <v>89</v>
      </c>
      <c r="C54" t="s">
        <v>28</v>
      </c>
      <c r="D54" t="s">
        <v>37</v>
      </c>
      <c r="E54">
        <v>1086.93</v>
      </c>
      <c r="F54">
        <v>2</v>
      </c>
      <c r="G54" s="5">
        <f t="shared" si="11"/>
        <v>0.05</v>
      </c>
      <c r="H54" s="6">
        <v>45464</v>
      </c>
      <c r="I54" s="8" t="str">
        <f t="shared" si="12"/>
        <v>Jun</v>
      </c>
      <c r="J54" s="9">
        <f t="shared" si="13"/>
        <v>20187.51</v>
      </c>
      <c r="K54" s="10">
        <f t="shared" si="14"/>
        <v>0</v>
      </c>
      <c r="L54" s="11">
        <f ca="1" t="shared" si="18"/>
        <v>45972.4111111111</v>
      </c>
      <c r="M54">
        <v>706.5</v>
      </c>
      <c r="N54" s="8">
        <f t="shared" si="15"/>
        <v>380.43</v>
      </c>
      <c r="O54">
        <f t="shared" si="16"/>
        <v>361.4085</v>
      </c>
    </row>
    <row r="55" ht="15.75" customHeight="1" spans="1:15">
      <c r="A55" t="s">
        <v>90</v>
      </c>
      <c r="B55" t="s">
        <v>73</v>
      </c>
      <c r="C55" t="s">
        <v>19</v>
      </c>
      <c r="D55" t="s">
        <v>20</v>
      </c>
      <c r="E55">
        <v>942.9</v>
      </c>
      <c r="F55">
        <v>18</v>
      </c>
      <c r="G55" s="5">
        <f t="shared" si="11"/>
        <v>0.05</v>
      </c>
      <c r="H55" s="6">
        <v>45466</v>
      </c>
      <c r="I55" s="8" t="str">
        <f t="shared" si="12"/>
        <v>Jun</v>
      </c>
      <c r="J55" s="9">
        <f t="shared" si="13"/>
        <v>20187.51</v>
      </c>
      <c r="K55" s="10">
        <f t="shared" si="14"/>
        <v>0</v>
      </c>
      <c r="L55" s="11">
        <f ca="1" t="shared" si="18"/>
        <v>45972.4111111111</v>
      </c>
      <c r="M55">
        <v>603.46</v>
      </c>
      <c r="N55" s="8">
        <f t="shared" si="15"/>
        <v>339.44</v>
      </c>
      <c r="O55">
        <f t="shared" si="16"/>
        <v>322.468</v>
      </c>
    </row>
    <row r="56" ht="15.75" customHeight="1" spans="1:15">
      <c r="A56" t="s">
        <v>48</v>
      </c>
      <c r="B56" t="s">
        <v>56</v>
      </c>
      <c r="C56" t="s">
        <v>33</v>
      </c>
      <c r="D56" t="s">
        <v>29</v>
      </c>
      <c r="E56">
        <v>818.8</v>
      </c>
      <c r="F56">
        <v>15</v>
      </c>
      <c r="G56" s="5">
        <f t="shared" si="11"/>
        <v>0</v>
      </c>
      <c r="H56" s="6">
        <v>45468</v>
      </c>
      <c r="I56" s="8" t="str">
        <f t="shared" si="12"/>
        <v>Jun</v>
      </c>
      <c r="J56" s="9">
        <f t="shared" si="13"/>
        <v>20187.51</v>
      </c>
      <c r="K56" s="10">
        <f t="shared" si="14"/>
        <v>0</v>
      </c>
      <c r="L56" s="11">
        <f ca="1" t="shared" si="18"/>
        <v>45972.4111111111</v>
      </c>
      <c r="M56">
        <v>644.81</v>
      </c>
      <c r="N56" s="8">
        <f t="shared" si="15"/>
        <v>173.99</v>
      </c>
      <c r="O56">
        <f t="shared" si="16"/>
        <v>173.99</v>
      </c>
    </row>
    <row r="57" ht="15.75" customHeight="1" spans="1:15">
      <c r="A57" t="s">
        <v>27</v>
      </c>
      <c r="B57" t="s">
        <v>22</v>
      </c>
      <c r="C57" t="s">
        <v>28</v>
      </c>
      <c r="D57" t="s">
        <v>37</v>
      </c>
      <c r="E57">
        <v>919.04</v>
      </c>
      <c r="F57">
        <v>10</v>
      </c>
      <c r="G57" s="5">
        <f t="shared" si="11"/>
        <v>0</v>
      </c>
      <c r="H57" s="6">
        <v>45468</v>
      </c>
      <c r="I57" s="8" t="str">
        <f t="shared" si="12"/>
        <v>Jun</v>
      </c>
      <c r="J57" s="9">
        <f t="shared" si="13"/>
        <v>20187.51</v>
      </c>
      <c r="K57" s="10">
        <f t="shared" si="14"/>
        <v>0</v>
      </c>
      <c r="L57" s="11">
        <f ca="1" t="shared" si="18"/>
        <v>45972.4111111111</v>
      </c>
      <c r="M57">
        <v>661.71</v>
      </c>
      <c r="N57" s="8">
        <f t="shared" si="15"/>
        <v>257.33</v>
      </c>
      <c r="O57">
        <f t="shared" si="16"/>
        <v>257.33</v>
      </c>
    </row>
    <row r="58" ht="15.75" customHeight="1" spans="1:15">
      <c r="A58" t="s">
        <v>31</v>
      </c>
      <c r="B58" t="s">
        <v>91</v>
      </c>
      <c r="C58" t="s">
        <v>50</v>
      </c>
      <c r="D58" t="s">
        <v>20</v>
      </c>
      <c r="E58">
        <v>973.26</v>
      </c>
      <c r="F58">
        <v>11</v>
      </c>
      <c r="G58" s="5">
        <f t="shared" si="11"/>
        <v>0.05</v>
      </c>
      <c r="H58" s="6">
        <v>45470</v>
      </c>
      <c r="I58" s="8" t="str">
        <f t="shared" si="12"/>
        <v>Jun</v>
      </c>
      <c r="J58" s="9">
        <f t="shared" si="13"/>
        <v>20187.51</v>
      </c>
      <c r="K58" s="10">
        <f t="shared" si="14"/>
        <v>0</v>
      </c>
      <c r="L58" s="11">
        <f ca="1" t="shared" si="18"/>
        <v>45972.4111111111</v>
      </c>
      <c r="M58">
        <v>583.96</v>
      </c>
      <c r="N58" s="8">
        <f t="shared" si="15"/>
        <v>389.3</v>
      </c>
      <c r="O58">
        <f t="shared" si="16"/>
        <v>369.835</v>
      </c>
    </row>
    <row r="59" ht="15.75" customHeight="1" spans="1:15">
      <c r="A59" t="s">
        <v>64</v>
      </c>
      <c r="B59" t="s">
        <v>89</v>
      </c>
      <c r="C59" t="s">
        <v>33</v>
      </c>
      <c r="D59" t="s">
        <v>29</v>
      </c>
      <c r="E59">
        <v>741.61</v>
      </c>
      <c r="F59">
        <v>1</v>
      </c>
      <c r="G59" s="5">
        <f t="shared" si="11"/>
        <v>0</v>
      </c>
      <c r="H59" s="6">
        <v>45471</v>
      </c>
      <c r="I59" s="8" t="str">
        <f t="shared" si="12"/>
        <v>Jun</v>
      </c>
      <c r="J59" s="9">
        <f t="shared" si="13"/>
        <v>20187.51</v>
      </c>
      <c r="K59" s="10">
        <f t="shared" si="14"/>
        <v>0</v>
      </c>
      <c r="L59" s="11">
        <f ca="1" t="shared" si="18"/>
        <v>45972.4111111111</v>
      </c>
      <c r="M59">
        <v>593.29</v>
      </c>
      <c r="N59" s="8">
        <f t="shared" si="15"/>
        <v>148.32</v>
      </c>
      <c r="O59">
        <f t="shared" si="16"/>
        <v>148.32</v>
      </c>
    </row>
    <row r="60" ht="15.75" customHeight="1" spans="1:15">
      <c r="A60" t="s">
        <v>92</v>
      </c>
      <c r="B60" t="s">
        <v>56</v>
      </c>
      <c r="C60" t="s">
        <v>33</v>
      </c>
      <c r="D60" t="s">
        <v>20</v>
      </c>
      <c r="E60">
        <v>1248.82</v>
      </c>
      <c r="F60">
        <v>2</v>
      </c>
      <c r="G60" s="5">
        <f t="shared" si="11"/>
        <v>0.05</v>
      </c>
      <c r="H60" s="6">
        <v>45473</v>
      </c>
      <c r="I60" s="8" t="str">
        <f t="shared" si="12"/>
        <v>Jun</v>
      </c>
      <c r="J60" s="9">
        <f t="shared" si="13"/>
        <v>20187.51</v>
      </c>
      <c r="K60" s="10">
        <f t="shared" si="14"/>
        <v>0</v>
      </c>
      <c r="L60" s="11">
        <f ca="1" t="shared" si="18"/>
        <v>45972.4111111111</v>
      </c>
      <c r="M60">
        <v>799.24</v>
      </c>
      <c r="N60" s="8">
        <f t="shared" si="15"/>
        <v>449.58</v>
      </c>
      <c r="O60">
        <f t="shared" si="16"/>
        <v>427.101</v>
      </c>
    </row>
    <row r="61" ht="15.75" customHeight="1" spans="1:15">
      <c r="A61" t="s">
        <v>21</v>
      </c>
      <c r="B61" t="s">
        <v>84</v>
      </c>
      <c r="C61" t="s">
        <v>19</v>
      </c>
      <c r="D61" t="s">
        <v>23</v>
      </c>
      <c r="E61">
        <v>1360.36</v>
      </c>
      <c r="F61">
        <v>17</v>
      </c>
      <c r="G61" s="5">
        <f t="shared" si="11"/>
        <v>0.1</v>
      </c>
      <c r="H61" s="6">
        <v>45473</v>
      </c>
      <c r="I61" s="8" t="str">
        <f t="shared" si="12"/>
        <v>Jun</v>
      </c>
      <c r="J61" s="9">
        <f t="shared" si="13"/>
        <v>20187.51</v>
      </c>
      <c r="K61" s="10">
        <f t="shared" si="14"/>
        <v>0</v>
      </c>
      <c r="L61" s="11">
        <f ca="1" t="shared" si="18"/>
        <v>45972.4111111111</v>
      </c>
      <c r="M61">
        <v>680.18</v>
      </c>
      <c r="N61" s="8">
        <f t="shared" si="15"/>
        <v>680.18</v>
      </c>
      <c r="O61">
        <f t="shared" si="16"/>
        <v>612.162</v>
      </c>
    </row>
    <row r="62" ht="15.75" customHeight="1" spans="1:15">
      <c r="A62" t="s">
        <v>82</v>
      </c>
      <c r="B62" t="s">
        <v>45</v>
      </c>
      <c r="C62" t="s">
        <v>26</v>
      </c>
      <c r="D62" t="s">
        <v>20</v>
      </c>
      <c r="E62">
        <v>1383.3</v>
      </c>
      <c r="F62">
        <v>8</v>
      </c>
      <c r="G62" s="5">
        <f t="shared" si="11"/>
        <v>0.05</v>
      </c>
      <c r="H62" s="6">
        <v>45478</v>
      </c>
      <c r="I62" s="8" t="str">
        <f t="shared" si="12"/>
        <v>Jul</v>
      </c>
      <c r="J62" s="9">
        <f t="shared" si="13"/>
        <v>11609.04</v>
      </c>
      <c r="K62" s="10">
        <f t="shared" si="14"/>
        <v>-0.42493947990614</v>
      </c>
      <c r="L62" s="11">
        <f ca="1" t="shared" si="18"/>
        <v>45972.4111111111</v>
      </c>
      <c r="M62">
        <v>885.31</v>
      </c>
      <c r="N62" s="8">
        <f t="shared" si="15"/>
        <v>497.99</v>
      </c>
      <c r="O62">
        <f t="shared" si="16"/>
        <v>473.0905</v>
      </c>
    </row>
    <row r="63" ht="15.75" customHeight="1" spans="1:15">
      <c r="A63" t="s">
        <v>52</v>
      </c>
      <c r="B63" t="s">
        <v>80</v>
      </c>
      <c r="C63" t="s">
        <v>50</v>
      </c>
      <c r="D63" t="s">
        <v>57</v>
      </c>
      <c r="E63">
        <v>488.99</v>
      </c>
      <c r="F63">
        <v>9</v>
      </c>
      <c r="G63" s="5">
        <f t="shared" si="11"/>
        <v>0</v>
      </c>
      <c r="H63" s="6">
        <v>45479</v>
      </c>
      <c r="I63" s="8" t="str">
        <f t="shared" si="12"/>
        <v>Jul</v>
      </c>
      <c r="J63" s="9">
        <f t="shared" si="13"/>
        <v>11609.04</v>
      </c>
      <c r="K63" s="10">
        <f t="shared" si="14"/>
        <v>0</v>
      </c>
      <c r="L63" s="11">
        <f ca="1" t="shared" ref="L63:L72" si="19">NOW()</f>
        <v>45972.4111111111</v>
      </c>
      <c r="M63">
        <v>268.94</v>
      </c>
      <c r="N63" s="8">
        <f t="shared" si="15"/>
        <v>220.05</v>
      </c>
      <c r="O63">
        <f t="shared" si="16"/>
        <v>220.05</v>
      </c>
    </row>
    <row r="64" ht="15.75" customHeight="1" spans="1:15">
      <c r="A64" t="s">
        <v>44</v>
      </c>
      <c r="B64" t="s">
        <v>45</v>
      </c>
      <c r="C64" t="s">
        <v>26</v>
      </c>
      <c r="D64" t="s">
        <v>37</v>
      </c>
      <c r="E64">
        <v>933.71</v>
      </c>
      <c r="F64">
        <v>17</v>
      </c>
      <c r="G64" s="5">
        <f t="shared" si="11"/>
        <v>0</v>
      </c>
      <c r="H64" s="6">
        <v>45481</v>
      </c>
      <c r="I64" s="8" t="str">
        <f t="shared" si="12"/>
        <v>Jul</v>
      </c>
      <c r="J64" s="9">
        <f t="shared" si="13"/>
        <v>11609.04</v>
      </c>
      <c r="K64" s="10">
        <f t="shared" si="14"/>
        <v>0</v>
      </c>
      <c r="L64" s="11">
        <f ca="1" t="shared" si="19"/>
        <v>45972.4111111111</v>
      </c>
      <c r="M64">
        <v>639.59</v>
      </c>
      <c r="N64" s="8">
        <f t="shared" si="15"/>
        <v>294.12</v>
      </c>
      <c r="O64">
        <f t="shared" si="16"/>
        <v>294.12</v>
      </c>
    </row>
    <row r="65" ht="15.75" customHeight="1" spans="1:15">
      <c r="A65" t="s">
        <v>92</v>
      </c>
      <c r="B65" t="s">
        <v>18</v>
      </c>
      <c r="C65" t="s">
        <v>19</v>
      </c>
      <c r="D65" t="s">
        <v>29</v>
      </c>
      <c r="E65">
        <v>1005.53</v>
      </c>
      <c r="F65">
        <v>17</v>
      </c>
      <c r="G65" s="5">
        <f t="shared" si="11"/>
        <v>0</v>
      </c>
      <c r="H65" s="6">
        <v>45481</v>
      </c>
      <c r="I65" s="8" t="str">
        <f t="shared" si="12"/>
        <v>Jul</v>
      </c>
      <c r="J65" s="9">
        <f t="shared" si="13"/>
        <v>11609.04</v>
      </c>
      <c r="K65" s="10">
        <f t="shared" si="14"/>
        <v>0</v>
      </c>
      <c r="L65" s="11">
        <f ca="1" t="shared" si="19"/>
        <v>45972.4111111111</v>
      </c>
      <c r="M65">
        <v>804.42</v>
      </c>
      <c r="N65" s="8">
        <f t="shared" si="15"/>
        <v>201.11</v>
      </c>
      <c r="O65">
        <f t="shared" si="16"/>
        <v>201.11</v>
      </c>
    </row>
    <row r="66" ht="15.75" customHeight="1" spans="1:15">
      <c r="A66" t="s">
        <v>64</v>
      </c>
      <c r="B66" t="s">
        <v>86</v>
      </c>
      <c r="C66" t="s">
        <v>28</v>
      </c>
      <c r="D66" t="s">
        <v>29</v>
      </c>
      <c r="E66">
        <v>1100.1</v>
      </c>
      <c r="F66">
        <v>5</v>
      </c>
      <c r="G66" s="5">
        <f t="shared" si="11"/>
        <v>0</v>
      </c>
      <c r="H66" s="6">
        <v>45482</v>
      </c>
      <c r="I66" s="8" t="str">
        <f t="shared" si="12"/>
        <v>Jul</v>
      </c>
      <c r="J66" s="9">
        <f t="shared" si="13"/>
        <v>11609.04</v>
      </c>
      <c r="K66" s="10">
        <f t="shared" si="14"/>
        <v>0</v>
      </c>
      <c r="L66" s="11">
        <f ca="1" t="shared" si="19"/>
        <v>45972.4111111111</v>
      </c>
      <c r="M66">
        <v>838.83</v>
      </c>
      <c r="N66" s="8">
        <f t="shared" si="15"/>
        <v>261.27</v>
      </c>
      <c r="O66">
        <f t="shared" si="16"/>
        <v>261.27</v>
      </c>
    </row>
    <row r="67" ht="15.75" customHeight="1" spans="1:15">
      <c r="A67" t="s">
        <v>92</v>
      </c>
      <c r="B67" t="s">
        <v>32</v>
      </c>
      <c r="C67" t="s">
        <v>33</v>
      </c>
      <c r="D67" t="s">
        <v>37</v>
      </c>
      <c r="E67">
        <v>1034.7</v>
      </c>
      <c r="F67">
        <v>15</v>
      </c>
      <c r="G67" s="5">
        <f t="shared" ref="G67:G98" si="20">IF(AND(N67&gt;300,N67&lt;=500),0.05,IF(AND(N67&gt;500,N67&lt;=800),0.1,IF(AND(N67&gt;800,N67&lt;=1000),0.12,IF(N67&gt;1000,0.15,0))))</f>
        <v>0.05</v>
      </c>
      <c r="H67" s="6">
        <v>45487</v>
      </c>
      <c r="I67" s="8" t="str">
        <f t="shared" ref="I67:I98" si="21">TEXT(H67,"mmm")</f>
        <v>Jul</v>
      </c>
      <c r="J67" s="9">
        <f t="shared" ref="J67:J98" si="22">SUMIFS(E:E,I:I,I67)</f>
        <v>11609.04</v>
      </c>
      <c r="K67" s="10">
        <f t="shared" ref="K67:K98" si="23">IFERROR((J67-J66)/J66,0)</f>
        <v>0</v>
      </c>
      <c r="L67" s="11">
        <f ca="1" t="shared" si="19"/>
        <v>45972.4111111111</v>
      </c>
      <c r="M67">
        <v>726.88</v>
      </c>
      <c r="N67" s="8">
        <f t="shared" ref="N67:N98" si="24">E67-M67</f>
        <v>307.82</v>
      </c>
      <c r="O67">
        <f t="shared" ref="O67:O98" si="25">N67*(1-G67)</f>
        <v>292.429</v>
      </c>
    </row>
    <row r="68" ht="15.75" customHeight="1" spans="1:15">
      <c r="A68" t="s">
        <v>90</v>
      </c>
      <c r="B68" t="s">
        <v>45</v>
      </c>
      <c r="C68" t="s">
        <v>28</v>
      </c>
      <c r="D68" t="s">
        <v>20</v>
      </c>
      <c r="E68">
        <v>876.44</v>
      </c>
      <c r="F68">
        <v>12</v>
      </c>
      <c r="G68" s="5">
        <f t="shared" si="20"/>
        <v>0.05</v>
      </c>
      <c r="H68" s="6">
        <v>45488</v>
      </c>
      <c r="I68" s="8" t="str">
        <f t="shared" si="21"/>
        <v>Jul</v>
      </c>
      <c r="J68" s="9">
        <f t="shared" si="22"/>
        <v>11609.04</v>
      </c>
      <c r="K68" s="10">
        <f t="shared" si="23"/>
        <v>0</v>
      </c>
      <c r="L68" s="11">
        <f ca="1" t="shared" si="19"/>
        <v>45972.4111111111</v>
      </c>
      <c r="M68">
        <v>543.39</v>
      </c>
      <c r="N68" s="8">
        <f t="shared" si="24"/>
        <v>333.05</v>
      </c>
      <c r="O68">
        <f t="shared" si="25"/>
        <v>316.3975</v>
      </c>
    </row>
    <row r="69" ht="15.75" customHeight="1" spans="1:15">
      <c r="A69" t="s">
        <v>93</v>
      </c>
      <c r="B69" t="s">
        <v>80</v>
      </c>
      <c r="C69" t="s">
        <v>19</v>
      </c>
      <c r="D69" t="s">
        <v>37</v>
      </c>
      <c r="E69">
        <v>1371.34</v>
      </c>
      <c r="F69">
        <v>5</v>
      </c>
      <c r="G69" s="5">
        <f t="shared" si="20"/>
        <v>0.05</v>
      </c>
      <c r="H69" s="6">
        <v>45488</v>
      </c>
      <c r="I69" s="8" t="str">
        <f t="shared" si="21"/>
        <v>Jul</v>
      </c>
      <c r="J69" s="9">
        <f t="shared" si="22"/>
        <v>11609.04</v>
      </c>
      <c r="K69" s="10">
        <f t="shared" si="23"/>
        <v>0</v>
      </c>
      <c r="L69" s="11">
        <f ca="1" t="shared" si="19"/>
        <v>45972.4111111111</v>
      </c>
      <c r="M69">
        <v>915.37</v>
      </c>
      <c r="N69" s="8">
        <f t="shared" si="24"/>
        <v>455.97</v>
      </c>
      <c r="O69">
        <f t="shared" si="25"/>
        <v>433.1715</v>
      </c>
    </row>
    <row r="70" ht="15.75" customHeight="1" spans="1:15">
      <c r="A70" t="s">
        <v>82</v>
      </c>
      <c r="B70" t="s">
        <v>72</v>
      </c>
      <c r="C70" t="s">
        <v>33</v>
      </c>
      <c r="D70" t="s">
        <v>29</v>
      </c>
      <c r="E70">
        <v>1020.26</v>
      </c>
      <c r="F70">
        <v>11</v>
      </c>
      <c r="G70" s="5">
        <f t="shared" si="20"/>
        <v>0</v>
      </c>
      <c r="H70" s="6">
        <v>45494</v>
      </c>
      <c r="I70" s="8" t="str">
        <f t="shared" si="21"/>
        <v>Jul</v>
      </c>
      <c r="J70" s="9">
        <f t="shared" si="22"/>
        <v>11609.04</v>
      </c>
      <c r="K70" s="10">
        <f t="shared" si="23"/>
        <v>0</v>
      </c>
      <c r="L70" s="11">
        <f ca="1" t="shared" si="19"/>
        <v>45972.4111111111</v>
      </c>
      <c r="M70">
        <v>777.95</v>
      </c>
      <c r="N70" s="8">
        <f t="shared" si="24"/>
        <v>242.31</v>
      </c>
      <c r="O70">
        <f t="shared" si="25"/>
        <v>242.31</v>
      </c>
    </row>
    <row r="71" ht="15.75" customHeight="1" spans="1:15">
      <c r="A71" t="s">
        <v>68</v>
      </c>
      <c r="B71" t="s">
        <v>18</v>
      </c>
      <c r="C71" t="s">
        <v>50</v>
      </c>
      <c r="D71" t="s">
        <v>57</v>
      </c>
      <c r="E71">
        <v>804.81</v>
      </c>
      <c r="F71">
        <v>1</v>
      </c>
      <c r="G71" s="5">
        <f t="shared" si="20"/>
        <v>0.05</v>
      </c>
      <c r="H71" s="6">
        <v>45502</v>
      </c>
      <c r="I71" s="8" t="str">
        <f t="shared" si="21"/>
        <v>Jul</v>
      </c>
      <c r="J71" s="9">
        <f t="shared" si="22"/>
        <v>11609.04</v>
      </c>
      <c r="K71" s="10">
        <f t="shared" si="23"/>
        <v>0</v>
      </c>
      <c r="L71" s="11">
        <f ca="1" t="shared" si="19"/>
        <v>45972.4111111111</v>
      </c>
      <c r="M71">
        <v>460.75</v>
      </c>
      <c r="N71" s="8">
        <f t="shared" si="24"/>
        <v>344.06</v>
      </c>
      <c r="O71">
        <f t="shared" si="25"/>
        <v>326.857</v>
      </c>
    </row>
    <row r="72" ht="15.75" customHeight="1" spans="1:15">
      <c r="A72" t="s">
        <v>31</v>
      </c>
      <c r="B72" t="s">
        <v>80</v>
      </c>
      <c r="C72" t="s">
        <v>50</v>
      </c>
      <c r="D72" t="s">
        <v>29</v>
      </c>
      <c r="E72">
        <v>608.66</v>
      </c>
      <c r="F72">
        <v>1</v>
      </c>
      <c r="G72" s="5">
        <f t="shared" si="20"/>
        <v>0</v>
      </c>
      <c r="H72" s="6">
        <v>45503</v>
      </c>
      <c r="I72" s="8" t="str">
        <f t="shared" si="21"/>
        <v>Jul</v>
      </c>
      <c r="J72" s="9">
        <f t="shared" si="22"/>
        <v>11609.04</v>
      </c>
      <c r="K72" s="10">
        <f t="shared" si="23"/>
        <v>0</v>
      </c>
      <c r="L72" s="11">
        <f ca="1" t="shared" si="19"/>
        <v>45972.4111111111</v>
      </c>
      <c r="M72">
        <v>464.1</v>
      </c>
      <c r="N72" s="8">
        <f t="shared" si="24"/>
        <v>144.56</v>
      </c>
      <c r="O72">
        <f t="shared" si="25"/>
        <v>144.56</v>
      </c>
    </row>
    <row r="73" ht="15.75" customHeight="1" spans="1:15">
      <c r="A73" t="s">
        <v>93</v>
      </c>
      <c r="B73" t="s">
        <v>94</v>
      </c>
      <c r="C73" t="s">
        <v>28</v>
      </c>
      <c r="D73" t="s">
        <v>57</v>
      </c>
      <c r="E73">
        <v>981.2</v>
      </c>
      <c r="F73">
        <v>19</v>
      </c>
      <c r="G73" s="5">
        <f t="shared" si="20"/>
        <v>0.05</v>
      </c>
      <c r="H73" s="6">
        <v>45504</v>
      </c>
      <c r="I73" s="8" t="str">
        <f t="shared" si="21"/>
        <v>Jul</v>
      </c>
      <c r="J73" s="9">
        <f t="shared" si="22"/>
        <v>11609.04</v>
      </c>
      <c r="K73" s="10">
        <f t="shared" si="23"/>
        <v>0</v>
      </c>
      <c r="L73" s="11">
        <f ca="1" t="shared" ref="L73:L82" si="26">NOW()</f>
        <v>45972.4111111111</v>
      </c>
      <c r="M73">
        <v>539.66</v>
      </c>
      <c r="N73" s="8">
        <f t="shared" si="24"/>
        <v>441.54</v>
      </c>
      <c r="O73">
        <f t="shared" si="25"/>
        <v>419.463</v>
      </c>
    </row>
    <row r="74" ht="15.75" customHeight="1" spans="1:15">
      <c r="A74" t="s">
        <v>95</v>
      </c>
      <c r="B74" t="s">
        <v>80</v>
      </c>
      <c r="C74" t="s">
        <v>26</v>
      </c>
      <c r="D74" t="s">
        <v>29</v>
      </c>
      <c r="E74">
        <v>539.77</v>
      </c>
      <c r="F74">
        <v>10</v>
      </c>
      <c r="G74" s="5">
        <f t="shared" si="20"/>
        <v>0</v>
      </c>
      <c r="H74" s="6">
        <v>45509</v>
      </c>
      <c r="I74" s="8" t="str">
        <f t="shared" si="21"/>
        <v>Aug</v>
      </c>
      <c r="J74" s="9">
        <f t="shared" si="22"/>
        <v>10091.7</v>
      </c>
      <c r="K74" s="10">
        <f t="shared" si="23"/>
        <v>-0.130703313969114</v>
      </c>
      <c r="L74" s="11">
        <f ca="1" t="shared" si="26"/>
        <v>45972.4111111111</v>
      </c>
      <c r="M74">
        <v>425.07</v>
      </c>
      <c r="N74" s="8">
        <f t="shared" si="24"/>
        <v>114.7</v>
      </c>
      <c r="O74">
        <f t="shared" si="25"/>
        <v>114.7</v>
      </c>
    </row>
    <row r="75" ht="15.75" customHeight="1" spans="1:15">
      <c r="A75" t="s">
        <v>21</v>
      </c>
      <c r="B75" t="s">
        <v>96</v>
      </c>
      <c r="C75" t="s">
        <v>28</v>
      </c>
      <c r="D75" t="s">
        <v>20</v>
      </c>
      <c r="E75">
        <v>804.45</v>
      </c>
      <c r="F75">
        <v>5</v>
      </c>
      <c r="G75" s="5">
        <f t="shared" si="20"/>
        <v>0</v>
      </c>
      <c r="H75" s="6">
        <v>45509</v>
      </c>
      <c r="I75" s="8" t="str">
        <f t="shared" si="21"/>
        <v>Aug</v>
      </c>
      <c r="J75" s="9">
        <f t="shared" si="22"/>
        <v>10091.7</v>
      </c>
      <c r="K75" s="10">
        <f t="shared" si="23"/>
        <v>0</v>
      </c>
      <c r="L75" s="11">
        <f ca="1" t="shared" si="26"/>
        <v>45972.4111111111</v>
      </c>
      <c r="M75">
        <v>547.03</v>
      </c>
      <c r="N75" s="8">
        <f t="shared" si="24"/>
        <v>257.42</v>
      </c>
      <c r="O75">
        <f t="shared" si="25"/>
        <v>257.42</v>
      </c>
    </row>
    <row r="76" ht="15.75" customHeight="1" spans="1:15">
      <c r="A76" t="s">
        <v>95</v>
      </c>
      <c r="B76" t="s">
        <v>56</v>
      </c>
      <c r="C76" t="s">
        <v>19</v>
      </c>
      <c r="D76" t="s">
        <v>29</v>
      </c>
      <c r="E76">
        <v>1526.6</v>
      </c>
      <c r="F76">
        <v>13</v>
      </c>
      <c r="G76" s="5">
        <f t="shared" si="20"/>
        <v>0.05</v>
      </c>
      <c r="H76" s="6">
        <v>45512</v>
      </c>
      <c r="I76" s="8" t="str">
        <f t="shared" si="21"/>
        <v>Aug</v>
      </c>
      <c r="J76" s="9">
        <f t="shared" si="22"/>
        <v>10091.7</v>
      </c>
      <c r="K76" s="10">
        <f t="shared" si="23"/>
        <v>0</v>
      </c>
      <c r="L76" s="11">
        <f ca="1" t="shared" si="26"/>
        <v>45972.4111111111</v>
      </c>
      <c r="M76">
        <v>1221.28</v>
      </c>
      <c r="N76" s="8">
        <f t="shared" si="24"/>
        <v>305.32</v>
      </c>
      <c r="O76">
        <f t="shared" si="25"/>
        <v>290.054</v>
      </c>
    </row>
    <row r="77" ht="15.75" customHeight="1" spans="1:15">
      <c r="A77" t="s">
        <v>21</v>
      </c>
      <c r="B77" t="s">
        <v>40</v>
      </c>
      <c r="C77" t="s">
        <v>19</v>
      </c>
      <c r="D77" t="s">
        <v>29</v>
      </c>
      <c r="E77">
        <v>1215.26</v>
      </c>
      <c r="F77">
        <v>5</v>
      </c>
      <c r="G77" s="5">
        <f t="shared" si="20"/>
        <v>0</v>
      </c>
      <c r="H77" s="6">
        <v>45513</v>
      </c>
      <c r="I77" s="8" t="str">
        <f t="shared" si="21"/>
        <v>Aug</v>
      </c>
      <c r="J77" s="9">
        <f t="shared" si="22"/>
        <v>10091.7</v>
      </c>
      <c r="K77" s="10">
        <f t="shared" si="23"/>
        <v>0</v>
      </c>
      <c r="L77" s="11">
        <f ca="1" t="shared" si="26"/>
        <v>45972.4111111111</v>
      </c>
      <c r="M77">
        <v>957.02</v>
      </c>
      <c r="N77" s="8">
        <f t="shared" si="24"/>
        <v>258.24</v>
      </c>
      <c r="O77">
        <f t="shared" si="25"/>
        <v>258.24</v>
      </c>
    </row>
    <row r="78" ht="15.75" customHeight="1" spans="1:15">
      <c r="A78" t="s">
        <v>27</v>
      </c>
      <c r="B78" t="s">
        <v>78</v>
      </c>
      <c r="C78" t="s">
        <v>50</v>
      </c>
      <c r="D78" t="s">
        <v>37</v>
      </c>
      <c r="E78">
        <v>1261.34</v>
      </c>
      <c r="F78">
        <v>3</v>
      </c>
      <c r="G78" s="5">
        <f t="shared" si="20"/>
        <v>0.05</v>
      </c>
      <c r="H78" s="6">
        <v>45519</v>
      </c>
      <c r="I78" s="8" t="str">
        <f t="shared" si="21"/>
        <v>Aug</v>
      </c>
      <c r="J78" s="9">
        <f t="shared" si="22"/>
        <v>10091.7</v>
      </c>
      <c r="K78" s="10">
        <f t="shared" si="23"/>
        <v>0</v>
      </c>
      <c r="L78" s="11">
        <f ca="1" t="shared" si="26"/>
        <v>45972.4111111111</v>
      </c>
      <c r="M78">
        <v>819.87</v>
      </c>
      <c r="N78" s="8">
        <f t="shared" si="24"/>
        <v>441.47</v>
      </c>
      <c r="O78">
        <f t="shared" si="25"/>
        <v>419.3965</v>
      </c>
    </row>
    <row r="79" ht="15.75" customHeight="1" spans="1:15">
      <c r="A79" t="s">
        <v>97</v>
      </c>
      <c r="B79" t="s">
        <v>69</v>
      </c>
      <c r="C79" t="s">
        <v>33</v>
      </c>
      <c r="D79" t="s">
        <v>37</v>
      </c>
      <c r="E79">
        <v>518.07</v>
      </c>
      <c r="F79">
        <v>7</v>
      </c>
      <c r="G79" s="5">
        <f t="shared" si="20"/>
        <v>0</v>
      </c>
      <c r="H79" s="6">
        <v>45522</v>
      </c>
      <c r="I79" s="8" t="str">
        <f t="shared" si="21"/>
        <v>Aug</v>
      </c>
      <c r="J79" s="9">
        <f t="shared" si="22"/>
        <v>10091.7</v>
      </c>
      <c r="K79" s="10">
        <f t="shared" si="23"/>
        <v>0</v>
      </c>
      <c r="L79" s="11">
        <f ca="1" t="shared" si="26"/>
        <v>45972.4111111111</v>
      </c>
      <c r="M79">
        <v>345.81</v>
      </c>
      <c r="N79" s="8">
        <f t="shared" si="24"/>
        <v>172.26</v>
      </c>
      <c r="O79">
        <f t="shared" si="25"/>
        <v>172.26</v>
      </c>
    </row>
    <row r="80" ht="15.75" customHeight="1" spans="1:15">
      <c r="A80" t="s">
        <v>44</v>
      </c>
      <c r="B80" t="s">
        <v>40</v>
      </c>
      <c r="C80" t="s">
        <v>19</v>
      </c>
      <c r="D80" t="s">
        <v>57</v>
      </c>
      <c r="E80">
        <v>1111.34</v>
      </c>
      <c r="F80">
        <v>1</v>
      </c>
      <c r="G80" s="5">
        <f t="shared" si="20"/>
        <v>0.1</v>
      </c>
      <c r="H80" s="6">
        <v>45523</v>
      </c>
      <c r="I80" s="8" t="str">
        <f t="shared" si="21"/>
        <v>Aug</v>
      </c>
      <c r="J80" s="9">
        <f t="shared" si="22"/>
        <v>10091.7</v>
      </c>
      <c r="K80" s="10">
        <f t="shared" si="23"/>
        <v>0</v>
      </c>
      <c r="L80" s="11">
        <f ca="1" t="shared" si="26"/>
        <v>45972.4111111111</v>
      </c>
      <c r="M80">
        <v>611.24</v>
      </c>
      <c r="N80" s="8">
        <f t="shared" si="24"/>
        <v>500.1</v>
      </c>
      <c r="O80">
        <f t="shared" si="25"/>
        <v>450.09</v>
      </c>
    </row>
    <row r="81" ht="15.75" customHeight="1" spans="1:15">
      <c r="A81" t="s">
        <v>31</v>
      </c>
      <c r="B81" t="s">
        <v>45</v>
      </c>
      <c r="C81" t="s">
        <v>26</v>
      </c>
      <c r="D81" t="s">
        <v>23</v>
      </c>
      <c r="E81">
        <v>1291.47</v>
      </c>
      <c r="F81">
        <v>18</v>
      </c>
      <c r="G81" s="5">
        <f t="shared" si="20"/>
        <v>0.1</v>
      </c>
      <c r="H81" s="6">
        <v>45526</v>
      </c>
      <c r="I81" s="8" t="str">
        <f t="shared" si="21"/>
        <v>Aug</v>
      </c>
      <c r="J81" s="9">
        <f t="shared" si="22"/>
        <v>10091.7</v>
      </c>
      <c r="K81" s="10">
        <f t="shared" si="23"/>
        <v>0</v>
      </c>
      <c r="L81" s="11">
        <f ca="1" t="shared" si="26"/>
        <v>45972.4111111111</v>
      </c>
      <c r="M81">
        <v>710.31</v>
      </c>
      <c r="N81" s="8">
        <f t="shared" si="24"/>
        <v>581.16</v>
      </c>
      <c r="O81">
        <f t="shared" si="25"/>
        <v>523.044</v>
      </c>
    </row>
    <row r="82" ht="15.75" customHeight="1" spans="1:15">
      <c r="A82" t="s">
        <v>35</v>
      </c>
      <c r="B82" t="s">
        <v>80</v>
      </c>
      <c r="C82" t="s">
        <v>33</v>
      </c>
      <c r="D82" t="s">
        <v>20</v>
      </c>
      <c r="E82">
        <v>679.71</v>
      </c>
      <c r="F82">
        <v>19</v>
      </c>
      <c r="G82" s="5">
        <f t="shared" si="20"/>
        <v>0</v>
      </c>
      <c r="H82" s="6">
        <v>45534</v>
      </c>
      <c r="I82" s="8" t="str">
        <f t="shared" si="21"/>
        <v>Aug</v>
      </c>
      <c r="J82" s="9">
        <f t="shared" si="22"/>
        <v>10091.7</v>
      </c>
      <c r="K82" s="10">
        <f t="shared" si="23"/>
        <v>0</v>
      </c>
      <c r="L82" s="11">
        <f ca="1" t="shared" si="26"/>
        <v>45972.4111111111</v>
      </c>
      <c r="M82">
        <v>407.83</v>
      </c>
      <c r="N82" s="8">
        <f t="shared" si="24"/>
        <v>271.88</v>
      </c>
      <c r="O82">
        <f t="shared" si="25"/>
        <v>271.88</v>
      </c>
    </row>
    <row r="83" ht="15.75" customHeight="1" spans="1:15">
      <c r="A83" t="s">
        <v>93</v>
      </c>
      <c r="B83" t="s">
        <v>49</v>
      </c>
      <c r="C83" t="s">
        <v>26</v>
      </c>
      <c r="D83" t="s">
        <v>37</v>
      </c>
      <c r="E83">
        <v>1143.69</v>
      </c>
      <c r="F83">
        <v>17</v>
      </c>
      <c r="G83" s="5">
        <f t="shared" si="20"/>
        <v>0.05</v>
      </c>
      <c r="H83" s="6">
        <v>45534</v>
      </c>
      <c r="I83" s="8" t="str">
        <f t="shared" si="21"/>
        <v>Aug</v>
      </c>
      <c r="J83" s="9">
        <f t="shared" si="22"/>
        <v>10091.7</v>
      </c>
      <c r="K83" s="10">
        <f t="shared" si="23"/>
        <v>0</v>
      </c>
      <c r="L83" s="11">
        <f ca="1" t="shared" ref="L83:L92" si="27">NOW()</f>
        <v>45972.4111111111</v>
      </c>
      <c r="M83">
        <v>743.4</v>
      </c>
      <c r="N83" s="8">
        <f t="shared" si="24"/>
        <v>400.29</v>
      </c>
      <c r="O83">
        <f t="shared" si="25"/>
        <v>380.2755</v>
      </c>
    </row>
    <row r="84" ht="15.75" customHeight="1" spans="1:15">
      <c r="A84" t="s">
        <v>77</v>
      </c>
      <c r="B84" t="s">
        <v>75</v>
      </c>
      <c r="C84" t="s">
        <v>50</v>
      </c>
      <c r="D84" t="s">
        <v>29</v>
      </c>
      <c r="E84">
        <v>790.08</v>
      </c>
      <c r="F84">
        <v>7</v>
      </c>
      <c r="G84" s="5">
        <f t="shared" si="20"/>
        <v>0</v>
      </c>
      <c r="H84" s="6">
        <v>45536</v>
      </c>
      <c r="I84" s="8" t="str">
        <f t="shared" si="21"/>
        <v>Sep</v>
      </c>
      <c r="J84" s="9">
        <f t="shared" si="22"/>
        <v>20533.5</v>
      </c>
      <c r="K84" s="10">
        <f t="shared" si="23"/>
        <v>1.03469187550165</v>
      </c>
      <c r="L84" s="11">
        <f ca="1" t="shared" si="27"/>
        <v>45972.4111111111</v>
      </c>
      <c r="M84">
        <v>612.31</v>
      </c>
      <c r="N84" s="8">
        <f t="shared" si="24"/>
        <v>177.77</v>
      </c>
      <c r="O84">
        <f t="shared" si="25"/>
        <v>177.77</v>
      </c>
    </row>
    <row r="85" ht="15.75" customHeight="1" spans="1:15">
      <c r="A85" t="s">
        <v>27</v>
      </c>
      <c r="B85" t="s">
        <v>73</v>
      </c>
      <c r="C85" t="s">
        <v>50</v>
      </c>
      <c r="D85" t="s">
        <v>20</v>
      </c>
      <c r="E85">
        <v>1070.68</v>
      </c>
      <c r="F85">
        <v>7</v>
      </c>
      <c r="G85" s="5">
        <f t="shared" si="20"/>
        <v>0.05</v>
      </c>
      <c r="H85" s="6">
        <v>45536</v>
      </c>
      <c r="I85" s="8" t="str">
        <f t="shared" si="21"/>
        <v>Sep</v>
      </c>
      <c r="J85" s="9">
        <f t="shared" si="22"/>
        <v>20533.5</v>
      </c>
      <c r="K85" s="10">
        <f t="shared" si="23"/>
        <v>0</v>
      </c>
      <c r="L85" s="11">
        <f ca="1" t="shared" si="27"/>
        <v>45972.4111111111</v>
      </c>
      <c r="M85">
        <v>663.82</v>
      </c>
      <c r="N85" s="8">
        <f t="shared" si="24"/>
        <v>406.86</v>
      </c>
      <c r="O85">
        <f t="shared" si="25"/>
        <v>386.517</v>
      </c>
    </row>
    <row r="86" ht="15.75" customHeight="1" spans="1:15">
      <c r="A86" t="s">
        <v>83</v>
      </c>
      <c r="B86" t="s">
        <v>53</v>
      </c>
      <c r="C86" t="s">
        <v>19</v>
      </c>
      <c r="D86" t="s">
        <v>23</v>
      </c>
      <c r="E86">
        <v>1168.89</v>
      </c>
      <c r="F86">
        <v>4</v>
      </c>
      <c r="G86" s="5">
        <f t="shared" si="20"/>
        <v>0.1</v>
      </c>
      <c r="H86" s="6">
        <v>45544</v>
      </c>
      <c r="I86" s="8" t="str">
        <f t="shared" si="21"/>
        <v>Sep</v>
      </c>
      <c r="J86" s="9">
        <f t="shared" si="22"/>
        <v>20533.5</v>
      </c>
      <c r="K86" s="10">
        <f t="shared" si="23"/>
        <v>0</v>
      </c>
      <c r="L86" s="11">
        <f ca="1" t="shared" si="27"/>
        <v>45972.4111111111</v>
      </c>
      <c r="M86">
        <v>642.89</v>
      </c>
      <c r="N86" s="8">
        <f t="shared" si="24"/>
        <v>526</v>
      </c>
      <c r="O86">
        <f t="shared" si="25"/>
        <v>473.4</v>
      </c>
    </row>
    <row r="87" ht="15.75" customHeight="1" spans="1:15">
      <c r="A87" t="s">
        <v>92</v>
      </c>
      <c r="B87" t="s">
        <v>18</v>
      </c>
      <c r="C87" t="s">
        <v>28</v>
      </c>
      <c r="D87" t="s">
        <v>29</v>
      </c>
      <c r="E87">
        <v>1335.87</v>
      </c>
      <c r="F87">
        <v>17</v>
      </c>
      <c r="G87" s="5">
        <f t="shared" si="20"/>
        <v>0.05</v>
      </c>
      <c r="H87" s="6">
        <v>45544</v>
      </c>
      <c r="I87" s="8" t="str">
        <f t="shared" si="21"/>
        <v>Sep</v>
      </c>
      <c r="J87" s="9">
        <f t="shared" si="22"/>
        <v>20533.5</v>
      </c>
      <c r="K87" s="10">
        <f t="shared" si="23"/>
        <v>0</v>
      </c>
      <c r="L87" s="11">
        <f ca="1" t="shared" si="27"/>
        <v>45972.4111111111</v>
      </c>
      <c r="M87">
        <v>1001.9</v>
      </c>
      <c r="N87" s="8">
        <f t="shared" si="24"/>
        <v>333.97</v>
      </c>
      <c r="O87">
        <f t="shared" si="25"/>
        <v>317.2715</v>
      </c>
    </row>
    <row r="88" ht="15.75" customHeight="1" spans="1:15">
      <c r="A88" t="s">
        <v>62</v>
      </c>
      <c r="B88" t="s">
        <v>80</v>
      </c>
      <c r="C88" t="s">
        <v>26</v>
      </c>
      <c r="D88" t="s">
        <v>37</v>
      </c>
      <c r="E88">
        <v>873.7</v>
      </c>
      <c r="F88">
        <v>9</v>
      </c>
      <c r="G88" s="5">
        <f t="shared" si="20"/>
        <v>0.05</v>
      </c>
      <c r="H88" s="6">
        <v>45546</v>
      </c>
      <c r="I88" s="8" t="str">
        <f t="shared" si="21"/>
        <v>Sep</v>
      </c>
      <c r="J88" s="9">
        <f t="shared" si="22"/>
        <v>20533.5</v>
      </c>
      <c r="K88" s="10">
        <f t="shared" si="23"/>
        <v>0</v>
      </c>
      <c r="L88" s="11">
        <f ca="1" t="shared" si="27"/>
        <v>45972.4111111111</v>
      </c>
      <c r="M88">
        <v>567.9</v>
      </c>
      <c r="N88" s="8">
        <f t="shared" si="24"/>
        <v>305.8</v>
      </c>
      <c r="O88">
        <f t="shared" si="25"/>
        <v>290.51</v>
      </c>
    </row>
    <row r="89" ht="15.75" customHeight="1" spans="1:15">
      <c r="A89" t="s">
        <v>97</v>
      </c>
      <c r="B89" t="s">
        <v>89</v>
      </c>
      <c r="C89" t="s">
        <v>19</v>
      </c>
      <c r="D89" t="s">
        <v>57</v>
      </c>
      <c r="E89">
        <v>1443.98</v>
      </c>
      <c r="F89">
        <v>19</v>
      </c>
      <c r="G89" s="5">
        <f t="shared" si="20"/>
        <v>0.1</v>
      </c>
      <c r="H89" s="6">
        <v>45547</v>
      </c>
      <c r="I89" s="8" t="str">
        <f t="shared" si="21"/>
        <v>Sep</v>
      </c>
      <c r="J89" s="9">
        <f t="shared" si="22"/>
        <v>20533.5</v>
      </c>
      <c r="K89" s="10">
        <f t="shared" si="23"/>
        <v>0</v>
      </c>
      <c r="L89" s="11">
        <f ca="1" t="shared" si="27"/>
        <v>45972.4111111111</v>
      </c>
      <c r="M89">
        <v>794.19</v>
      </c>
      <c r="N89" s="8">
        <f t="shared" si="24"/>
        <v>649.79</v>
      </c>
      <c r="O89">
        <f t="shared" si="25"/>
        <v>584.811</v>
      </c>
    </row>
    <row r="90" ht="15.75" customHeight="1" spans="1:15">
      <c r="A90" t="s">
        <v>62</v>
      </c>
      <c r="B90" t="s">
        <v>32</v>
      </c>
      <c r="C90" t="s">
        <v>26</v>
      </c>
      <c r="D90" t="s">
        <v>57</v>
      </c>
      <c r="E90">
        <v>1154.33</v>
      </c>
      <c r="F90">
        <v>11</v>
      </c>
      <c r="G90" s="5">
        <f t="shared" si="20"/>
        <v>0.05</v>
      </c>
      <c r="H90" s="6">
        <v>45549</v>
      </c>
      <c r="I90" s="8" t="str">
        <f t="shared" si="21"/>
        <v>Sep</v>
      </c>
      <c r="J90" s="9">
        <f t="shared" si="22"/>
        <v>20533.5</v>
      </c>
      <c r="K90" s="10">
        <f t="shared" si="23"/>
        <v>0</v>
      </c>
      <c r="L90" s="11">
        <f ca="1" t="shared" si="27"/>
        <v>45972.4111111111</v>
      </c>
      <c r="M90">
        <v>712.8</v>
      </c>
      <c r="N90" s="8">
        <f t="shared" si="24"/>
        <v>441.53</v>
      </c>
      <c r="O90">
        <f t="shared" si="25"/>
        <v>419.4535</v>
      </c>
    </row>
    <row r="91" ht="15.75" customHeight="1" spans="1:15">
      <c r="A91" t="s">
        <v>74</v>
      </c>
      <c r="B91" t="s">
        <v>75</v>
      </c>
      <c r="C91" t="s">
        <v>28</v>
      </c>
      <c r="D91" t="s">
        <v>20</v>
      </c>
      <c r="E91">
        <v>1264.49</v>
      </c>
      <c r="F91">
        <v>16</v>
      </c>
      <c r="G91" s="5">
        <f t="shared" si="20"/>
        <v>0.05</v>
      </c>
      <c r="H91" s="6">
        <v>45549</v>
      </c>
      <c r="I91" s="8" t="str">
        <f t="shared" si="21"/>
        <v>Sep</v>
      </c>
      <c r="J91" s="9">
        <f t="shared" si="22"/>
        <v>20533.5</v>
      </c>
      <c r="K91" s="10">
        <f t="shared" si="23"/>
        <v>0</v>
      </c>
      <c r="L91" s="11">
        <f ca="1" t="shared" si="27"/>
        <v>45972.4111111111</v>
      </c>
      <c r="M91">
        <v>783.98</v>
      </c>
      <c r="N91" s="8">
        <f t="shared" si="24"/>
        <v>480.51</v>
      </c>
      <c r="O91">
        <f t="shared" si="25"/>
        <v>456.4845</v>
      </c>
    </row>
    <row r="92" ht="15.75" customHeight="1" spans="1:15">
      <c r="A92" t="s">
        <v>35</v>
      </c>
      <c r="B92" t="s">
        <v>91</v>
      </c>
      <c r="C92" t="s">
        <v>19</v>
      </c>
      <c r="D92" t="s">
        <v>37</v>
      </c>
      <c r="E92">
        <v>1101.55</v>
      </c>
      <c r="F92">
        <v>4</v>
      </c>
      <c r="G92" s="5">
        <f t="shared" si="20"/>
        <v>0.05</v>
      </c>
      <c r="H92" s="6">
        <v>45551</v>
      </c>
      <c r="I92" s="8" t="str">
        <f t="shared" si="21"/>
        <v>Sep</v>
      </c>
      <c r="J92" s="9">
        <f t="shared" si="22"/>
        <v>20533.5</v>
      </c>
      <c r="K92" s="10">
        <f t="shared" si="23"/>
        <v>0</v>
      </c>
      <c r="L92" s="11">
        <f ca="1" t="shared" si="27"/>
        <v>45972.4111111111</v>
      </c>
      <c r="M92">
        <v>754.56</v>
      </c>
      <c r="N92" s="8">
        <f t="shared" si="24"/>
        <v>346.99</v>
      </c>
      <c r="O92">
        <f t="shared" si="25"/>
        <v>329.6405</v>
      </c>
    </row>
    <row r="93" ht="15.75" customHeight="1" spans="1:15">
      <c r="A93" t="s">
        <v>98</v>
      </c>
      <c r="B93" t="s">
        <v>22</v>
      </c>
      <c r="C93" t="s">
        <v>28</v>
      </c>
      <c r="D93" t="s">
        <v>37</v>
      </c>
      <c r="E93">
        <v>727.73</v>
      </c>
      <c r="F93">
        <v>1</v>
      </c>
      <c r="G93" s="5">
        <f t="shared" si="20"/>
        <v>0</v>
      </c>
      <c r="H93" s="6">
        <v>45552</v>
      </c>
      <c r="I93" s="8" t="str">
        <f t="shared" si="21"/>
        <v>Sep</v>
      </c>
      <c r="J93" s="9">
        <f t="shared" si="22"/>
        <v>20533.5</v>
      </c>
      <c r="K93" s="10">
        <f t="shared" si="23"/>
        <v>0</v>
      </c>
      <c r="L93" s="11">
        <f ca="1" t="shared" ref="L93:L102" si="28">NOW()</f>
        <v>45972.4111111111</v>
      </c>
      <c r="M93">
        <v>498.5</v>
      </c>
      <c r="N93" s="8">
        <f t="shared" si="24"/>
        <v>229.23</v>
      </c>
      <c r="O93">
        <f t="shared" si="25"/>
        <v>229.23</v>
      </c>
    </row>
    <row r="94" ht="15.75" customHeight="1" spans="1:15">
      <c r="A94" t="s">
        <v>99</v>
      </c>
      <c r="B94" t="s">
        <v>56</v>
      </c>
      <c r="C94" t="s">
        <v>26</v>
      </c>
      <c r="D94" t="s">
        <v>57</v>
      </c>
      <c r="E94">
        <v>875.41</v>
      </c>
      <c r="F94">
        <v>13</v>
      </c>
      <c r="G94" s="5">
        <f t="shared" si="20"/>
        <v>0.05</v>
      </c>
      <c r="H94" s="6">
        <v>45552</v>
      </c>
      <c r="I94" s="8" t="str">
        <f t="shared" si="21"/>
        <v>Sep</v>
      </c>
      <c r="J94" s="9">
        <f t="shared" si="22"/>
        <v>20533.5</v>
      </c>
      <c r="K94" s="10">
        <f t="shared" si="23"/>
        <v>0</v>
      </c>
      <c r="L94" s="11">
        <f ca="1" t="shared" si="28"/>
        <v>45972.4111111111</v>
      </c>
      <c r="M94">
        <v>540.57</v>
      </c>
      <c r="N94" s="8">
        <f t="shared" si="24"/>
        <v>334.84</v>
      </c>
      <c r="O94">
        <f t="shared" si="25"/>
        <v>318.098</v>
      </c>
    </row>
    <row r="95" ht="15.75" customHeight="1" spans="1:15">
      <c r="A95" t="s">
        <v>92</v>
      </c>
      <c r="B95" t="s">
        <v>32</v>
      </c>
      <c r="C95" t="s">
        <v>19</v>
      </c>
      <c r="D95" t="s">
        <v>29</v>
      </c>
      <c r="E95">
        <v>1158.94</v>
      </c>
      <c r="F95">
        <v>19</v>
      </c>
      <c r="G95" s="5">
        <f t="shared" si="20"/>
        <v>0</v>
      </c>
      <c r="H95" s="6">
        <v>45553</v>
      </c>
      <c r="I95" s="8" t="str">
        <f t="shared" si="21"/>
        <v>Sep</v>
      </c>
      <c r="J95" s="9">
        <f t="shared" si="22"/>
        <v>20533.5</v>
      </c>
      <c r="K95" s="10">
        <f t="shared" si="23"/>
        <v>0</v>
      </c>
      <c r="L95" s="11">
        <f ca="1" t="shared" si="28"/>
        <v>45972.4111111111</v>
      </c>
      <c r="M95">
        <v>927.15</v>
      </c>
      <c r="N95" s="8">
        <f t="shared" si="24"/>
        <v>231.79</v>
      </c>
      <c r="O95">
        <f t="shared" si="25"/>
        <v>231.79</v>
      </c>
    </row>
    <row r="96" ht="15.75" customHeight="1" spans="1:15">
      <c r="A96" t="s">
        <v>100</v>
      </c>
      <c r="B96" t="s">
        <v>72</v>
      </c>
      <c r="C96" t="s">
        <v>28</v>
      </c>
      <c r="D96" t="s">
        <v>20</v>
      </c>
      <c r="E96">
        <v>966.3</v>
      </c>
      <c r="F96">
        <v>2</v>
      </c>
      <c r="G96" s="5">
        <f t="shared" si="20"/>
        <v>0.05</v>
      </c>
      <c r="H96" s="6">
        <v>45557</v>
      </c>
      <c r="I96" s="8" t="str">
        <f t="shared" si="21"/>
        <v>Sep</v>
      </c>
      <c r="J96" s="9">
        <f t="shared" si="22"/>
        <v>20533.5</v>
      </c>
      <c r="K96" s="10">
        <f t="shared" si="23"/>
        <v>0</v>
      </c>
      <c r="L96" s="11">
        <f ca="1" t="shared" si="28"/>
        <v>45972.4111111111</v>
      </c>
      <c r="M96">
        <v>637.76</v>
      </c>
      <c r="N96" s="8">
        <f t="shared" si="24"/>
        <v>328.54</v>
      </c>
      <c r="O96">
        <f t="shared" si="25"/>
        <v>312.113</v>
      </c>
    </row>
    <row r="97" ht="15.75" customHeight="1" spans="1:15">
      <c r="A97" t="s">
        <v>93</v>
      </c>
      <c r="B97" t="s">
        <v>25</v>
      </c>
      <c r="C97" t="s">
        <v>28</v>
      </c>
      <c r="D97" t="s">
        <v>20</v>
      </c>
      <c r="E97">
        <v>917.48</v>
      </c>
      <c r="F97">
        <v>6</v>
      </c>
      <c r="G97" s="5">
        <f t="shared" si="20"/>
        <v>0.05</v>
      </c>
      <c r="H97" s="6">
        <v>45558</v>
      </c>
      <c r="I97" s="8" t="str">
        <f t="shared" si="21"/>
        <v>Sep</v>
      </c>
      <c r="J97" s="9">
        <f t="shared" si="22"/>
        <v>20533.5</v>
      </c>
      <c r="K97" s="10">
        <f t="shared" si="23"/>
        <v>0</v>
      </c>
      <c r="L97" s="11">
        <f ca="1" t="shared" si="28"/>
        <v>45972.4111111111</v>
      </c>
      <c r="M97">
        <v>550.49</v>
      </c>
      <c r="N97" s="8">
        <f t="shared" si="24"/>
        <v>366.99</v>
      </c>
      <c r="O97">
        <f t="shared" si="25"/>
        <v>348.6405</v>
      </c>
    </row>
    <row r="98" ht="15.75" customHeight="1" spans="1:15">
      <c r="A98" t="s">
        <v>64</v>
      </c>
      <c r="B98" t="s">
        <v>86</v>
      </c>
      <c r="C98" t="s">
        <v>19</v>
      </c>
      <c r="D98" t="s">
        <v>37</v>
      </c>
      <c r="E98">
        <v>1172.97</v>
      </c>
      <c r="F98">
        <v>7</v>
      </c>
      <c r="G98" s="5">
        <f t="shared" si="20"/>
        <v>0.05</v>
      </c>
      <c r="H98" s="6">
        <v>45559</v>
      </c>
      <c r="I98" s="8" t="str">
        <f t="shared" si="21"/>
        <v>Sep</v>
      </c>
      <c r="J98" s="9">
        <f t="shared" si="22"/>
        <v>20533.5</v>
      </c>
      <c r="K98" s="10">
        <f t="shared" si="23"/>
        <v>0</v>
      </c>
      <c r="L98" s="11">
        <f ca="1" t="shared" si="28"/>
        <v>45972.4111111111</v>
      </c>
      <c r="M98">
        <v>824.01</v>
      </c>
      <c r="N98" s="8">
        <f t="shared" si="24"/>
        <v>348.96</v>
      </c>
      <c r="O98">
        <f t="shared" si="25"/>
        <v>331.512</v>
      </c>
    </row>
    <row r="99" ht="15.75" customHeight="1" spans="1:15">
      <c r="A99" t="s">
        <v>82</v>
      </c>
      <c r="B99" t="s">
        <v>32</v>
      </c>
      <c r="C99" t="s">
        <v>33</v>
      </c>
      <c r="D99" t="s">
        <v>23</v>
      </c>
      <c r="E99">
        <v>1205.82</v>
      </c>
      <c r="F99">
        <v>11</v>
      </c>
      <c r="G99" s="5">
        <f t="shared" ref="G99:G130" si="29">IF(AND(N99&gt;300,N99&lt;=500),0.05,IF(AND(N99&gt;500,N99&lt;=800),0.1,IF(AND(N99&gt;800,N99&lt;=1000),0.12,IF(N99&gt;1000,0.15,0))))</f>
        <v>0.1</v>
      </c>
      <c r="H99" s="6">
        <v>45559</v>
      </c>
      <c r="I99" s="8" t="str">
        <f t="shared" ref="I99:I130" si="30">TEXT(H99,"mmm")</f>
        <v>Sep</v>
      </c>
      <c r="J99" s="9">
        <f t="shared" ref="J99:J130" si="31">SUMIFS(E:E,I:I,I99)</f>
        <v>20533.5</v>
      </c>
      <c r="K99" s="10">
        <f t="shared" ref="K99:K130" si="32">IFERROR((J99-J98)/J98,0)</f>
        <v>0</v>
      </c>
      <c r="L99" s="11">
        <f ca="1" t="shared" si="28"/>
        <v>45972.4111111111</v>
      </c>
      <c r="M99">
        <v>663.2</v>
      </c>
      <c r="N99" s="8">
        <f t="shared" ref="N99:N130" si="33">E99-M99</f>
        <v>542.62</v>
      </c>
      <c r="O99">
        <f t="shared" ref="O99:O130" si="34">N99*(1-G99)</f>
        <v>488.358</v>
      </c>
    </row>
    <row r="100" ht="15.75" customHeight="1" spans="1:15">
      <c r="A100" t="s">
        <v>24</v>
      </c>
      <c r="B100" t="s">
        <v>89</v>
      </c>
      <c r="C100" t="s">
        <v>19</v>
      </c>
      <c r="D100" t="s">
        <v>57</v>
      </c>
      <c r="E100">
        <v>826.93</v>
      </c>
      <c r="F100">
        <v>10</v>
      </c>
      <c r="G100" s="5">
        <f t="shared" si="29"/>
        <v>0</v>
      </c>
      <c r="H100" s="6">
        <v>45564</v>
      </c>
      <c r="I100" s="8" t="str">
        <f t="shared" si="30"/>
        <v>Sep</v>
      </c>
      <c r="J100" s="9">
        <f t="shared" si="31"/>
        <v>20533.5</v>
      </c>
      <c r="K100" s="10">
        <f t="shared" si="32"/>
        <v>0</v>
      </c>
      <c r="L100" s="11">
        <f ca="1" t="shared" si="28"/>
        <v>45972.4111111111</v>
      </c>
      <c r="M100">
        <v>529.24</v>
      </c>
      <c r="N100" s="8">
        <f t="shared" si="33"/>
        <v>297.69</v>
      </c>
      <c r="O100">
        <f t="shared" si="34"/>
        <v>297.69</v>
      </c>
    </row>
    <row r="101" ht="15.75" customHeight="1" spans="1:15">
      <c r="A101" t="s">
        <v>92</v>
      </c>
      <c r="B101" t="s">
        <v>32</v>
      </c>
      <c r="C101" t="s">
        <v>50</v>
      </c>
      <c r="D101" t="s">
        <v>23</v>
      </c>
      <c r="E101">
        <v>902.19</v>
      </c>
      <c r="F101">
        <v>12</v>
      </c>
      <c r="G101" s="5">
        <f t="shared" si="29"/>
        <v>0.05</v>
      </c>
      <c r="H101" s="6">
        <v>45564</v>
      </c>
      <c r="I101" s="8" t="str">
        <f t="shared" si="30"/>
        <v>Sep</v>
      </c>
      <c r="J101" s="9">
        <f t="shared" si="31"/>
        <v>20533.5</v>
      </c>
      <c r="K101" s="10">
        <f t="shared" si="32"/>
        <v>0</v>
      </c>
      <c r="L101" s="11">
        <f ca="1" t="shared" si="28"/>
        <v>45972.4111111111</v>
      </c>
      <c r="M101">
        <v>451.09</v>
      </c>
      <c r="N101" s="8">
        <f t="shared" si="33"/>
        <v>451.1</v>
      </c>
      <c r="O101">
        <f t="shared" si="34"/>
        <v>428.545</v>
      </c>
    </row>
    <row r="102" ht="15.75" customHeight="1" spans="1:15">
      <c r="A102" t="s">
        <v>99</v>
      </c>
      <c r="B102" t="s">
        <v>56</v>
      </c>
      <c r="C102" t="s">
        <v>33</v>
      </c>
      <c r="D102" t="s">
        <v>20</v>
      </c>
      <c r="E102">
        <v>585.97</v>
      </c>
      <c r="F102">
        <v>17</v>
      </c>
      <c r="G102" s="5">
        <f t="shared" si="29"/>
        <v>0</v>
      </c>
      <c r="H102" s="6">
        <v>45565</v>
      </c>
      <c r="I102" s="8" t="str">
        <f t="shared" si="30"/>
        <v>Sep</v>
      </c>
      <c r="J102" s="9">
        <f t="shared" si="31"/>
        <v>20533.5</v>
      </c>
      <c r="K102" s="10">
        <f t="shared" si="32"/>
        <v>0</v>
      </c>
      <c r="L102" s="11">
        <f ca="1" t="shared" si="28"/>
        <v>45972.4111111111</v>
      </c>
      <c r="M102">
        <v>375.02</v>
      </c>
      <c r="N102" s="8">
        <f t="shared" si="33"/>
        <v>210.95</v>
      </c>
      <c r="O102">
        <f t="shared" si="34"/>
        <v>210.95</v>
      </c>
    </row>
    <row r="103" ht="15.75" customHeight="1" spans="1:15">
      <c r="A103" t="s">
        <v>85</v>
      </c>
      <c r="B103" t="s">
        <v>36</v>
      </c>
      <c r="C103" t="s">
        <v>33</v>
      </c>
      <c r="D103" t="s">
        <v>23</v>
      </c>
      <c r="E103">
        <v>990.19</v>
      </c>
      <c r="F103">
        <v>8</v>
      </c>
      <c r="G103" s="5">
        <f t="shared" si="29"/>
        <v>0.05</v>
      </c>
      <c r="H103" s="6">
        <v>45565</v>
      </c>
      <c r="I103" s="8" t="str">
        <f t="shared" si="30"/>
        <v>Sep</v>
      </c>
      <c r="J103" s="9">
        <f t="shared" si="31"/>
        <v>20533.5</v>
      </c>
      <c r="K103" s="10">
        <f t="shared" si="32"/>
        <v>0</v>
      </c>
      <c r="L103" s="11">
        <f ca="1" t="shared" ref="L103:L112" si="35">NOW()</f>
        <v>45972.4111111111</v>
      </c>
      <c r="M103">
        <v>544.6</v>
      </c>
      <c r="N103" s="8">
        <f t="shared" si="33"/>
        <v>445.59</v>
      </c>
      <c r="O103">
        <f t="shared" si="34"/>
        <v>423.3105</v>
      </c>
    </row>
    <row r="104" ht="15.75" customHeight="1" spans="1:15">
      <c r="A104" t="s">
        <v>68</v>
      </c>
      <c r="B104" t="s">
        <v>81</v>
      </c>
      <c r="C104" t="s">
        <v>50</v>
      </c>
      <c r="D104" t="s">
        <v>29</v>
      </c>
      <c r="E104">
        <v>1014.09</v>
      </c>
      <c r="F104">
        <v>13</v>
      </c>
      <c r="G104" s="5">
        <f t="shared" si="29"/>
        <v>0</v>
      </c>
      <c r="H104" s="6">
        <v>45567</v>
      </c>
      <c r="I104" s="8" t="str">
        <f t="shared" si="30"/>
        <v>Oct</v>
      </c>
      <c r="J104" s="9">
        <f t="shared" si="31"/>
        <v>14215.24</v>
      </c>
      <c r="K104" s="10">
        <f t="shared" si="32"/>
        <v>-0.307704969927192</v>
      </c>
      <c r="L104" s="11">
        <f ca="1" t="shared" si="35"/>
        <v>45972.4111111111</v>
      </c>
      <c r="M104">
        <v>811.27</v>
      </c>
      <c r="N104" s="8">
        <f t="shared" si="33"/>
        <v>202.82</v>
      </c>
      <c r="O104">
        <f t="shared" si="34"/>
        <v>202.82</v>
      </c>
    </row>
    <row r="105" ht="15.75" customHeight="1" spans="1:15">
      <c r="A105" t="s">
        <v>21</v>
      </c>
      <c r="B105" t="s">
        <v>73</v>
      </c>
      <c r="C105" t="s">
        <v>33</v>
      </c>
      <c r="D105" t="s">
        <v>29</v>
      </c>
      <c r="E105">
        <v>925.29</v>
      </c>
      <c r="F105">
        <v>17</v>
      </c>
      <c r="G105" s="5">
        <f t="shared" si="29"/>
        <v>0</v>
      </c>
      <c r="H105" s="6">
        <v>45570</v>
      </c>
      <c r="I105" s="8" t="str">
        <f t="shared" si="30"/>
        <v>Oct</v>
      </c>
      <c r="J105" s="9">
        <f t="shared" si="31"/>
        <v>14215.24</v>
      </c>
      <c r="K105" s="10">
        <f t="shared" si="32"/>
        <v>0</v>
      </c>
      <c r="L105" s="11">
        <f ca="1" t="shared" si="35"/>
        <v>45972.4111111111</v>
      </c>
      <c r="M105">
        <v>693.97</v>
      </c>
      <c r="N105" s="8">
        <f t="shared" si="33"/>
        <v>231.32</v>
      </c>
      <c r="O105">
        <f t="shared" si="34"/>
        <v>231.32</v>
      </c>
    </row>
    <row r="106" ht="15.75" customHeight="1" spans="1:15">
      <c r="A106" t="s">
        <v>79</v>
      </c>
      <c r="B106" t="s">
        <v>72</v>
      </c>
      <c r="C106" t="s">
        <v>26</v>
      </c>
      <c r="D106" t="s">
        <v>37</v>
      </c>
      <c r="E106">
        <v>1286.54</v>
      </c>
      <c r="F106">
        <v>8</v>
      </c>
      <c r="G106" s="5">
        <f t="shared" si="29"/>
        <v>0.05</v>
      </c>
      <c r="H106" s="6">
        <v>45575</v>
      </c>
      <c r="I106" s="8" t="str">
        <f t="shared" si="30"/>
        <v>Oct</v>
      </c>
      <c r="J106" s="9">
        <f t="shared" si="31"/>
        <v>14215.24</v>
      </c>
      <c r="K106" s="10">
        <f t="shared" si="32"/>
        <v>0</v>
      </c>
      <c r="L106" s="11">
        <f ca="1" t="shared" si="35"/>
        <v>45972.4111111111</v>
      </c>
      <c r="M106">
        <v>836.25</v>
      </c>
      <c r="N106" s="8">
        <f t="shared" si="33"/>
        <v>450.29</v>
      </c>
      <c r="O106">
        <f t="shared" si="34"/>
        <v>427.7755</v>
      </c>
    </row>
    <row r="107" ht="15.75" customHeight="1" spans="1:15">
      <c r="A107" t="s">
        <v>55</v>
      </c>
      <c r="B107" t="s">
        <v>89</v>
      </c>
      <c r="C107" t="s">
        <v>28</v>
      </c>
      <c r="D107" t="s">
        <v>20</v>
      </c>
      <c r="E107">
        <v>961.62</v>
      </c>
      <c r="F107">
        <v>8</v>
      </c>
      <c r="G107" s="5">
        <f t="shared" si="29"/>
        <v>0.05</v>
      </c>
      <c r="H107" s="6">
        <v>45577</v>
      </c>
      <c r="I107" s="8" t="str">
        <f t="shared" si="30"/>
        <v>Oct</v>
      </c>
      <c r="J107" s="9">
        <f t="shared" si="31"/>
        <v>14215.24</v>
      </c>
      <c r="K107" s="10">
        <f t="shared" si="32"/>
        <v>0</v>
      </c>
      <c r="L107" s="11">
        <f ca="1" t="shared" si="35"/>
        <v>45972.4111111111</v>
      </c>
      <c r="M107">
        <v>653.9</v>
      </c>
      <c r="N107" s="8">
        <f t="shared" si="33"/>
        <v>307.72</v>
      </c>
      <c r="O107">
        <f t="shared" si="34"/>
        <v>292.334</v>
      </c>
    </row>
    <row r="108" ht="15.75" customHeight="1" spans="1:15">
      <c r="A108" t="s">
        <v>68</v>
      </c>
      <c r="B108" t="s">
        <v>32</v>
      </c>
      <c r="C108" t="s">
        <v>26</v>
      </c>
      <c r="D108" t="s">
        <v>20</v>
      </c>
      <c r="E108">
        <v>1081.14</v>
      </c>
      <c r="F108">
        <v>19</v>
      </c>
      <c r="G108" s="5">
        <f t="shared" si="29"/>
        <v>0.05</v>
      </c>
      <c r="H108" s="6">
        <v>45577</v>
      </c>
      <c r="I108" s="8" t="str">
        <f t="shared" si="30"/>
        <v>Oct</v>
      </c>
      <c r="J108" s="9">
        <f t="shared" si="31"/>
        <v>14215.24</v>
      </c>
      <c r="K108" s="10">
        <f t="shared" si="32"/>
        <v>0</v>
      </c>
      <c r="L108" s="11">
        <f ca="1" t="shared" si="35"/>
        <v>45972.4111111111</v>
      </c>
      <c r="M108">
        <v>713.55</v>
      </c>
      <c r="N108" s="8">
        <f t="shared" si="33"/>
        <v>367.59</v>
      </c>
      <c r="O108">
        <f t="shared" si="34"/>
        <v>349.2105</v>
      </c>
    </row>
    <row r="109" ht="15.75" customHeight="1" spans="1:15">
      <c r="A109" t="s">
        <v>83</v>
      </c>
      <c r="B109" t="s">
        <v>32</v>
      </c>
      <c r="C109" t="s">
        <v>19</v>
      </c>
      <c r="D109" t="s">
        <v>23</v>
      </c>
      <c r="E109">
        <v>1923.66</v>
      </c>
      <c r="F109">
        <v>9</v>
      </c>
      <c r="G109" s="5">
        <f t="shared" si="29"/>
        <v>0.1</v>
      </c>
      <c r="H109" s="6">
        <v>45580</v>
      </c>
      <c r="I109" s="8" t="str">
        <f t="shared" si="30"/>
        <v>Oct</v>
      </c>
      <c r="J109" s="9">
        <f t="shared" si="31"/>
        <v>14215.24</v>
      </c>
      <c r="K109" s="10">
        <f t="shared" si="32"/>
        <v>0</v>
      </c>
      <c r="L109" s="11">
        <f ca="1" t="shared" si="35"/>
        <v>45972.4111111111</v>
      </c>
      <c r="M109">
        <v>1154.2</v>
      </c>
      <c r="N109" s="8">
        <f t="shared" si="33"/>
        <v>769.46</v>
      </c>
      <c r="O109">
        <f t="shared" si="34"/>
        <v>692.514</v>
      </c>
    </row>
    <row r="110" ht="15.75" customHeight="1" spans="1:15">
      <c r="A110" t="s">
        <v>79</v>
      </c>
      <c r="B110" t="s">
        <v>91</v>
      </c>
      <c r="C110" t="s">
        <v>50</v>
      </c>
      <c r="D110" t="s">
        <v>23</v>
      </c>
      <c r="E110">
        <v>728.71</v>
      </c>
      <c r="F110">
        <v>14</v>
      </c>
      <c r="G110" s="5">
        <f t="shared" si="29"/>
        <v>0.05</v>
      </c>
      <c r="H110" s="6">
        <v>45581</v>
      </c>
      <c r="I110" s="8" t="str">
        <f t="shared" si="30"/>
        <v>Oct</v>
      </c>
      <c r="J110" s="9">
        <f t="shared" si="31"/>
        <v>14215.24</v>
      </c>
      <c r="K110" s="10">
        <f t="shared" si="32"/>
        <v>0</v>
      </c>
      <c r="L110" s="11">
        <f ca="1" t="shared" si="35"/>
        <v>45972.4111111111</v>
      </c>
      <c r="M110">
        <v>400.79</v>
      </c>
      <c r="N110" s="8">
        <f t="shared" si="33"/>
        <v>327.92</v>
      </c>
      <c r="O110">
        <f t="shared" si="34"/>
        <v>311.524</v>
      </c>
    </row>
    <row r="111" ht="15.75" customHeight="1" spans="1:15">
      <c r="A111" t="s">
        <v>17</v>
      </c>
      <c r="B111" t="s">
        <v>49</v>
      </c>
      <c r="C111" t="s">
        <v>50</v>
      </c>
      <c r="D111" t="s">
        <v>23</v>
      </c>
      <c r="E111">
        <v>1301.89</v>
      </c>
      <c r="F111">
        <v>7</v>
      </c>
      <c r="G111" s="5">
        <f t="shared" si="29"/>
        <v>0.1</v>
      </c>
      <c r="H111" s="6">
        <v>45581</v>
      </c>
      <c r="I111" s="8" t="str">
        <f t="shared" si="30"/>
        <v>Oct</v>
      </c>
      <c r="J111" s="9">
        <f t="shared" si="31"/>
        <v>14215.24</v>
      </c>
      <c r="K111" s="10">
        <f t="shared" si="32"/>
        <v>0</v>
      </c>
      <c r="L111" s="11">
        <f ca="1" t="shared" si="35"/>
        <v>45972.4111111111</v>
      </c>
      <c r="M111">
        <v>748.59</v>
      </c>
      <c r="N111" s="8">
        <f t="shared" si="33"/>
        <v>553.3</v>
      </c>
      <c r="O111">
        <f t="shared" si="34"/>
        <v>497.97</v>
      </c>
    </row>
    <row r="112" ht="15.75" customHeight="1" spans="1:15">
      <c r="A112" t="s">
        <v>95</v>
      </c>
      <c r="B112" t="s">
        <v>91</v>
      </c>
      <c r="C112" t="s">
        <v>26</v>
      </c>
      <c r="D112" t="s">
        <v>20</v>
      </c>
      <c r="E112">
        <v>980.18</v>
      </c>
      <c r="F112">
        <v>16</v>
      </c>
      <c r="G112" s="5">
        <f t="shared" si="29"/>
        <v>0.05</v>
      </c>
      <c r="H112" s="6">
        <v>45582</v>
      </c>
      <c r="I112" s="8" t="str">
        <f t="shared" si="30"/>
        <v>Oct</v>
      </c>
      <c r="J112" s="9">
        <f t="shared" si="31"/>
        <v>14215.24</v>
      </c>
      <c r="K112" s="10">
        <f t="shared" si="32"/>
        <v>0</v>
      </c>
      <c r="L112" s="11">
        <f ca="1" t="shared" si="35"/>
        <v>45972.4111111111</v>
      </c>
      <c r="M112">
        <v>627.32</v>
      </c>
      <c r="N112" s="8">
        <f t="shared" si="33"/>
        <v>352.86</v>
      </c>
      <c r="O112">
        <f t="shared" si="34"/>
        <v>335.217</v>
      </c>
    </row>
    <row r="113" ht="15.75" customHeight="1" spans="1:15">
      <c r="A113" t="s">
        <v>99</v>
      </c>
      <c r="B113" t="s">
        <v>32</v>
      </c>
      <c r="C113" t="s">
        <v>19</v>
      </c>
      <c r="D113" t="s">
        <v>23</v>
      </c>
      <c r="E113">
        <v>697.57</v>
      </c>
      <c r="F113">
        <v>17</v>
      </c>
      <c r="G113" s="5">
        <f t="shared" si="29"/>
        <v>0.05</v>
      </c>
      <c r="H113" s="6">
        <v>45584</v>
      </c>
      <c r="I113" s="8" t="str">
        <f t="shared" si="30"/>
        <v>Oct</v>
      </c>
      <c r="J113" s="9">
        <f t="shared" si="31"/>
        <v>14215.24</v>
      </c>
      <c r="K113" s="10">
        <f t="shared" si="32"/>
        <v>0</v>
      </c>
      <c r="L113" s="11">
        <f ca="1" t="shared" ref="L113:L122" si="36">NOW()</f>
        <v>45972.4111111111</v>
      </c>
      <c r="M113">
        <v>383.66</v>
      </c>
      <c r="N113" s="8">
        <f t="shared" si="33"/>
        <v>313.91</v>
      </c>
      <c r="O113">
        <f t="shared" si="34"/>
        <v>298.2145</v>
      </c>
    </row>
    <row r="114" ht="15.75" customHeight="1" spans="1:15">
      <c r="A114" t="s">
        <v>71</v>
      </c>
      <c r="B114" t="s">
        <v>96</v>
      </c>
      <c r="C114" t="s">
        <v>19</v>
      </c>
      <c r="D114" t="s">
        <v>37</v>
      </c>
      <c r="E114">
        <v>1193.61</v>
      </c>
      <c r="F114">
        <v>1</v>
      </c>
      <c r="G114" s="5">
        <f t="shared" si="29"/>
        <v>0.05</v>
      </c>
      <c r="H114" s="6">
        <v>45584</v>
      </c>
      <c r="I114" s="8" t="str">
        <f t="shared" si="30"/>
        <v>Oct</v>
      </c>
      <c r="J114" s="9">
        <f t="shared" si="31"/>
        <v>14215.24</v>
      </c>
      <c r="K114" s="10">
        <f t="shared" si="32"/>
        <v>0</v>
      </c>
      <c r="L114" s="11">
        <f ca="1" t="shared" si="36"/>
        <v>45972.4111111111</v>
      </c>
      <c r="M114">
        <v>838.51</v>
      </c>
      <c r="N114" s="8">
        <f t="shared" si="33"/>
        <v>355.1</v>
      </c>
      <c r="O114">
        <f t="shared" si="34"/>
        <v>337.345</v>
      </c>
    </row>
    <row r="115" ht="15.75" customHeight="1" spans="1:15">
      <c r="A115" t="s">
        <v>48</v>
      </c>
      <c r="B115" t="s">
        <v>56</v>
      </c>
      <c r="C115" t="s">
        <v>28</v>
      </c>
      <c r="D115" t="s">
        <v>29</v>
      </c>
      <c r="E115">
        <v>771.02</v>
      </c>
      <c r="F115">
        <v>1</v>
      </c>
      <c r="G115" s="5">
        <f t="shared" si="29"/>
        <v>0</v>
      </c>
      <c r="H115" s="6">
        <v>45585</v>
      </c>
      <c r="I115" s="8" t="str">
        <f t="shared" si="30"/>
        <v>Oct</v>
      </c>
      <c r="J115" s="9">
        <f t="shared" si="31"/>
        <v>14215.24</v>
      </c>
      <c r="K115" s="10">
        <f t="shared" si="32"/>
        <v>0</v>
      </c>
      <c r="L115" s="11">
        <f ca="1" t="shared" si="36"/>
        <v>45972.4111111111</v>
      </c>
      <c r="M115">
        <v>578.26</v>
      </c>
      <c r="N115" s="8">
        <f t="shared" si="33"/>
        <v>192.76</v>
      </c>
      <c r="O115">
        <f t="shared" si="34"/>
        <v>192.76</v>
      </c>
    </row>
    <row r="116" ht="15.75" customHeight="1" spans="1:15">
      <c r="A116" t="s">
        <v>92</v>
      </c>
      <c r="B116" t="s">
        <v>94</v>
      </c>
      <c r="C116" t="s">
        <v>33</v>
      </c>
      <c r="D116" t="s">
        <v>23</v>
      </c>
      <c r="E116">
        <v>661.09</v>
      </c>
      <c r="F116">
        <v>1</v>
      </c>
      <c r="G116" s="5">
        <f t="shared" si="29"/>
        <v>0</v>
      </c>
      <c r="H116" s="6">
        <v>45593</v>
      </c>
      <c r="I116" s="8" t="str">
        <f t="shared" si="30"/>
        <v>Oct</v>
      </c>
      <c r="J116" s="9">
        <f t="shared" si="31"/>
        <v>14215.24</v>
      </c>
      <c r="K116" s="10">
        <f t="shared" si="32"/>
        <v>0</v>
      </c>
      <c r="L116" s="11">
        <f ca="1" t="shared" si="36"/>
        <v>45972.4111111111</v>
      </c>
      <c r="M116">
        <v>396.65</v>
      </c>
      <c r="N116" s="8">
        <f t="shared" si="33"/>
        <v>264.44</v>
      </c>
      <c r="O116">
        <f t="shared" si="34"/>
        <v>264.44</v>
      </c>
    </row>
    <row r="117" ht="15.75" customHeight="1" spans="1:15">
      <c r="A117" t="s">
        <v>21</v>
      </c>
      <c r="B117" t="s">
        <v>80</v>
      </c>
      <c r="C117" t="s">
        <v>19</v>
      </c>
      <c r="D117" t="s">
        <v>29</v>
      </c>
      <c r="E117">
        <v>688.83</v>
      </c>
      <c r="F117">
        <v>15</v>
      </c>
      <c r="G117" s="5">
        <f t="shared" si="29"/>
        <v>0</v>
      </c>
      <c r="H117" s="6">
        <v>45595</v>
      </c>
      <c r="I117" s="8" t="str">
        <f t="shared" si="30"/>
        <v>Oct</v>
      </c>
      <c r="J117" s="9">
        <f t="shared" si="31"/>
        <v>14215.24</v>
      </c>
      <c r="K117" s="10">
        <f t="shared" si="32"/>
        <v>0</v>
      </c>
      <c r="L117" s="11">
        <f ca="1" t="shared" si="36"/>
        <v>45972.4111111111</v>
      </c>
      <c r="M117">
        <v>516.62</v>
      </c>
      <c r="N117" s="8">
        <f t="shared" si="33"/>
        <v>172.21</v>
      </c>
      <c r="O117">
        <f t="shared" si="34"/>
        <v>172.21</v>
      </c>
    </row>
    <row r="118" ht="15.75" customHeight="1" spans="1:15">
      <c r="A118" t="s">
        <v>98</v>
      </c>
      <c r="B118" t="s">
        <v>40</v>
      </c>
      <c r="C118" t="s">
        <v>50</v>
      </c>
      <c r="D118" t="s">
        <v>20</v>
      </c>
      <c r="E118">
        <v>1249.1</v>
      </c>
      <c r="F118">
        <v>4</v>
      </c>
      <c r="G118" s="5">
        <f t="shared" si="29"/>
        <v>0.05</v>
      </c>
      <c r="H118" s="6">
        <v>45597</v>
      </c>
      <c r="I118" s="8" t="str">
        <f t="shared" si="30"/>
        <v>Nov</v>
      </c>
      <c r="J118" s="9">
        <f t="shared" si="31"/>
        <v>20135.03</v>
      </c>
      <c r="K118" s="10">
        <f t="shared" si="32"/>
        <v>0.416439680230513</v>
      </c>
      <c r="L118" s="11">
        <f ca="1" t="shared" si="36"/>
        <v>45972.4111111111</v>
      </c>
      <c r="M118">
        <v>774.44</v>
      </c>
      <c r="N118" s="8">
        <f t="shared" si="33"/>
        <v>474.66</v>
      </c>
      <c r="O118">
        <f t="shared" si="34"/>
        <v>450.927</v>
      </c>
    </row>
    <row r="119" ht="15.75" customHeight="1" spans="1:15">
      <c r="A119" t="s">
        <v>68</v>
      </c>
      <c r="B119" t="s">
        <v>32</v>
      </c>
      <c r="C119" t="s">
        <v>26</v>
      </c>
      <c r="D119" t="s">
        <v>57</v>
      </c>
      <c r="E119">
        <v>1014.22</v>
      </c>
      <c r="F119">
        <v>14</v>
      </c>
      <c r="G119" s="5">
        <f t="shared" si="29"/>
        <v>0.05</v>
      </c>
      <c r="H119" s="6">
        <v>45599</v>
      </c>
      <c r="I119" s="8" t="str">
        <f t="shared" si="30"/>
        <v>Nov</v>
      </c>
      <c r="J119" s="9">
        <f t="shared" si="31"/>
        <v>20135.03</v>
      </c>
      <c r="K119" s="10">
        <f t="shared" si="32"/>
        <v>0</v>
      </c>
      <c r="L119" s="11">
        <f ca="1" t="shared" si="36"/>
        <v>45972.4111111111</v>
      </c>
      <c r="M119">
        <v>580.64</v>
      </c>
      <c r="N119" s="8">
        <f t="shared" si="33"/>
        <v>433.58</v>
      </c>
      <c r="O119">
        <f t="shared" si="34"/>
        <v>411.901</v>
      </c>
    </row>
    <row r="120" ht="15.75" customHeight="1" spans="1:15">
      <c r="A120" t="s">
        <v>79</v>
      </c>
      <c r="B120" t="s">
        <v>73</v>
      </c>
      <c r="C120" t="s">
        <v>26</v>
      </c>
      <c r="D120" t="s">
        <v>20</v>
      </c>
      <c r="E120">
        <v>1010.58</v>
      </c>
      <c r="F120">
        <v>2</v>
      </c>
      <c r="G120" s="5">
        <f t="shared" si="29"/>
        <v>0.05</v>
      </c>
      <c r="H120" s="6">
        <v>45605</v>
      </c>
      <c r="I120" s="8" t="str">
        <f t="shared" si="30"/>
        <v>Nov</v>
      </c>
      <c r="J120" s="9">
        <f t="shared" si="31"/>
        <v>20135.03</v>
      </c>
      <c r="K120" s="10">
        <f t="shared" si="32"/>
        <v>0</v>
      </c>
      <c r="L120" s="11">
        <f ca="1" t="shared" si="36"/>
        <v>45972.4111111111</v>
      </c>
      <c r="M120">
        <v>666.98</v>
      </c>
      <c r="N120" s="8">
        <f t="shared" si="33"/>
        <v>343.6</v>
      </c>
      <c r="O120">
        <f t="shared" si="34"/>
        <v>326.42</v>
      </c>
    </row>
    <row r="121" ht="15.75" customHeight="1" spans="1:15">
      <c r="A121" t="s">
        <v>44</v>
      </c>
      <c r="B121" t="s">
        <v>84</v>
      </c>
      <c r="C121" t="s">
        <v>33</v>
      </c>
      <c r="D121" t="s">
        <v>37</v>
      </c>
      <c r="E121">
        <v>957.29</v>
      </c>
      <c r="F121">
        <v>4</v>
      </c>
      <c r="G121" s="5">
        <f t="shared" si="29"/>
        <v>0.05</v>
      </c>
      <c r="H121" s="6">
        <v>45605</v>
      </c>
      <c r="I121" s="8" t="str">
        <f t="shared" si="30"/>
        <v>Nov</v>
      </c>
      <c r="J121" s="9">
        <f t="shared" si="31"/>
        <v>20135.03</v>
      </c>
      <c r="K121" s="10">
        <f t="shared" si="32"/>
        <v>0</v>
      </c>
      <c r="L121" s="11">
        <f ca="1" t="shared" si="36"/>
        <v>45972.4111111111</v>
      </c>
      <c r="M121">
        <v>638.99</v>
      </c>
      <c r="N121" s="8">
        <f t="shared" si="33"/>
        <v>318.3</v>
      </c>
      <c r="O121">
        <f t="shared" si="34"/>
        <v>302.385</v>
      </c>
    </row>
    <row r="122" ht="15.75" customHeight="1" spans="1:15">
      <c r="A122" t="s">
        <v>39</v>
      </c>
      <c r="B122" t="s">
        <v>69</v>
      </c>
      <c r="C122" t="s">
        <v>33</v>
      </c>
      <c r="D122" t="s">
        <v>37</v>
      </c>
      <c r="E122">
        <v>1077.92</v>
      </c>
      <c r="F122">
        <v>3</v>
      </c>
      <c r="G122" s="5">
        <f t="shared" si="29"/>
        <v>0.05</v>
      </c>
      <c r="H122" s="6">
        <v>45608</v>
      </c>
      <c r="I122" s="8" t="str">
        <f t="shared" si="30"/>
        <v>Nov</v>
      </c>
      <c r="J122" s="9">
        <f t="shared" si="31"/>
        <v>20135.03</v>
      </c>
      <c r="K122" s="10">
        <f t="shared" si="32"/>
        <v>0</v>
      </c>
      <c r="L122" s="11">
        <f ca="1" t="shared" si="36"/>
        <v>45972.4111111111</v>
      </c>
      <c r="M122">
        <v>719.51</v>
      </c>
      <c r="N122" s="8">
        <f t="shared" si="33"/>
        <v>358.41</v>
      </c>
      <c r="O122">
        <f t="shared" si="34"/>
        <v>340.4895</v>
      </c>
    </row>
    <row r="123" ht="15.75" customHeight="1" spans="1:15">
      <c r="A123" t="s">
        <v>77</v>
      </c>
      <c r="B123" t="s">
        <v>75</v>
      </c>
      <c r="C123" t="s">
        <v>28</v>
      </c>
      <c r="D123" t="s">
        <v>23</v>
      </c>
      <c r="E123">
        <v>1163.01</v>
      </c>
      <c r="F123">
        <v>5</v>
      </c>
      <c r="G123" s="5">
        <f t="shared" si="29"/>
        <v>0.1</v>
      </c>
      <c r="H123" s="6">
        <v>45611</v>
      </c>
      <c r="I123" s="8" t="str">
        <f t="shared" si="30"/>
        <v>Nov</v>
      </c>
      <c r="J123" s="9">
        <f t="shared" si="31"/>
        <v>20135.03</v>
      </c>
      <c r="K123" s="10">
        <f t="shared" si="32"/>
        <v>0</v>
      </c>
      <c r="L123" s="11">
        <f ca="1" t="shared" ref="L123:L132" si="37">NOW()</f>
        <v>45972.4111111111</v>
      </c>
      <c r="M123">
        <v>581.51</v>
      </c>
      <c r="N123" s="8">
        <f t="shared" si="33"/>
        <v>581.5</v>
      </c>
      <c r="O123">
        <f t="shared" si="34"/>
        <v>523.35</v>
      </c>
    </row>
    <row r="124" ht="15.75" customHeight="1" spans="1:15">
      <c r="A124" t="s">
        <v>79</v>
      </c>
      <c r="B124" t="s">
        <v>69</v>
      </c>
      <c r="C124" t="s">
        <v>26</v>
      </c>
      <c r="D124" t="s">
        <v>57</v>
      </c>
      <c r="E124">
        <v>1014.56</v>
      </c>
      <c r="F124">
        <v>10</v>
      </c>
      <c r="G124" s="5">
        <f t="shared" si="29"/>
        <v>0.05</v>
      </c>
      <c r="H124" s="6">
        <v>45612</v>
      </c>
      <c r="I124" s="8" t="str">
        <f t="shared" si="30"/>
        <v>Nov</v>
      </c>
      <c r="J124" s="9">
        <f t="shared" si="31"/>
        <v>20135.03</v>
      </c>
      <c r="K124" s="10">
        <f t="shared" si="32"/>
        <v>0</v>
      </c>
      <c r="L124" s="11">
        <f ca="1" t="shared" si="37"/>
        <v>45972.4111111111</v>
      </c>
      <c r="M124">
        <v>603.66</v>
      </c>
      <c r="N124" s="8">
        <f t="shared" si="33"/>
        <v>410.9</v>
      </c>
      <c r="O124">
        <f t="shared" si="34"/>
        <v>390.355</v>
      </c>
    </row>
    <row r="125" ht="15.75" customHeight="1" spans="1:15">
      <c r="A125" t="s">
        <v>17</v>
      </c>
      <c r="B125" t="s">
        <v>25</v>
      </c>
      <c r="C125" t="s">
        <v>28</v>
      </c>
      <c r="D125" t="s">
        <v>29</v>
      </c>
      <c r="E125">
        <v>718.04</v>
      </c>
      <c r="F125">
        <v>14</v>
      </c>
      <c r="G125" s="5">
        <f t="shared" si="29"/>
        <v>0</v>
      </c>
      <c r="H125" s="6">
        <v>45613</v>
      </c>
      <c r="I125" s="8" t="str">
        <f t="shared" si="30"/>
        <v>Nov</v>
      </c>
      <c r="J125" s="9">
        <f t="shared" si="31"/>
        <v>20135.03</v>
      </c>
      <c r="K125" s="10">
        <f t="shared" si="32"/>
        <v>0</v>
      </c>
      <c r="L125" s="11">
        <f ca="1" t="shared" si="37"/>
        <v>45972.4111111111</v>
      </c>
      <c r="M125">
        <v>538.53</v>
      </c>
      <c r="N125" s="8">
        <f t="shared" si="33"/>
        <v>179.51</v>
      </c>
      <c r="O125">
        <f t="shared" si="34"/>
        <v>179.51</v>
      </c>
    </row>
    <row r="126" ht="15.75" customHeight="1" spans="1:15">
      <c r="A126" t="s">
        <v>97</v>
      </c>
      <c r="B126" t="s">
        <v>25</v>
      </c>
      <c r="C126" t="s">
        <v>50</v>
      </c>
      <c r="D126" t="s">
        <v>23</v>
      </c>
      <c r="E126">
        <v>1277.85</v>
      </c>
      <c r="F126">
        <v>18</v>
      </c>
      <c r="G126" s="5">
        <f t="shared" si="29"/>
        <v>0.1</v>
      </c>
      <c r="H126" s="6">
        <v>45613</v>
      </c>
      <c r="I126" s="8" t="str">
        <f t="shared" si="30"/>
        <v>Nov</v>
      </c>
      <c r="J126" s="9">
        <f t="shared" si="31"/>
        <v>20135.03</v>
      </c>
      <c r="K126" s="10">
        <f t="shared" si="32"/>
        <v>0</v>
      </c>
      <c r="L126" s="11">
        <f ca="1" t="shared" si="37"/>
        <v>45972.4111111111</v>
      </c>
      <c r="M126">
        <v>766.71</v>
      </c>
      <c r="N126" s="8">
        <f t="shared" si="33"/>
        <v>511.14</v>
      </c>
      <c r="O126">
        <f t="shared" si="34"/>
        <v>460.026</v>
      </c>
    </row>
    <row r="127" ht="15.75" customHeight="1" spans="1:15">
      <c r="A127" t="s">
        <v>95</v>
      </c>
      <c r="B127" t="s">
        <v>32</v>
      </c>
      <c r="C127" t="s">
        <v>33</v>
      </c>
      <c r="D127" t="s">
        <v>29</v>
      </c>
      <c r="E127">
        <v>706.73</v>
      </c>
      <c r="F127">
        <v>1</v>
      </c>
      <c r="G127" s="5">
        <f t="shared" si="29"/>
        <v>0</v>
      </c>
      <c r="H127" s="6">
        <v>45613</v>
      </c>
      <c r="I127" s="8" t="str">
        <f t="shared" si="30"/>
        <v>Nov</v>
      </c>
      <c r="J127" s="9">
        <f t="shared" si="31"/>
        <v>20135.03</v>
      </c>
      <c r="K127" s="10">
        <f t="shared" si="32"/>
        <v>0</v>
      </c>
      <c r="L127" s="11">
        <f ca="1" t="shared" si="37"/>
        <v>45972.4111111111</v>
      </c>
      <c r="M127">
        <v>556.55</v>
      </c>
      <c r="N127" s="8">
        <f t="shared" si="33"/>
        <v>150.18</v>
      </c>
      <c r="O127">
        <f t="shared" si="34"/>
        <v>150.18</v>
      </c>
    </row>
    <row r="128" ht="15.75" customHeight="1" spans="1:15">
      <c r="A128" t="s">
        <v>90</v>
      </c>
      <c r="B128" t="s">
        <v>75</v>
      </c>
      <c r="C128" t="s">
        <v>26</v>
      </c>
      <c r="D128" t="s">
        <v>29</v>
      </c>
      <c r="E128">
        <v>1410.59</v>
      </c>
      <c r="F128">
        <v>15</v>
      </c>
      <c r="G128" s="5">
        <f t="shared" si="29"/>
        <v>0.05</v>
      </c>
      <c r="H128" s="6">
        <v>45615</v>
      </c>
      <c r="I128" s="8" t="str">
        <f t="shared" si="30"/>
        <v>Nov</v>
      </c>
      <c r="J128" s="9">
        <f t="shared" si="31"/>
        <v>20135.03</v>
      </c>
      <c r="K128" s="10">
        <f t="shared" si="32"/>
        <v>0</v>
      </c>
      <c r="L128" s="11">
        <f ca="1" t="shared" si="37"/>
        <v>45972.4111111111</v>
      </c>
      <c r="M128">
        <v>1057.94</v>
      </c>
      <c r="N128" s="8">
        <f t="shared" si="33"/>
        <v>352.65</v>
      </c>
      <c r="O128">
        <f t="shared" si="34"/>
        <v>335.0175</v>
      </c>
    </row>
    <row r="129" ht="15.75" customHeight="1" spans="1:15">
      <c r="A129" t="s">
        <v>48</v>
      </c>
      <c r="B129" t="s">
        <v>86</v>
      </c>
      <c r="C129" t="s">
        <v>28</v>
      </c>
      <c r="D129" t="s">
        <v>37</v>
      </c>
      <c r="E129">
        <v>1350.33</v>
      </c>
      <c r="F129">
        <v>10</v>
      </c>
      <c r="G129" s="5">
        <f t="shared" si="29"/>
        <v>0.05</v>
      </c>
      <c r="H129" s="6">
        <v>45615</v>
      </c>
      <c r="I129" s="8" t="str">
        <f t="shared" si="30"/>
        <v>Nov</v>
      </c>
      <c r="J129" s="9">
        <f t="shared" si="31"/>
        <v>20135.03</v>
      </c>
      <c r="K129" s="10">
        <f t="shared" si="32"/>
        <v>0</v>
      </c>
      <c r="L129" s="11">
        <f ca="1" t="shared" si="37"/>
        <v>45972.4111111111</v>
      </c>
      <c r="M129">
        <v>877.71</v>
      </c>
      <c r="N129" s="8">
        <f t="shared" si="33"/>
        <v>472.62</v>
      </c>
      <c r="O129">
        <f t="shared" si="34"/>
        <v>448.989</v>
      </c>
    </row>
    <row r="130" ht="15.75" customHeight="1" spans="1:15">
      <c r="A130" t="s">
        <v>64</v>
      </c>
      <c r="B130" t="s">
        <v>69</v>
      </c>
      <c r="C130" t="s">
        <v>26</v>
      </c>
      <c r="D130" t="s">
        <v>29</v>
      </c>
      <c r="E130">
        <v>919.18</v>
      </c>
      <c r="F130">
        <v>4</v>
      </c>
      <c r="G130" s="5">
        <f t="shared" si="29"/>
        <v>0</v>
      </c>
      <c r="H130" s="6">
        <v>45615</v>
      </c>
      <c r="I130" s="8" t="str">
        <f t="shared" si="30"/>
        <v>Nov</v>
      </c>
      <c r="J130" s="9">
        <f t="shared" si="31"/>
        <v>20135.03</v>
      </c>
      <c r="K130" s="10">
        <f t="shared" si="32"/>
        <v>0</v>
      </c>
      <c r="L130" s="11">
        <f ca="1" t="shared" si="37"/>
        <v>45972.4111111111</v>
      </c>
      <c r="M130">
        <v>723.85</v>
      </c>
      <c r="N130" s="8">
        <f t="shared" si="33"/>
        <v>195.33</v>
      </c>
      <c r="O130">
        <f t="shared" si="34"/>
        <v>195.33</v>
      </c>
    </row>
    <row r="131" ht="15.75" customHeight="1" spans="1:15">
      <c r="A131" t="s">
        <v>99</v>
      </c>
      <c r="B131" t="s">
        <v>32</v>
      </c>
      <c r="C131" t="s">
        <v>19</v>
      </c>
      <c r="D131" t="s">
        <v>29</v>
      </c>
      <c r="E131">
        <v>258.51</v>
      </c>
      <c r="F131">
        <v>19</v>
      </c>
      <c r="G131" s="5">
        <f t="shared" ref="G131:G162" si="38">IF(AND(N131&gt;300,N131&lt;=500),0.05,IF(AND(N131&gt;500,N131&lt;=800),0.1,IF(AND(N131&gt;800,N131&lt;=1000),0.12,IF(N131&gt;1000,0.15,0))))</f>
        <v>0</v>
      </c>
      <c r="H131" s="6">
        <v>45616</v>
      </c>
      <c r="I131" s="8" t="str">
        <f t="shared" ref="I131:I162" si="39">TEXT(H131,"mmm")</f>
        <v>Nov</v>
      </c>
      <c r="J131" s="9">
        <f t="shared" ref="J131:J162" si="40">SUMIFS(E:E,I:I,I131)</f>
        <v>20135.03</v>
      </c>
      <c r="K131" s="10">
        <f t="shared" ref="K131:K162" si="41">IFERROR((J131-J130)/J130,0)</f>
        <v>0</v>
      </c>
      <c r="L131" s="11">
        <f ca="1" t="shared" si="37"/>
        <v>45972.4111111111</v>
      </c>
      <c r="M131">
        <v>193.88</v>
      </c>
      <c r="N131" s="8">
        <f t="shared" ref="N131:N162" si="42">E131-M131</f>
        <v>64.63</v>
      </c>
      <c r="O131">
        <f t="shared" ref="O131:O162" si="43">N131*(1-G131)</f>
        <v>64.63</v>
      </c>
    </row>
    <row r="132" ht="15.75" customHeight="1" spans="1:15">
      <c r="A132" t="s">
        <v>88</v>
      </c>
      <c r="B132" t="s">
        <v>86</v>
      </c>
      <c r="C132" t="s">
        <v>26</v>
      </c>
      <c r="D132" t="s">
        <v>20</v>
      </c>
      <c r="E132">
        <v>1213.48</v>
      </c>
      <c r="F132">
        <v>5</v>
      </c>
      <c r="G132" s="5">
        <f t="shared" si="38"/>
        <v>0.05</v>
      </c>
      <c r="H132" s="6">
        <v>45616</v>
      </c>
      <c r="I132" s="8" t="str">
        <f t="shared" si="39"/>
        <v>Nov</v>
      </c>
      <c r="J132" s="9">
        <f t="shared" si="40"/>
        <v>20135.03</v>
      </c>
      <c r="K132" s="10">
        <f t="shared" si="41"/>
        <v>0</v>
      </c>
      <c r="L132" s="11">
        <f ca="1" t="shared" si="37"/>
        <v>45972.4111111111</v>
      </c>
      <c r="M132">
        <v>752.36</v>
      </c>
      <c r="N132" s="8">
        <f t="shared" si="42"/>
        <v>461.12</v>
      </c>
      <c r="O132">
        <f t="shared" si="43"/>
        <v>438.064</v>
      </c>
    </row>
    <row r="133" ht="15.75" customHeight="1" spans="1:15">
      <c r="A133" t="s">
        <v>82</v>
      </c>
      <c r="B133" t="s">
        <v>56</v>
      </c>
      <c r="C133" t="s">
        <v>50</v>
      </c>
      <c r="D133" t="s">
        <v>20</v>
      </c>
      <c r="E133">
        <v>1150.28</v>
      </c>
      <c r="F133">
        <v>8</v>
      </c>
      <c r="G133" s="5">
        <f t="shared" si="38"/>
        <v>0.05</v>
      </c>
      <c r="H133" s="6">
        <v>45622</v>
      </c>
      <c r="I133" s="8" t="str">
        <f t="shared" si="39"/>
        <v>Nov</v>
      </c>
      <c r="J133" s="9">
        <f t="shared" si="40"/>
        <v>20135.03</v>
      </c>
      <c r="K133" s="10">
        <f t="shared" si="41"/>
        <v>0</v>
      </c>
      <c r="L133" s="11">
        <f ca="1" t="shared" ref="L133:L142" si="44">NOW()</f>
        <v>45972.4111111111</v>
      </c>
      <c r="M133">
        <v>713.17</v>
      </c>
      <c r="N133" s="8">
        <f t="shared" si="42"/>
        <v>437.11</v>
      </c>
      <c r="O133">
        <f t="shared" si="43"/>
        <v>415.2545</v>
      </c>
    </row>
    <row r="134" ht="15.75" customHeight="1" spans="1:15">
      <c r="A134" t="s">
        <v>55</v>
      </c>
      <c r="B134" t="s">
        <v>96</v>
      </c>
      <c r="C134" t="s">
        <v>28</v>
      </c>
      <c r="D134" t="s">
        <v>37</v>
      </c>
      <c r="E134">
        <v>853.86</v>
      </c>
      <c r="F134">
        <v>8</v>
      </c>
      <c r="G134" s="5">
        <f t="shared" si="38"/>
        <v>0</v>
      </c>
      <c r="H134" s="6">
        <v>45622</v>
      </c>
      <c r="I134" s="8" t="str">
        <f t="shared" si="39"/>
        <v>Nov</v>
      </c>
      <c r="J134" s="9">
        <f t="shared" si="40"/>
        <v>20135.03</v>
      </c>
      <c r="K134" s="10">
        <f t="shared" si="41"/>
        <v>0</v>
      </c>
      <c r="L134" s="11">
        <f ca="1" t="shared" si="44"/>
        <v>45972.4111111111</v>
      </c>
      <c r="M134">
        <v>584.89</v>
      </c>
      <c r="N134" s="8">
        <f t="shared" si="42"/>
        <v>268.97</v>
      </c>
      <c r="O134">
        <f t="shared" si="43"/>
        <v>268.97</v>
      </c>
    </row>
    <row r="135" ht="15.75" customHeight="1" spans="1:15">
      <c r="A135" t="s">
        <v>100</v>
      </c>
      <c r="B135" t="s">
        <v>69</v>
      </c>
      <c r="C135" t="s">
        <v>28</v>
      </c>
      <c r="D135" t="s">
        <v>29</v>
      </c>
      <c r="E135">
        <v>1061.04</v>
      </c>
      <c r="F135">
        <v>1</v>
      </c>
      <c r="G135" s="5">
        <f t="shared" si="38"/>
        <v>0</v>
      </c>
      <c r="H135" s="6">
        <v>45624</v>
      </c>
      <c r="I135" s="8" t="str">
        <f t="shared" si="39"/>
        <v>Nov</v>
      </c>
      <c r="J135" s="9">
        <f t="shared" si="40"/>
        <v>20135.03</v>
      </c>
      <c r="K135" s="10">
        <f t="shared" si="41"/>
        <v>0</v>
      </c>
      <c r="L135" s="11">
        <f ca="1" t="shared" si="44"/>
        <v>45972.4111111111</v>
      </c>
      <c r="M135">
        <v>795.78</v>
      </c>
      <c r="N135" s="8">
        <f t="shared" si="42"/>
        <v>265.26</v>
      </c>
      <c r="O135">
        <f t="shared" si="43"/>
        <v>265.26</v>
      </c>
    </row>
    <row r="136" ht="15.75" customHeight="1" spans="1:15">
      <c r="A136" t="s">
        <v>39</v>
      </c>
      <c r="B136" t="s">
        <v>67</v>
      </c>
      <c r="C136" t="s">
        <v>19</v>
      </c>
      <c r="D136" t="s">
        <v>29</v>
      </c>
      <c r="E136">
        <v>894.55</v>
      </c>
      <c r="F136">
        <v>19</v>
      </c>
      <c r="G136" s="5">
        <f t="shared" si="38"/>
        <v>0</v>
      </c>
      <c r="H136" s="6">
        <v>45625</v>
      </c>
      <c r="I136" s="8" t="str">
        <f t="shared" si="39"/>
        <v>Nov</v>
      </c>
      <c r="J136" s="9">
        <f t="shared" si="40"/>
        <v>20135.03</v>
      </c>
      <c r="K136" s="10">
        <f t="shared" si="41"/>
        <v>0</v>
      </c>
      <c r="L136" s="11">
        <f ca="1" t="shared" si="44"/>
        <v>45972.4111111111</v>
      </c>
      <c r="M136">
        <v>715.64</v>
      </c>
      <c r="N136" s="8">
        <f t="shared" si="42"/>
        <v>178.91</v>
      </c>
      <c r="O136">
        <f t="shared" si="43"/>
        <v>178.91</v>
      </c>
    </row>
    <row r="137" ht="15.75" customHeight="1" spans="1:15">
      <c r="A137" t="s">
        <v>35</v>
      </c>
      <c r="B137" t="s">
        <v>56</v>
      </c>
      <c r="C137" t="s">
        <v>33</v>
      </c>
      <c r="D137" t="s">
        <v>57</v>
      </c>
      <c r="E137">
        <v>833.91</v>
      </c>
      <c r="F137">
        <v>3</v>
      </c>
      <c r="G137" s="5">
        <f t="shared" si="38"/>
        <v>0.05</v>
      </c>
      <c r="H137" s="6">
        <v>45626</v>
      </c>
      <c r="I137" s="8" t="str">
        <f t="shared" si="39"/>
        <v>Nov</v>
      </c>
      <c r="J137" s="9">
        <f t="shared" si="40"/>
        <v>20135.03</v>
      </c>
      <c r="K137" s="10">
        <f t="shared" si="41"/>
        <v>0</v>
      </c>
      <c r="L137" s="11">
        <f ca="1" t="shared" si="44"/>
        <v>45972.4111111111</v>
      </c>
      <c r="M137">
        <v>477.41</v>
      </c>
      <c r="N137" s="8">
        <f t="shared" si="42"/>
        <v>356.5</v>
      </c>
      <c r="O137">
        <f t="shared" si="43"/>
        <v>338.675</v>
      </c>
    </row>
    <row r="138" ht="15.75" customHeight="1" spans="1:15">
      <c r="A138" t="s">
        <v>83</v>
      </c>
      <c r="B138" t="s">
        <v>96</v>
      </c>
      <c r="C138" t="s">
        <v>19</v>
      </c>
      <c r="D138" t="s">
        <v>37</v>
      </c>
      <c r="E138">
        <v>820.19</v>
      </c>
      <c r="F138">
        <v>4</v>
      </c>
      <c r="G138" s="5">
        <f t="shared" si="38"/>
        <v>0</v>
      </c>
      <c r="H138" s="6">
        <v>45630</v>
      </c>
      <c r="I138" s="8" t="str">
        <f t="shared" si="39"/>
        <v>Dec</v>
      </c>
      <c r="J138" s="9">
        <f t="shared" si="40"/>
        <v>11120.04</v>
      </c>
      <c r="K138" s="10">
        <f t="shared" si="41"/>
        <v>-0.447726673364778</v>
      </c>
      <c r="L138" s="11">
        <f ca="1" t="shared" si="44"/>
        <v>45972.4111111111</v>
      </c>
      <c r="M138">
        <v>590.54</v>
      </c>
      <c r="N138" s="8">
        <f t="shared" si="42"/>
        <v>229.65</v>
      </c>
      <c r="O138">
        <f t="shared" si="43"/>
        <v>229.65</v>
      </c>
    </row>
    <row r="139" ht="15.75" customHeight="1" spans="1:15">
      <c r="A139" t="s">
        <v>83</v>
      </c>
      <c r="B139" t="s">
        <v>56</v>
      </c>
      <c r="C139" t="s">
        <v>50</v>
      </c>
      <c r="D139" t="s">
        <v>29</v>
      </c>
      <c r="E139">
        <v>511.74</v>
      </c>
      <c r="F139">
        <v>8</v>
      </c>
      <c r="G139" s="5">
        <f t="shared" si="38"/>
        <v>0</v>
      </c>
      <c r="H139" s="6">
        <v>45631</v>
      </c>
      <c r="I139" s="8" t="str">
        <f t="shared" si="39"/>
        <v>Dec</v>
      </c>
      <c r="J139" s="9">
        <f t="shared" si="40"/>
        <v>11120.04</v>
      </c>
      <c r="K139" s="10">
        <f t="shared" si="41"/>
        <v>0</v>
      </c>
      <c r="L139" s="11">
        <f ca="1" t="shared" si="44"/>
        <v>45972.4111111111</v>
      </c>
      <c r="M139">
        <v>390.2</v>
      </c>
      <c r="N139" s="8">
        <f t="shared" si="42"/>
        <v>121.54</v>
      </c>
      <c r="O139">
        <f t="shared" si="43"/>
        <v>121.54</v>
      </c>
    </row>
    <row r="140" ht="15.75" customHeight="1" spans="1:15">
      <c r="A140" t="s">
        <v>90</v>
      </c>
      <c r="B140" t="s">
        <v>86</v>
      </c>
      <c r="C140" t="s">
        <v>28</v>
      </c>
      <c r="D140" t="s">
        <v>37</v>
      </c>
      <c r="E140">
        <v>806.03</v>
      </c>
      <c r="F140">
        <v>19</v>
      </c>
      <c r="G140" s="5">
        <f t="shared" si="38"/>
        <v>0</v>
      </c>
      <c r="H140" s="6">
        <v>45638</v>
      </c>
      <c r="I140" s="8" t="str">
        <f t="shared" si="39"/>
        <v>Dec</v>
      </c>
      <c r="J140" s="9">
        <f t="shared" si="40"/>
        <v>11120.04</v>
      </c>
      <c r="K140" s="10">
        <f t="shared" si="41"/>
        <v>0</v>
      </c>
      <c r="L140" s="11">
        <f ca="1" t="shared" si="44"/>
        <v>45972.4111111111</v>
      </c>
      <c r="M140">
        <v>538.03</v>
      </c>
      <c r="N140" s="8">
        <f t="shared" si="42"/>
        <v>268</v>
      </c>
      <c r="O140">
        <f t="shared" si="43"/>
        <v>268</v>
      </c>
    </row>
    <row r="141" ht="15.75" customHeight="1" spans="1:15">
      <c r="A141" t="s">
        <v>39</v>
      </c>
      <c r="B141" t="s">
        <v>36</v>
      </c>
      <c r="C141" t="s">
        <v>50</v>
      </c>
      <c r="D141" t="s">
        <v>37</v>
      </c>
      <c r="E141">
        <v>1432.47</v>
      </c>
      <c r="F141">
        <v>16</v>
      </c>
      <c r="G141" s="5">
        <f t="shared" si="38"/>
        <v>0.05</v>
      </c>
      <c r="H141" s="6">
        <v>45640</v>
      </c>
      <c r="I141" s="8" t="str">
        <f t="shared" si="39"/>
        <v>Dec</v>
      </c>
      <c r="J141" s="9">
        <f t="shared" si="40"/>
        <v>11120.04</v>
      </c>
      <c r="K141" s="10">
        <f t="shared" si="41"/>
        <v>0</v>
      </c>
      <c r="L141" s="11">
        <f ca="1" t="shared" si="44"/>
        <v>45972.4111111111</v>
      </c>
      <c r="M141">
        <v>1006.31</v>
      </c>
      <c r="N141" s="8">
        <f t="shared" si="42"/>
        <v>426.16</v>
      </c>
      <c r="O141">
        <f t="shared" si="43"/>
        <v>404.852</v>
      </c>
    </row>
    <row r="142" ht="15.75" customHeight="1" spans="1:15">
      <c r="A142" t="s">
        <v>99</v>
      </c>
      <c r="B142" t="s">
        <v>40</v>
      </c>
      <c r="C142" t="s">
        <v>50</v>
      </c>
      <c r="D142" t="s">
        <v>29</v>
      </c>
      <c r="E142">
        <v>1488.58</v>
      </c>
      <c r="F142">
        <v>10</v>
      </c>
      <c r="G142" s="5">
        <f t="shared" si="38"/>
        <v>0.05</v>
      </c>
      <c r="H142" s="6">
        <v>45640</v>
      </c>
      <c r="I142" s="8" t="str">
        <f t="shared" si="39"/>
        <v>Dec</v>
      </c>
      <c r="J142" s="9">
        <f t="shared" si="40"/>
        <v>11120.04</v>
      </c>
      <c r="K142" s="10">
        <f t="shared" si="41"/>
        <v>0</v>
      </c>
      <c r="L142" s="11">
        <f ca="1" t="shared" si="44"/>
        <v>45972.4111111111</v>
      </c>
      <c r="M142">
        <v>1172.26</v>
      </c>
      <c r="N142" s="8">
        <f t="shared" si="42"/>
        <v>316.32</v>
      </c>
      <c r="O142">
        <f t="shared" si="43"/>
        <v>300.504</v>
      </c>
    </row>
    <row r="143" ht="15.75" customHeight="1" spans="1:15">
      <c r="A143" t="s">
        <v>44</v>
      </c>
      <c r="B143" t="s">
        <v>91</v>
      </c>
      <c r="C143" t="s">
        <v>26</v>
      </c>
      <c r="D143" t="s">
        <v>20</v>
      </c>
      <c r="E143">
        <v>1231.26</v>
      </c>
      <c r="F143">
        <v>9</v>
      </c>
      <c r="G143" s="5">
        <f t="shared" si="38"/>
        <v>0.05</v>
      </c>
      <c r="H143" s="6">
        <v>45646</v>
      </c>
      <c r="I143" s="8" t="str">
        <f t="shared" si="39"/>
        <v>Dec</v>
      </c>
      <c r="J143" s="9">
        <f t="shared" si="40"/>
        <v>11120.04</v>
      </c>
      <c r="K143" s="10">
        <f t="shared" si="41"/>
        <v>0</v>
      </c>
      <c r="L143" s="11">
        <f ca="1" t="shared" ref="L143:L152" si="45">NOW()</f>
        <v>45972.4111111111</v>
      </c>
      <c r="M143">
        <v>738.76</v>
      </c>
      <c r="N143" s="8">
        <f t="shared" si="42"/>
        <v>492.5</v>
      </c>
      <c r="O143">
        <f t="shared" si="43"/>
        <v>467.875</v>
      </c>
    </row>
    <row r="144" ht="15.75" customHeight="1" spans="1:15">
      <c r="A144" t="s">
        <v>44</v>
      </c>
      <c r="B144" t="s">
        <v>67</v>
      </c>
      <c r="C144" t="s">
        <v>19</v>
      </c>
      <c r="D144" t="s">
        <v>29</v>
      </c>
      <c r="E144">
        <v>1161.67</v>
      </c>
      <c r="F144">
        <v>19</v>
      </c>
      <c r="G144" s="5">
        <f t="shared" si="38"/>
        <v>0</v>
      </c>
      <c r="H144" s="6">
        <v>45647</v>
      </c>
      <c r="I144" s="8" t="str">
        <f t="shared" si="39"/>
        <v>Dec</v>
      </c>
      <c r="J144" s="9">
        <f t="shared" si="40"/>
        <v>11120.04</v>
      </c>
      <c r="K144" s="10">
        <f t="shared" si="41"/>
        <v>0</v>
      </c>
      <c r="L144" s="11">
        <f ca="1" t="shared" si="45"/>
        <v>45972.4111111111</v>
      </c>
      <c r="M144">
        <v>929.34</v>
      </c>
      <c r="N144" s="8">
        <f t="shared" si="42"/>
        <v>232.33</v>
      </c>
      <c r="O144">
        <f t="shared" si="43"/>
        <v>232.33</v>
      </c>
    </row>
    <row r="145" ht="15.75" customHeight="1" spans="1:15">
      <c r="A145" t="s">
        <v>74</v>
      </c>
      <c r="B145" t="s">
        <v>69</v>
      </c>
      <c r="C145" t="s">
        <v>50</v>
      </c>
      <c r="D145" t="s">
        <v>57</v>
      </c>
      <c r="E145">
        <v>388.23</v>
      </c>
      <c r="F145">
        <v>16</v>
      </c>
      <c r="G145" s="5">
        <f t="shared" si="38"/>
        <v>0</v>
      </c>
      <c r="H145" s="6">
        <v>45650</v>
      </c>
      <c r="I145" s="8" t="str">
        <f t="shared" si="39"/>
        <v>Dec</v>
      </c>
      <c r="J145" s="9">
        <f t="shared" si="40"/>
        <v>11120.04</v>
      </c>
      <c r="K145" s="10">
        <f t="shared" si="41"/>
        <v>0</v>
      </c>
      <c r="L145" s="11">
        <f ca="1" t="shared" si="45"/>
        <v>45972.4111111111</v>
      </c>
      <c r="M145">
        <v>222.26</v>
      </c>
      <c r="N145" s="8">
        <f t="shared" si="42"/>
        <v>165.97</v>
      </c>
      <c r="O145">
        <f t="shared" si="43"/>
        <v>165.97</v>
      </c>
    </row>
    <row r="146" ht="15.75" customHeight="1" spans="1:15">
      <c r="A146" t="s">
        <v>97</v>
      </c>
      <c r="B146" t="s">
        <v>45</v>
      </c>
      <c r="C146" t="s">
        <v>33</v>
      </c>
      <c r="D146" t="s">
        <v>23</v>
      </c>
      <c r="E146">
        <v>1589.42</v>
      </c>
      <c r="F146">
        <v>6</v>
      </c>
      <c r="G146" s="5">
        <f t="shared" si="38"/>
        <v>0.1</v>
      </c>
      <c r="H146" s="6">
        <v>45651</v>
      </c>
      <c r="I146" s="8" t="str">
        <f t="shared" si="39"/>
        <v>Dec</v>
      </c>
      <c r="J146" s="9">
        <f t="shared" si="40"/>
        <v>11120.04</v>
      </c>
      <c r="K146" s="10">
        <f t="shared" si="41"/>
        <v>0</v>
      </c>
      <c r="L146" s="11">
        <f ca="1" t="shared" si="45"/>
        <v>45972.4111111111</v>
      </c>
      <c r="M146">
        <v>913.92</v>
      </c>
      <c r="N146" s="8">
        <f t="shared" si="42"/>
        <v>675.5</v>
      </c>
      <c r="O146">
        <f t="shared" si="43"/>
        <v>607.95</v>
      </c>
    </row>
    <row r="147" ht="15.75" customHeight="1" spans="1:15">
      <c r="A147" t="s">
        <v>39</v>
      </c>
      <c r="B147" t="s">
        <v>96</v>
      </c>
      <c r="C147" t="s">
        <v>33</v>
      </c>
      <c r="D147" t="s">
        <v>23</v>
      </c>
      <c r="E147">
        <v>336.66</v>
      </c>
      <c r="F147">
        <v>13</v>
      </c>
      <c r="G147" s="5">
        <f t="shared" si="38"/>
        <v>0</v>
      </c>
      <c r="H147" s="6">
        <v>45651</v>
      </c>
      <c r="I147" s="8" t="str">
        <f t="shared" si="39"/>
        <v>Dec</v>
      </c>
      <c r="J147" s="9">
        <f t="shared" si="40"/>
        <v>11120.04</v>
      </c>
      <c r="K147" s="10">
        <f t="shared" si="41"/>
        <v>0</v>
      </c>
      <c r="L147" s="11">
        <f ca="1" t="shared" si="45"/>
        <v>45972.4111111111</v>
      </c>
      <c r="M147">
        <v>202</v>
      </c>
      <c r="N147" s="8">
        <f t="shared" si="42"/>
        <v>134.66</v>
      </c>
      <c r="O147">
        <f t="shared" si="43"/>
        <v>134.66</v>
      </c>
    </row>
    <row r="148" ht="15.75" customHeight="1" spans="1:15">
      <c r="A148" t="s">
        <v>74</v>
      </c>
      <c r="B148" t="s">
        <v>32</v>
      </c>
      <c r="C148" t="s">
        <v>19</v>
      </c>
      <c r="D148" t="s">
        <v>20</v>
      </c>
      <c r="E148">
        <v>1353.79</v>
      </c>
      <c r="F148">
        <v>14</v>
      </c>
      <c r="G148" s="5">
        <f t="shared" si="38"/>
        <v>0.05</v>
      </c>
      <c r="H148" s="6">
        <v>45656</v>
      </c>
      <c r="I148" s="8" t="str">
        <f t="shared" si="39"/>
        <v>Dec</v>
      </c>
      <c r="J148" s="9">
        <f t="shared" si="40"/>
        <v>11120.04</v>
      </c>
      <c r="K148" s="10">
        <f t="shared" si="41"/>
        <v>0</v>
      </c>
      <c r="L148" s="11">
        <f ca="1" t="shared" si="45"/>
        <v>45972.4111111111</v>
      </c>
      <c r="M148">
        <v>866.43</v>
      </c>
      <c r="N148" s="8">
        <f t="shared" si="42"/>
        <v>487.36</v>
      </c>
      <c r="O148">
        <f t="shared" si="43"/>
        <v>462.992</v>
      </c>
    </row>
    <row r="149" ht="15.75" customHeight="1" spans="1:15">
      <c r="A149" t="s">
        <v>88</v>
      </c>
      <c r="B149" t="s">
        <v>94</v>
      </c>
      <c r="C149" t="s">
        <v>50</v>
      </c>
      <c r="D149" t="s">
        <v>23</v>
      </c>
      <c r="E149">
        <v>662.61</v>
      </c>
      <c r="F149">
        <v>11</v>
      </c>
      <c r="G149" s="5">
        <f t="shared" si="38"/>
        <v>0.05</v>
      </c>
      <c r="H149" s="6">
        <v>45658</v>
      </c>
      <c r="I149" s="8" t="str">
        <f t="shared" si="39"/>
        <v>Jan</v>
      </c>
      <c r="J149" s="9">
        <f t="shared" si="40"/>
        <v>14914.65</v>
      </c>
      <c r="K149" s="10">
        <f t="shared" si="41"/>
        <v>0.341240678990363</v>
      </c>
      <c r="L149" s="11">
        <f ca="1" t="shared" si="45"/>
        <v>45972.4111111111</v>
      </c>
      <c r="M149">
        <v>347.87</v>
      </c>
      <c r="N149" s="8">
        <f t="shared" si="42"/>
        <v>314.74</v>
      </c>
      <c r="O149">
        <f t="shared" si="43"/>
        <v>299.003</v>
      </c>
    </row>
    <row r="150" ht="15.75" customHeight="1" spans="1:15">
      <c r="A150" t="s">
        <v>77</v>
      </c>
      <c r="B150" t="s">
        <v>73</v>
      </c>
      <c r="C150" t="s">
        <v>33</v>
      </c>
      <c r="D150" t="s">
        <v>57</v>
      </c>
      <c r="E150">
        <v>309.42</v>
      </c>
      <c r="F150">
        <v>1</v>
      </c>
      <c r="G150" s="5">
        <f t="shared" si="38"/>
        <v>0</v>
      </c>
      <c r="H150" s="6">
        <v>45658</v>
      </c>
      <c r="I150" s="8" t="str">
        <f t="shared" si="39"/>
        <v>Jan</v>
      </c>
      <c r="J150" s="9">
        <f t="shared" si="40"/>
        <v>14914.65</v>
      </c>
      <c r="K150" s="10">
        <f t="shared" si="41"/>
        <v>0</v>
      </c>
      <c r="L150" s="11">
        <f ca="1" t="shared" si="45"/>
        <v>45972.4111111111</v>
      </c>
      <c r="M150">
        <v>198.03</v>
      </c>
      <c r="N150" s="8">
        <f t="shared" si="42"/>
        <v>111.39</v>
      </c>
      <c r="O150">
        <f t="shared" si="43"/>
        <v>111.39</v>
      </c>
    </row>
    <row r="151" ht="15.75" customHeight="1" spans="1:15">
      <c r="A151" t="s">
        <v>88</v>
      </c>
      <c r="B151" t="s">
        <v>40</v>
      </c>
      <c r="C151" t="s">
        <v>33</v>
      </c>
      <c r="D151" t="s">
        <v>20</v>
      </c>
      <c r="E151">
        <v>884.63</v>
      </c>
      <c r="F151">
        <v>18</v>
      </c>
      <c r="G151" s="5">
        <f t="shared" si="38"/>
        <v>0.05</v>
      </c>
      <c r="H151" s="6">
        <v>45659</v>
      </c>
      <c r="I151" s="8" t="str">
        <f t="shared" si="39"/>
        <v>Jan</v>
      </c>
      <c r="J151" s="9">
        <f t="shared" si="40"/>
        <v>14914.65</v>
      </c>
      <c r="K151" s="10">
        <f t="shared" si="41"/>
        <v>0</v>
      </c>
      <c r="L151" s="11">
        <f ca="1" t="shared" si="45"/>
        <v>45972.4111111111</v>
      </c>
      <c r="M151">
        <v>566.16</v>
      </c>
      <c r="N151" s="8">
        <f t="shared" si="42"/>
        <v>318.47</v>
      </c>
      <c r="O151">
        <f t="shared" si="43"/>
        <v>302.5465</v>
      </c>
    </row>
    <row r="152" ht="15.75" customHeight="1" spans="1:15">
      <c r="A152" t="s">
        <v>77</v>
      </c>
      <c r="B152" t="s">
        <v>32</v>
      </c>
      <c r="C152" t="s">
        <v>50</v>
      </c>
      <c r="D152" t="s">
        <v>57</v>
      </c>
      <c r="E152">
        <v>745.05</v>
      </c>
      <c r="F152">
        <v>10</v>
      </c>
      <c r="G152" s="5">
        <f t="shared" si="38"/>
        <v>0.05</v>
      </c>
      <c r="H152" s="6">
        <v>45660</v>
      </c>
      <c r="I152" s="8" t="str">
        <f t="shared" si="39"/>
        <v>Jan</v>
      </c>
      <c r="J152" s="9">
        <f t="shared" si="40"/>
        <v>14914.65</v>
      </c>
      <c r="K152" s="10">
        <f t="shared" si="41"/>
        <v>0</v>
      </c>
      <c r="L152" s="11">
        <f ca="1" t="shared" si="45"/>
        <v>45972.4111111111</v>
      </c>
      <c r="M152">
        <v>443.3</v>
      </c>
      <c r="N152" s="8">
        <f t="shared" si="42"/>
        <v>301.75</v>
      </c>
      <c r="O152">
        <f t="shared" si="43"/>
        <v>286.6625</v>
      </c>
    </row>
    <row r="153" ht="15.75" customHeight="1" spans="1:15">
      <c r="A153" t="s">
        <v>85</v>
      </c>
      <c r="B153" t="s">
        <v>25</v>
      </c>
      <c r="C153" t="s">
        <v>28</v>
      </c>
      <c r="D153" t="s">
        <v>23</v>
      </c>
      <c r="E153">
        <v>870.23</v>
      </c>
      <c r="F153">
        <v>5</v>
      </c>
      <c r="G153" s="5">
        <f t="shared" si="38"/>
        <v>0.05</v>
      </c>
      <c r="H153" s="6">
        <v>45660</v>
      </c>
      <c r="I153" s="8" t="str">
        <f t="shared" si="39"/>
        <v>Jan</v>
      </c>
      <c r="J153" s="9">
        <f t="shared" si="40"/>
        <v>14914.65</v>
      </c>
      <c r="K153" s="10">
        <f t="shared" si="41"/>
        <v>0</v>
      </c>
      <c r="L153" s="11">
        <f ca="1" t="shared" ref="L153:L162" si="46">NOW()</f>
        <v>45972.4111111111</v>
      </c>
      <c r="M153">
        <v>456.87</v>
      </c>
      <c r="N153" s="8">
        <f t="shared" si="42"/>
        <v>413.36</v>
      </c>
      <c r="O153">
        <f t="shared" si="43"/>
        <v>392.692</v>
      </c>
    </row>
    <row r="154" ht="15.75" customHeight="1" spans="1:15">
      <c r="A154" t="s">
        <v>52</v>
      </c>
      <c r="B154" t="s">
        <v>40</v>
      </c>
      <c r="C154" t="s">
        <v>19</v>
      </c>
      <c r="D154" t="s">
        <v>37</v>
      </c>
      <c r="E154">
        <v>862.19</v>
      </c>
      <c r="F154">
        <v>18</v>
      </c>
      <c r="G154" s="5">
        <f t="shared" si="38"/>
        <v>0</v>
      </c>
      <c r="H154" s="6">
        <v>45663</v>
      </c>
      <c r="I154" s="8" t="str">
        <f t="shared" si="39"/>
        <v>Jan</v>
      </c>
      <c r="J154" s="9">
        <f t="shared" si="40"/>
        <v>14914.65</v>
      </c>
      <c r="K154" s="10">
        <f t="shared" si="41"/>
        <v>0</v>
      </c>
      <c r="L154" s="11">
        <f ca="1" t="shared" si="46"/>
        <v>45972.4111111111</v>
      </c>
      <c r="M154">
        <v>575.51</v>
      </c>
      <c r="N154" s="8">
        <f t="shared" si="42"/>
        <v>286.68</v>
      </c>
      <c r="O154">
        <f t="shared" si="43"/>
        <v>286.68</v>
      </c>
    </row>
    <row r="155" ht="15.75" customHeight="1" spans="1:15">
      <c r="A155" t="s">
        <v>98</v>
      </c>
      <c r="B155" t="s">
        <v>84</v>
      </c>
      <c r="C155" t="s">
        <v>33</v>
      </c>
      <c r="D155" t="s">
        <v>23</v>
      </c>
      <c r="E155">
        <v>1171.18</v>
      </c>
      <c r="F155">
        <v>19</v>
      </c>
      <c r="G155" s="5">
        <f t="shared" si="38"/>
        <v>0.1</v>
      </c>
      <c r="H155" s="6">
        <v>45667</v>
      </c>
      <c r="I155" s="8" t="str">
        <f t="shared" si="39"/>
        <v>Jan</v>
      </c>
      <c r="J155" s="9">
        <f t="shared" si="40"/>
        <v>14914.65</v>
      </c>
      <c r="K155" s="10">
        <f t="shared" si="41"/>
        <v>0</v>
      </c>
      <c r="L155" s="11">
        <f ca="1" t="shared" si="46"/>
        <v>45972.4111111111</v>
      </c>
      <c r="M155">
        <v>614.87</v>
      </c>
      <c r="N155" s="8">
        <f t="shared" si="42"/>
        <v>556.31</v>
      </c>
      <c r="O155">
        <f t="shared" si="43"/>
        <v>500.679</v>
      </c>
    </row>
    <row r="156" ht="15.75" customHeight="1" spans="1:15">
      <c r="A156" t="s">
        <v>83</v>
      </c>
      <c r="B156" t="s">
        <v>22</v>
      </c>
      <c r="C156" t="s">
        <v>28</v>
      </c>
      <c r="D156" t="s">
        <v>37</v>
      </c>
      <c r="E156">
        <v>1054.56</v>
      </c>
      <c r="F156">
        <v>11</v>
      </c>
      <c r="G156" s="5">
        <f t="shared" si="38"/>
        <v>0.05</v>
      </c>
      <c r="H156" s="6">
        <v>45669</v>
      </c>
      <c r="I156" s="8" t="str">
        <f t="shared" si="39"/>
        <v>Jan</v>
      </c>
      <c r="J156" s="9">
        <f t="shared" si="40"/>
        <v>14914.65</v>
      </c>
      <c r="K156" s="10">
        <f t="shared" si="41"/>
        <v>0</v>
      </c>
      <c r="L156" s="11">
        <f ca="1" t="shared" si="46"/>
        <v>45972.4111111111</v>
      </c>
      <c r="M156">
        <v>722.37</v>
      </c>
      <c r="N156" s="8">
        <f t="shared" si="42"/>
        <v>332.19</v>
      </c>
      <c r="O156">
        <f t="shared" si="43"/>
        <v>315.5805</v>
      </c>
    </row>
    <row r="157" ht="15.75" customHeight="1" spans="1:15">
      <c r="A157" t="s">
        <v>83</v>
      </c>
      <c r="B157" t="s">
        <v>32</v>
      </c>
      <c r="C157" t="s">
        <v>33</v>
      </c>
      <c r="D157" t="s">
        <v>29</v>
      </c>
      <c r="E157">
        <v>1681.21</v>
      </c>
      <c r="F157">
        <v>5</v>
      </c>
      <c r="G157" s="5">
        <f t="shared" si="38"/>
        <v>0.05</v>
      </c>
      <c r="H157" s="6">
        <v>45670</v>
      </c>
      <c r="I157" s="8" t="str">
        <f t="shared" si="39"/>
        <v>Jan</v>
      </c>
      <c r="J157" s="9">
        <f t="shared" si="40"/>
        <v>14914.65</v>
      </c>
      <c r="K157" s="10">
        <f t="shared" si="41"/>
        <v>0</v>
      </c>
      <c r="L157" s="11">
        <f ca="1" t="shared" si="46"/>
        <v>45972.4111111111</v>
      </c>
      <c r="M157">
        <v>1344.97</v>
      </c>
      <c r="N157" s="8">
        <f t="shared" si="42"/>
        <v>336.24</v>
      </c>
      <c r="O157">
        <f t="shared" si="43"/>
        <v>319.428</v>
      </c>
    </row>
    <row r="158" ht="15.75" customHeight="1" spans="1:15">
      <c r="A158" t="s">
        <v>83</v>
      </c>
      <c r="B158" t="s">
        <v>53</v>
      </c>
      <c r="C158" t="s">
        <v>19</v>
      </c>
      <c r="D158" t="s">
        <v>23</v>
      </c>
      <c r="E158">
        <v>379.77</v>
      </c>
      <c r="F158">
        <v>9</v>
      </c>
      <c r="G158" s="5">
        <f t="shared" si="38"/>
        <v>0</v>
      </c>
      <c r="H158" s="6">
        <v>45673</v>
      </c>
      <c r="I158" s="8" t="str">
        <f t="shared" si="39"/>
        <v>Jan</v>
      </c>
      <c r="J158" s="9">
        <f t="shared" si="40"/>
        <v>14914.65</v>
      </c>
      <c r="K158" s="10">
        <f t="shared" si="41"/>
        <v>0</v>
      </c>
      <c r="L158" s="11">
        <f ca="1" t="shared" si="46"/>
        <v>45972.4111111111</v>
      </c>
      <c r="M158">
        <v>199.38</v>
      </c>
      <c r="N158" s="8">
        <f t="shared" si="42"/>
        <v>180.39</v>
      </c>
      <c r="O158">
        <f t="shared" si="43"/>
        <v>180.39</v>
      </c>
    </row>
    <row r="159" ht="15.75" customHeight="1" spans="1:15">
      <c r="A159" t="s">
        <v>68</v>
      </c>
      <c r="B159" t="s">
        <v>69</v>
      </c>
      <c r="C159" t="s">
        <v>50</v>
      </c>
      <c r="D159" t="s">
        <v>23</v>
      </c>
      <c r="E159">
        <v>1076.33</v>
      </c>
      <c r="F159">
        <v>2</v>
      </c>
      <c r="G159" s="5">
        <f t="shared" si="38"/>
        <v>0.05</v>
      </c>
      <c r="H159" s="6">
        <v>45674</v>
      </c>
      <c r="I159" s="8" t="str">
        <f t="shared" si="39"/>
        <v>Jan</v>
      </c>
      <c r="J159" s="9">
        <f t="shared" si="40"/>
        <v>14914.65</v>
      </c>
      <c r="K159" s="10">
        <f t="shared" si="41"/>
        <v>0</v>
      </c>
      <c r="L159" s="11">
        <f ca="1" t="shared" si="46"/>
        <v>45972.4111111111</v>
      </c>
      <c r="M159">
        <v>591.98</v>
      </c>
      <c r="N159" s="8">
        <f t="shared" si="42"/>
        <v>484.35</v>
      </c>
      <c r="O159">
        <f t="shared" si="43"/>
        <v>460.1325</v>
      </c>
    </row>
    <row r="160" ht="15.75" customHeight="1" spans="1:15">
      <c r="A160" t="s">
        <v>68</v>
      </c>
      <c r="B160" t="s">
        <v>45</v>
      </c>
      <c r="C160" t="s">
        <v>50</v>
      </c>
      <c r="D160" t="s">
        <v>57</v>
      </c>
      <c r="E160">
        <v>1250.71</v>
      </c>
      <c r="F160">
        <v>7</v>
      </c>
      <c r="G160" s="5">
        <f t="shared" si="38"/>
        <v>0.1</v>
      </c>
      <c r="H160" s="6">
        <v>45674</v>
      </c>
      <c r="I160" s="8" t="str">
        <f t="shared" si="39"/>
        <v>Jan</v>
      </c>
      <c r="J160" s="9">
        <f t="shared" si="40"/>
        <v>14914.65</v>
      </c>
      <c r="K160" s="10">
        <f t="shared" si="41"/>
        <v>0</v>
      </c>
      <c r="L160" s="11">
        <f ca="1" t="shared" si="46"/>
        <v>45972.4111111111</v>
      </c>
      <c r="M160">
        <v>687.89</v>
      </c>
      <c r="N160" s="8">
        <f t="shared" si="42"/>
        <v>562.82</v>
      </c>
      <c r="O160">
        <f t="shared" si="43"/>
        <v>506.538</v>
      </c>
    </row>
    <row r="161" ht="15.75" customHeight="1" spans="1:15">
      <c r="A161" t="s">
        <v>62</v>
      </c>
      <c r="B161" t="s">
        <v>25</v>
      </c>
      <c r="C161" t="s">
        <v>28</v>
      </c>
      <c r="D161" t="s">
        <v>23</v>
      </c>
      <c r="E161">
        <v>1118.34</v>
      </c>
      <c r="F161">
        <v>6</v>
      </c>
      <c r="G161" s="5">
        <f t="shared" si="38"/>
        <v>0.05</v>
      </c>
      <c r="H161" s="6">
        <v>45674</v>
      </c>
      <c r="I161" s="8" t="str">
        <f t="shared" si="39"/>
        <v>Jan</v>
      </c>
      <c r="J161" s="9">
        <f t="shared" si="40"/>
        <v>14914.65</v>
      </c>
      <c r="K161" s="10">
        <f t="shared" si="41"/>
        <v>0</v>
      </c>
      <c r="L161" s="11">
        <f ca="1" t="shared" si="46"/>
        <v>45972.4111111111</v>
      </c>
      <c r="M161">
        <v>671</v>
      </c>
      <c r="N161" s="8">
        <f t="shared" si="42"/>
        <v>447.34</v>
      </c>
      <c r="O161">
        <f t="shared" si="43"/>
        <v>424.973</v>
      </c>
    </row>
    <row r="162" ht="15.75" customHeight="1" spans="1:15">
      <c r="A162" t="s">
        <v>95</v>
      </c>
      <c r="B162" t="s">
        <v>78</v>
      </c>
      <c r="C162" t="s">
        <v>33</v>
      </c>
      <c r="D162" t="s">
        <v>23</v>
      </c>
      <c r="E162">
        <v>1622.62</v>
      </c>
      <c r="F162">
        <v>12</v>
      </c>
      <c r="G162" s="5">
        <f t="shared" si="38"/>
        <v>0.1</v>
      </c>
      <c r="H162" s="6">
        <v>45677</v>
      </c>
      <c r="I162" s="8" t="str">
        <f t="shared" si="39"/>
        <v>Jan</v>
      </c>
      <c r="J162" s="9">
        <f t="shared" si="40"/>
        <v>14914.65</v>
      </c>
      <c r="K162" s="10">
        <f t="shared" si="41"/>
        <v>0</v>
      </c>
      <c r="L162" s="11">
        <f ca="1" t="shared" si="46"/>
        <v>45972.4111111111</v>
      </c>
      <c r="M162">
        <v>973.57</v>
      </c>
      <c r="N162" s="8">
        <f t="shared" si="42"/>
        <v>649.05</v>
      </c>
      <c r="O162">
        <f t="shared" si="43"/>
        <v>584.145</v>
      </c>
    </row>
    <row r="163" ht="15.75" customHeight="1" spans="1:15">
      <c r="A163" t="s">
        <v>100</v>
      </c>
      <c r="B163" t="s">
        <v>73</v>
      </c>
      <c r="C163" t="s">
        <v>33</v>
      </c>
      <c r="D163" t="s">
        <v>20</v>
      </c>
      <c r="E163">
        <v>640.64</v>
      </c>
      <c r="F163">
        <v>11</v>
      </c>
      <c r="G163" s="5">
        <f t="shared" ref="G163:G194" si="47">IF(AND(N163&gt;300,N163&lt;=500),0.05,IF(AND(N163&gt;500,N163&lt;=800),0.1,IF(AND(N163&gt;800,N163&lt;=1000),0.12,IF(N163&gt;1000,0.15,0))))</f>
        <v>0</v>
      </c>
      <c r="H163" s="6">
        <v>45678</v>
      </c>
      <c r="I163" s="8" t="str">
        <f t="shared" ref="I163:I201" si="48">TEXT(H163,"mmm")</f>
        <v>Jan</v>
      </c>
      <c r="J163" s="9">
        <f t="shared" ref="J163:J194" si="49">SUMIFS(E:E,I:I,I163)</f>
        <v>14914.65</v>
      </c>
      <c r="K163" s="10">
        <f t="shared" ref="K163:K201" si="50">IFERROR((J163-J162)/J162,0)</f>
        <v>0</v>
      </c>
      <c r="L163" s="11">
        <f ca="1" t="shared" ref="L163:L172" si="51">NOW()</f>
        <v>45972.4111111111</v>
      </c>
      <c r="M163">
        <v>435.64</v>
      </c>
      <c r="N163" s="8">
        <f t="shared" ref="N163:N201" si="52">E163-M163</f>
        <v>205</v>
      </c>
      <c r="O163">
        <f t="shared" ref="O163:O201" si="53">N163*(1-G163)</f>
        <v>205</v>
      </c>
    </row>
    <row r="164" ht="15.75" customHeight="1" spans="1:15">
      <c r="A164" t="s">
        <v>31</v>
      </c>
      <c r="B164" t="s">
        <v>67</v>
      </c>
      <c r="C164" t="s">
        <v>19</v>
      </c>
      <c r="D164" t="s">
        <v>23</v>
      </c>
      <c r="E164">
        <v>585.16</v>
      </c>
      <c r="F164">
        <v>17</v>
      </c>
      <c r="G164" s="5">
        <f t="shared" si="47"/>
        <v>0</v>
      </c>
      <c r="H164" s="6">
        <v>45684</v>
      </c>
      <c r="I164" s="8" t="str">
        <f t="shared" si="48"/>
        <v>Jan</v>
      </c>
      <c r="J164" s="9">
        <f t="shared" si="49"/>
        <v>14914.65</v>
      </c>
      <c r="K164" s="10">
        <f t="shared" si="50"/>
        <v>0</v>
      </c>
      <c r="L164" s="11">
        <f ca="1" t="shared" si="51"/>
        <v>45972.4111111111</v>
      </c>
      <c r="M164">
        <v>321.84</v>
      </c>
      <c r="N164" s="8">
        <f t="shared" si="52"/>
        <v>263.32</v>
      </c>
      <c r="O164">
        <f t="shared" si="53"/>
        <v>263.32</v>
      </c>
    </row>
    <row r="165" ht="15.75" customHeight="1" spans="1:15">
      <c r="A165" t="s">
        <v>31</v>
      </c>
      <c r="B165" t="s">
        <v>45</v>
      </c>
      <c r="C165" t="s">
        <v>26</v>
      </c>
      <c r="D165" t="s">
        <v>23</v>
      </c>
      <c r="E165">
        <v>1109.98</v>
      </c>
      <c r="F165">
        <v>5</v>
      </c>
      <c r="G165" s="5">
        <f t="shared" si="47"/>
        <v>0.05</v>
      </c>
      <c r="H165" s="6">
        <v>45690</v>
      </c>
      <c r="I165" s="8" t="str">
        <f t="shared" si="48"/>
        <v>Feb</v>
      </c>
      <c r="J165" s="9">
        <f t="shared" si="49"/>
        <v>14006.36</v>
      </c>
      <c r="K165" s="10">
        <f t="shared" si="50"/>
        <v>-0.0608991830180395</v>
      </c>
      <c r="L165" s="11">
        <f ca="1" t="shared" si="51"/>
        <v>45972.4111111111</v>
      </c>
      <c r="M165">
        <v>665.99</v>
      </c>
      <c r="N165" s="8">
        <f t="shared" si="52"/>
        <v>443.99</v>
      </c>
      <c r="O165">
        <f t="shared" si="53"/>
        <v>421.7905</v>
      </c>
    </row>
    <row r="166" ht="15.75" customHeight="1" spans="1:15">
      <c r="A166" t="s">
        <v>83</v>
      </c>
      <c r="B166" t="s">
        <v>69</v>
      </c>
      <c r="C166" t="s">
        <v>26</v>
      </c>
      <c r="D166" t="s">
        <v>20</v>
      </c>
      <c r="E166">
        <v>1098.08</v>
      </c>
      <c r="F166">
        <v>9</v>
      </c>
      <c r="G166" s="5">
        <f t="shared" si="47"/>
        <v>0.05</v>
      </c>
      <c r="H166" s="6">
        <v>45692</v>
      </c>
      <c r="I166" s="8" t="str">
        <f t="shared" si="48"/>
        <v>Feb</v>
      </c>
      <c r="J166" s="9">
        <f t="shared" si="49"/>
        <v>14006.36</v>
      </c>
      <c r="K166" s="10">
        <f t="shared" si="50"/>
        <v>0</v>
      </c>
      <c r="L166" s="11">
        <f ca="1" t="shared" si="51"/>
        <v>45972.4111111111</v>
      </c>
      <c r="M166">
        <v>702.77</v>
      </c>
      <c r="N166" s="8">
        <f t="shared" si="52"/>
        <v>395.31</v>
      </c>
      <c r="O166">
        <f t="shared" si="53"/>
        <v>375.5445</v>
      </c>
    </row>
    <row r="167" ht="15.75" customHeight="1" spans="1:15">
      <c r="A167" t="s">
        <v>90</v>
      </c>
      <c r="B167" t="s">
        <v>73</v>
      </c>
      <c r="C167" t="s">
        <v>19</v>
      </c>
      <c r="D167" t="s">
        <v>57</v>
      </c>
      <c r="E167">
        <v>827.25</v>
      </c>
      <c r="F167">
        <v>7</v>
      </c>
      <c r="G167" s="5">
        <f t="shared" si="47"/>
        <v>0.05</v>
      </c>
      <c r="H167" s="6">
        <v>45693</v>
      </c>
      <c r="I167" s="8" t="str">
        <f t="shared" si="48"/>
        <v>Feb</v>
      </c>
      <c r="J167" s="9">
        <f t="shared" si="49"/>
        <v>14006.36</v>
      </c>
      <c r="K167" s="10">
        <f t="shared" si="50"/>
        <v>0</v>
      </c>
      <c r="L167" s="11">
        <f ca="1" t="shared" si="51"/>
        <v>45972.4111111111</v>
      </c>
      <c r="M167">
        <v>492.21</v>
      </c>
      <c r="N167" s="8">
        <f t="shared" si="52"/>
        <v>335.04</v>
      </c>
      <c r="O167">
        <f t="shared" si="53"/>
        <v>318.288</v>
      </c>
    </row>
    <row r="168" ht="15.75" customHeight="1" spans="1:15">
      <c r="A168" t="s">
        <v>95</v>
      </c>
      <c r="B168" t="s">
        <v>40</v>
      </c>
      <c r="C168" t="s">
        <v>50</v>
      </c>
      <c r="D168" t="s">
        <v>23</v>
      </c>
      <c r="E168">
        <v>741.88</v>
      </c>
      <c r="F168">
        <v>16</v>
      </c>
      <c r="G168" s="5">
        <f t="shared" si="47"/>
        <v>0.05</v>
      </c>
      <c r="H168" s="6">
        <v>45695</v>
      </c>
      <c r="I168" s="8" t="str">
        <f t="shared" si="48"/>
        <v>Feb</v>
      </c>
      <c r="J168" s="9">
        <f t="shared" si="49"/>
        <v>14006.36</v>
      </c>
      <c r="K168" s="10">
        <f t="shared" si="50"/>
        <v>0</v>
      </c>
      <c r="L168" s="11">
        <f ca="1" t="shared" si="51"/>
        <v>45972.4111111111</v>
      </c>
      <c r="M168">
        <v>408.03</v>
      </c>
      <c r="N168" s="8">
        <f t="shared" si="52"/>
        <v>333.85</v>
      </c>
      <c r="O168">
        <f t="shared" si="53"/>
        <v>317.1575</v>
      </c>
    </row>
    <row r="169" ht="15.75" customHeight="1" spans="1:15">
      <c r="A169" t="s">
        <v>97</v>
      </c>
      <c r="B169" t="s">
        <v>18</v>
      </c>
      <c r="C169" t="s">
        <v>26</v>
      </c>
      <c r="D169" t="s">
        <v>57</v>
      </c>
      <c r="E169">
        <v>1311.26</v>
      </c>
      <c r="F169">
        <v>6</v>
      </c>
      <c r="G169" s="5">
        <f t="shared" si="47"/>
        <v>0.1</v>
      </c>
      <c r="H169" s="6">
        <v>45698</v>
      </c>
      <c r="I169" s="8" t="str">
        <f t="shared" si="48"/>
        <v>Feb</v>
      </c>
      <c r="J169" s="9">
        <f t="shared" si="49"/>
        <v>14006.36</v>
      </c>
      <c r="K169" s="10">
        <f t="shared" si="50"/>
        <v>0</v>
      </c>
      <c r="L169" s="11">
        <f ca="1" t="shared" si="51"/>
        <v>45972.4111111111</v>
      </c>
      <c r="M169">
        <v>780.2</v>
      </c>
      <c r="N169" s="8">
        <f t="shared" si="52"/>
        <v>531.06</v>
      </c>
      <c r="O169">
        <f t="shared" si="53"/>
        <v>477.954</v>
      </c>
    </row>
    <row r="170" ht="15.75" customHeight="1" spans="1:15">
      <c r="A170" t="s">
        <v>97</v>
      </c>
      <c r="B170" t="s">
        <v>45</v>
      </c>
      <c r="C170" t="s">
        <v>28</v>
      </c>
      <c r="D170" t="s">
        <v>57</v>
      </c>
      <c r="E170">
        <v>573.32</v>
      </c>
      <c r="F170">
        <v>19</v>
      </c>
      <c r="G170" s="5">
        <f t="shared" si="47"/>
        <v>0</v>
      </c>
      <c r="H170" s="6">
        <v>45703</v>
      </c>
      <c r="I170" s="8" t="str">
        <f t="shared" si="48"/>
        <v>Feb</v>
      </c>
      <c r="J170" s="9">
        <f t="shared" si="49"/>
        <v>14006.36</v>
      </c>
      <c r="K170" s="10">
        <f t="shared" si="50"/>
        <v>0</v>
      </c>
      <c r="L170" s="11">
        <f ca="1" t="shared" si="51"/>
        <v>45972.4111111111</v>
      </c>
      <c r="M170">
        <v>341.13</v>
      </c>
      <c r="N170" s="8">
        <f t="shared" si="52"/>
        <v>232.19</v>
      </c>
      <c r="O170">
        <f t="shared" si="53"/>
        <v>232.19</v>
      </c>
    </row>
    <row r="171" ht="15.75" customHeight="1" spans="1:15">
      <c r="A171" t="s">
        <v>77</v>
      </c>
      <c r="B171" t="s">
        <v>32</v>
      </c>
      <c r="C171" t="s">
        <v>19</v>
      </c>
      <c r="D171" t="s">
        <v>29</v>
      </c>
      <c r="E171">
        <v>1115.22</v>
      </c>
      <c r="F171">
        <v>14</v>
      </c>
      <c r="G171" s="5">
        <f t="shared" si="47"/>
        <v>0</v>
      </c>
      <c r="H171" s="6">
        <v>45705</v>
      </c>
      <c r="I171" s="8" t="str">
        <f t="shared" si="48"/>
        <v>Feb</v>
      </c>
      <c r="J171" s="9">
        <f t="shared" si="49"/>
        <v>14006.36</v>
      </c>
      <c r="K171" s="10">
        <f t="shared" si="50"/>
        <v>0</v>
      </c>
      <c r="L171" s="11">
        <f ca="1" t="shared" si="51"/>
        <v>45972.4111111111</v>
      </c>
      <c r="M171">
        <v>892.18</v>
      </c>
      <c r="N171" s="8">
        <f t="shared" si="52"/>
        <v>223.04</v>
      </c>
      <c r="O171">
        <f t="shared" si="53"/>
        <v>223.04</v>
      </c>
    </row>
    <row r="172" ht="15.75" customHeight="1" spans="1:15">
      <c r="A172" t="s">
        <v>21</v>
      </c>
      <c r="B172" t="s">
        <v>69</v>
      </c>
      <c r="C172" t="s">
        <v>33</v>
      </c>
      <c r="D172" t="s">
        <v>23</v>
      </c>
      <c r="E172">
        <v>845.84</v>
      </c>
      <c r="F172">
        <v>4</v>
      </c>
      <c r="G172" s="5">
        <f t="shared" si="47"/>
        <v>0.05</v>
      </c>
      <c r="H172" s="6">
        <v>45707</v>
      </c>
      <c r="I172" s="8" t="str">
        <f t="shared" si="48"/>
        <v>Feb</v>
      </c>
      <c r="J172" s="9">
        <f t="shared" si="49"/>
        <v>14006.36</v>
      </c>
      <c r="K172" s="10">
        <f t="shared" si="50"/>
        <v>0</v>
      </c>
      <c r="L172" s="11">
        <f ca="1" t="shared" si="51"/>
        <v>45972.4111111111</v>
      </c>
      <c r="M172">
        <v>422.92</v>
      </c>
      <c r="N172" s="8">
        <f t="shared" si="52"/>
        <v>422.92</v>
      </c>
      <c r="O172">
        <f t="shared" si="53"/>
        <v>401.774</v>
      </c>
    </row>
    <row r="173" ht="15.75" customHeight="1" spans="1:15">
      <c r="A173" t="s">
        <v>44</v>
      </c>
      <c r="B173" t="s">
        <v>80</v>
      </c>
      <c r="C173" t="s">
        <v>19</v>
      </c>
      <c r="D173" t="s">
        <v>29</v>
      </c>
      <c r="E173">
        <v>1029.8</v>
      </c>
      <c r="F173">
        <v>3</v>
      </c>
      <c r="G173" s="5">
        <f t="shared" si="47"/>
        <v>0</v>
      </c>
      <c r="H173" s="6">
        <v>45708</v>
      </c>
      <c r="I173" s="8" t="str">
        <f t="shared" si="48"/>
        <v>Feb</v>
      </c>
      <c r="J173" s="9">
        <f t="shared" si="49"/>
        <v>14006.36</v>
      </c>
      <c r="K173" s="10">
        <f t="shared" si="50"/>
        <v>0</v>
      </c>
      <c r="L173" s="11">
        <f ca="1" t="shared" ref="L173:L182" si="54">NOW()</f>
        <v>45972.4111111111</v>
      </c>
      <c r="M173">
        <v>772.35</v>
      </c>
      <c r="N173" s="8">
        <f t="shared" si="52"/>
        <v>257.45</v>
      </c>
      <c r="O173">
        <f t="shared" si="53"/>
        <v>257.45</v>
      </c>
    </row>
    <row r="174" ht="15.75" customHeight="1" spans="1:15">
      <c r="A174" t="s">
        <v>48</v>
      </c>
      <c r="B174" t="s">
        <v>45</v>
      </c>
      <c r="C174" t="s">
        <v>33</v>
      </c>
      <c r="D174" t="s">
        <v>20</v>
      </c>
      <c r="E174">
        <v>1189.83</v>
      </c>
      <c r="F174">
        <v>2</v>
      </c>
      <c r="G174" s="5">
        <f t="shared" si="47"/>
        <v>0.05</v>
      </c>
      <c r="H174" s="6">
        <v>45709</v>
      </c>
      <c r="I174" s="8" t="str">
        <f t="shared" si="48"/>
        <v>Feb</v>
      </c>
      <c r="J174" s="9">
        <f t="shared" si="49"/>
        <v>14006.36</v>
      </c>
      <c r="K174" s="10">
        <f t="shared" si="50"/>
        <v>0</v>
      </c>
      <c r="L174" s="11">
        <f ca="1" t="shared" si="54"/>
        <v>45972.4111111111</v>
      </c>
      <c r="M174">
        <v>809.08</v>
      </c>
      <c r="N174" s="8">
        <f t="shared" si="52"/>
        <v>380.75</v>
      </c>
      <c r="O174">
        <f t="shared" si="53"/>
        <v>361.7125</v>
      </c>
    </row>
    <row r="175" ht="15.75" customHeight="1" spans="1:15">
      <c r="A175" t="s">
        <v>92</v>
      </c>
      <c r="B175" t="s">
        <v>67</v>
      </c>
      <c r="C175" t="s">
        <v>28</v>
      </c>
      <c r="D175" t="s">
        <v>20</v>
      </c>
      <c r="E175">
        <v>704.28</v>
      </c>
      <c r="F175">
        <v>15</v>
      </c>
      <c r="G175" s="5">
        <f t="shared" si="47"/>
        <v>0</v>
      </c>
      <c r="H175" s="6">
        <v>45712</v>
      </c>
      <c r="I175" s="8" t="str">
        <f t="shared" si="48"/>
        <v>Feb</v>
      </c>
      <c r="J175" s="9">
        <f t="shared" si="49"/>
        <v>14006.36</v>
      </c>
      <c r="K175" s="10">
        <f t="shared" si="50"/>
        <v>0</v>
      </c>
      <c r="L175" s="11">
        <f ca="1" t="shared" si="54"/>
        <v>45972.4111111111</v>
      </c>
      <c r="M175">
        <v>478.91</v>
      </c>
      <c r="N175" s="8">
        <f t="shared" si="52"/>
        <v>225.37</v>
      </c>
      <c r="O175">
        <f t="shared" si="53"/>
        <v>225.37</v>
      </c>
    </row>
    <row r="176" ht="15.75" customHeight="1" spans="1:15">
      <c r="A176" t="s">
        <v>90</v>
      </c>
      <c r="B176" t="s">
        <v>72</v>
      </c>
      <c r="C176" t="s">
        <v>50</v>
      </c>
      <c r="D176" t="s">
        <v>57</v>
      </c>
      <c r="E176">
        <v>1618.22</v>
      </c>
      <c r="F176">
        <v>12</v>
      </c>
      <c r="G176" s="5">
        <f t="shared" si="47"/>
        <v>0.1</v>
      </c>
      <c r="H176" s="6">
        <v>45712</v>
      </c>
      <c r="I176" s="8" t="str">
        <f t="shared" si="48"/>
        <v>Feb</v>
      </c>
      <c r="J176" s="9">
        <f t="shared" si="49"/>
        <v>14006.36</v>
      </c>
      <c r="K176" s="10">
        <f t="shared" si="50"/>
        <v>0</v>
      </c>
      <c r="L176" s="11">
        <f ca="1" t="shared" si="54"/>
        <v>45972.4111111111</v>
      </c>
      <c r="M176">
        <v>1035.66</v>
      </c>
      <c r="N176" s="8">
        <f t="shared" si="52"/>
        <v>582.56</v>
      </c>
      <c r="O176">
        <f t="shared" si="53"/>
        <v>524.304</v>
      </c>
    </row>
    <row r="177" ht="15.75" customHeight="1" spans="1:15">
      <c r="A177" t="s">
        <v>98</v>
      </c>
      <c r="B177" t="s">
        <v>78</v>
      </c>
      <c r="C177" t="s">
        <v>50</v>
      </c>
      <c r="D177" t="s">
        <v>20</v>
      </c>
      <c r="E177">
        <v>1014.43</v>
      </c>
      <c r="F177">
        <v>2</v>
      </c>
      <c r="G177" s="5">
        <f t="shared" si="47"/>
        <v>0.05</v>
      </c>
      <c r="H177" s="6">
        <v>45713</v>
      </c>
      <c r="I177" s="8" t="str">
        <f t="shared" si="48"/>
        <v>Feb</v>
      </c>
      <c r="J177" s="9">
        <f t="shared" si="49"/>
        <v>14006.36</v>
      </c>
      <c r="K177" s="10">
        <f t="shared" si="50"/>
        <v>0</v>
      </c>
      <c r="L177" s="11">
        <f ca="1" t="shared" si="54"/>
        <v>45972.4111111111</v>
      </c>
      <c r="M177">
        <v>669.52</v>
      </c>
      <c r="N177" s="8">
        <f t="shared" si="52"/>
        <v>344.91</v>
      </c>
      <c r="O177">
        <f t="shared" si="53"/>
        <v>327.6645</v>
      </c>
    </row>
    <row r="178" ht="15.75" customHeight="1" spans="1:15">
      <c r="A178" t="s">
        <v>100</v>
      </c>
      <c r="B178" t="s">
        <v>45</v>
      </c>
      <c r="C178" t="s">
        <v>50</v>
      </c>
      <c r="D178" t="s">
        <v>23</v>
      </c>
      <c r="E178">
        <v>826.97</v>
      </c>
      <c r="F178">
        <v>18</v>
      </c>
      <c r="G178" s="5">
        <f t="shared" si="47"/>
        <v>0.05</v>
      </c>
      <c r="H178" s="6">
        <v>45715</v>
      </c>
      <c r="I178" s="8" t="str">
        <f t="shared" si="48"/>
        <v>Feb</v>
      </c>
      <c r="J178" s="9">
        <f t="shared" si="49"/>
        <v>14006.36</v>
      </c>
      <c r="K178" s="10">
        <f t="shared" si="50"/>
        <v>0</v>
      </c>
      <c r="L178" s="11">
        <f ca="1" t="shared" si="54"/>
        <v>45972.4111111111</v>
      </c>
      <c r="M178">
        <v>496.18</v>
      </c>
      <c r="N178" s="8">
        <f t="shared" si="52"/>
        <v>330.79</v>
      </c>
      <c r="O178">
        <f t="shared" si="53"/>
        <v>314.2505</v>
      </c>
    </row>
    <row r="179" ht="15.75" customHeight="1" spans="1:15">
      <c r="A179" t="s">
        <v>24</v>
      </c>
      <c r="B179" t="s">
        <v>45</v>
      </c>
      <c r="C179" t="s">
        <v>50</v>
      </c>
      <c r="D179" t="s">
        <v>23</v>
      </c>
      <c r="E179">
        <v>1022.23</v>
      </c>
      <c r="F179">
        <v>8</v>
      </c>
      <c r="G179" s="5">
        <f t="shared" si="47"/>
        <v>0.05</v>
      </c>
      <c r="H179" s="6">
        <v>45717</v>
      </c>
      <c r="I179" s="8" t="str">
        <f t="shared" si="48"/>
        <v>Mar</v>
      </c>
      <c r="J179" s="9">
        <f t="shared" si="49"/>
        <v>17655.22</v>
      </c>
      <c r="K179" s="10">
        <f t="shared" si="50"/>
        <v>0.260514509122998</v>
      </c>
      <c r="L179" s="11">
        <f ca="1" t="shared" si="54"/>
        <v>45972.4111111111</v>
      </c>
      <c r="M179">
        <v>562.23</v>
      </c>
      <c r="N179" s="8">
        <f t="shared" si="52"/>
        <v>460</v>
      </c>
      <c r="O179">
        <f t="shared" si="53"/>
        <v>437</v>
      </c>
    </row>
    <row r="180" ht="15.75" customHeight="1" spans="1:15">
      <c r="A180" t="s">
        <v>97</v>
      </c>
      <c r="B180" t="s">
        <v>40</v>
      </c>
      <c r="C180" t="s">
        <v>26</v>
      </c>
      <c r="D180" t="s">
        <v>20</v>
      </c>
      <c r="E180">
        <v>1099.69</v>
      </c>
      <c r="F180">
        <v>6</v>
      </c>
      <c r="G180" s="5">
        <f t="shared" si="47"/>
        <v>0.05</v>
      </c>
      <c r="H180" s="6">
        <v>45718</v>
      </c>
      <c r="I180" s="8" t="str">
        <f t="shared" si="48"/>
        <v>Mar</v>
      </c>
      <c r="J180" s="9">
        <f t="shared" si="49"/>
        <v>17655.22</v>
      </c>
      <c r="K180" s="10">
        <f t="shared" si="50"/>
        <v>0</v>
      </c>
      <c r="L180" s="11">
        <f ca="1" t="shared" si="54"/>
        <v>45972.4111111111</v>
      </c>
      <c r="M180">
        <v>659.81</v>
      </c>
      <c r="N180" s="8">
        <f t="shared" si="52"/>
        <v>439.88</v>
      </c>
      <c r="O180">
        <f t="shared" si="53"/>
        <v>417.886</v>
      </c>
    </row>
    <row r="181" ht="15.75" customHeight="1" spans="1:15">
      <c r="A181" t="s">
        <v>77</v>
      </c>
      <c r="B181" t="s">
        <v>89</v>
      </c>
      <c r="C181" t="s">
        <v>33</v>
      </c>
      <c r="D181" t="s">
        <v>20</v>
      </c>
      <c r="E181">
        <v>710.52</v>
      </c>
      <c r="F181">
        <v>8</v>
      </c>
      <c r="G181" s="5">
        <f t="shared" si="47"/>
        <v>0</v>
      </c>
      <c r="H181" s="6">
        <v>45721</v>
      </c>
      <c r="I181" s="8" t="str">
        <f t="shared" si="48"/>
        <v>Mar</v>
      </c>
      <c r="J181" s="9">
        <f t="shared" si="49"/>
        <v>17655.22</v>
      </c>
      <c r="K181" s="10">
        <f t="shared" si="50"/>
        <v>0</v>
      </c>
      <c r="L181" s="11">
        <f ca="1" t="shared" si="54"/>
        <v>45972.4111111111</v>
      </c>
      <c r="M181">
        <v>454.73</v>
      </c>
      <c r="N181" s="8">
        <f t="shared" si="52"/>
        <v>255.79</v>
      </c>
      <c r="O181">
        <f t="shared" si="53"/>
        <v>255.79</v>
      </c>
    </row>
    <row r="182" ht="15.75" customHeight="1" spans="1:15">
      <c r="A182" t="s">
        <v>77</v>
      </c>
      <c r="B182" t="s">
        <v>84</v>
      </c>
      <c r="C182" t="s">
        <v>33</v>
      </c>
      <c r="D182" t="s">
        <v>20</v>
      </c>
      <c r="E182">
        <v>499.18</v>
      </c>
      <c r="F182">
        <v>15</v>
      </c>
      <c r="G182" s="5">
        <f t="shared" si="47"/>
        <v>0</v>
      </c>
      <c r="H182" s="6">
        <v>45724</v>
      </c>
      <c r="I182" s="8" t="str">
        <f t="shared" si="48"/>
        <v>Mar</v>
      </c>
      <c r="J182" s="9">
        <f t="shared" si="49"/>
        <v>17655.22</v>
      </c>
      <c r="K182" s="10">
        <f t="shared" si="50"/>
        <v>0</v>
      </c>
      <c r="L182" s="11">
        <f ca="1" t="shared" si="54"/>
        <v>45972.4111111111</v>
      </c>
      <c r="M182">
        <v>339.44</v>
      </c>
      <c r="N182" s="8">
        <f t="shared" si="52"/>
        <v>159.74</v>
      </c>
      <c r="O182">
        <f t="shared" si="53"/>
        <v>159.74</v>
      </c>
    </row>
    <row r="183" ht="15.75" customHeight="1" spans="1:15">
      <c r="A183" t="s">
        <v>55</v>
      </c>
      <c r="B183" t="s">
        <v>56</v>
      </c>
      <c r="C183" t="s">
        <v>28</v>
      </c>
      <c r="D183" t="s">
        <v>20</v>
      </c>
      <c r="E183">
        <v>1064.19</v>
      </c>
      <c r="F183">
        <v>18</v>
      </c>
      <c r="G183" s="5">
        <f t="shared" si="47"/>
        <v>0.05</v>
      </c>
      <c r="H183" s="6">
        <v>45725</v>
      </c>
      <c r="I183" s="8" t="str">
        <f t="shared" si="48"/>
        <v>Mar</v>
      </c>
      <c r="J183" s="9">
        <f t="shared" si="49"/>
        <v>17655.22</v>
      </c>
      <c r="K183" s="10">
        <f t="shared" si="50"/>
        <v>0</v>
      </c>
      <c r="L183" s="11">
        <f ca="1" t="shared" ref="L183:L192" si="55">NOW()</f>
        <v>45972.4111111111</v>
      </c>
      <c r="M183">
        <v>659.8</v>
      </c>
      <c r="N183" s="8">
        <f t="shared" si="52"/>
        <v>404.39</v>
      </c>
      <c r="O183">
        <f t="shared" si="53"/>
        <v>384.1705</v>
      </c>
    </row>
    <row r="184" ht="15.75" customHeight="1" spans="1:15">
      <c r="A184" t="s">
        <v>92</v>
      </c>
      <c r="B184" t="s">
        <v>56</v>
      </c>
      <c r="C184" t="s">
        <v>26</v>
      </c>
      <c r="D184" t="s">
        <v>57</v>
      </c>
      <c r="E184">
        <v>438.76</v>
      </c>
      <c r="F184">
        <v>18</v>
      </c>
      <c r="G184" s="5">
        <f t="shared" si="47"/>
        <v>0</v>
      </c>
      <c r="H184" s="6">
        <v>45726</v>
      </c>
      <c r="I184" s="8" t="str">
        <f t="shared" si="48"/>
        <v>Mar</v>
      </c>
      <c r="J184" s="9">
        <f t="shared" si="49"/>
        <v>17655.22</v>
      </c>
      <c r="K184" s="10">
        <f t="shared" si="50"/>
        <v>0</v>
      </c>
      <c r="L184" s="11">
        <f ca="1" t="shared" si="55"/>
        <v>45972.4111111111</v>
      </c>
      <c r="M184">
        <v>251.19</v>
      </c>
      <c r="N184" s="8">
        <f t="shared" si="52"/>
        <v>187.57</v>
      </c>
      <c r="O184">
        <f t="shared" si="53"/>
        <v>187.57</v>
      </c>
    </row>
    <row r="185" ht="15.75" customHeight="1" spans="1:15">
      <c r="A185" t="s">
        <v>64</v>
      </c>
      <c r="B185" t="s">
        <v>80</v>
      </c>
      <c r="C185" t="s">
        <v>19</v>
      </c>
      <c r="D185" t="s">
        <v>23</v>
      </c>
      <c r="E185">
        <v>864.98</v>
      </c>
      <c r="F185">
        <v>2</v>
      </c>
      <c r="G185" s="5">
        <f t="shared" si="47"/>
        <v>0.05</v>
      </c>
      <c r="H185" s="6">
        <v>45727</v>
      </c>
      <c r="I185" s="8" t="str">
        <f t="shared" si="48"/>
        <v>Mar</v>
      </c>
      <c r="J185" s="9">
        <f t="shared" si="49"/>
        <v>17655.22</v>
      </c>
      <c r="K185" s="10">
        <f t="shared" si="50"/>
        <v>0</v>
      </c>
      <c r="L185" s="11">
        <f ca="1" t="shared" si="55"/>
        <v>45972.4111111111</v>
      </c>
      <c r="M185">
        <v>454.11</v>
      </c>
      <c r="N185" s="8">
        <f t="shared" si="52"/>
        <v>410.87</v>
      </c>
      <c r="O185">
        <f t="shared" si="53"/>
        <v>390.3265</v>
      </c>
    </row>
    <row r="186" ht="15.75" customHeight="1" spans="1:15">
      <c r="A186" t="s">
        <v>82</v>
      </c>
      <c r="B186" t="s">
        <v>80</v>
      </c>
      <c r="C186" t="s">
        <v>19</v>
      </c>
      <c r="D186" t="s">
        <v>37</v>
      </c>
      <c r="E186">
        <v>984.93</v>
      </c>
      <c r="F186">
        <v>14</v>
      </c>
      <c r="G186" s="5">
        <f t="shared" si="47"/>
        <v>0</v>
      </c>
      <c r="H186" s="6">
        <v>45733</v>
      </c>
      <c r="I186" s="8" t="str">
        <f t="shared" si="48"/>
        <v>Mar</v>
      </c>
      <c r="J186" s="9">
        <f t="shared" si="49"/>
        <v>17655.22</v>
      </c>
      <c r="K186" s="10">
        <f t="shared" si="50"/>
        <v>0</v>
      </c>
      <c r="L186" s="11">
        <f ca="1" t="shared" si="55"/>
        <v>45972.4111111111</v>
      </c>
      <c r="M186">
        <v>709.15</v>
      </c>
      <c r="N186" s="8">
        <f t="shared" si="52"/>
        <v>275.78</v>
      </c>
      <c r="O186">
        <f t="shared" si="53"/>
        <v>275.78</v>
      </c>
    </row>
    <row r="187" ht="15.75" customHeight="1" spans="1:15">
      <c r="A187" t="s">
        <v>35</v>
      </c>
      <c r="B187" t="s">
        <v>80</v>
      </c>
      <c r="C187" t="s">
        <v>19</v>
      </c>
      <c r="D187" t="s">
        <v>23</v>
      </c>
      <c r="E187">
        <v>1493.49</v>
      </c>
      <c r="F187">
        <v>18</v>
      </c>
      <c r="G187" s="5">
        <f t="shared" si="47"/>
        <v>0.1</v>
      </c>
      <c r="H187" s="6">
        <v>45734</v>
      </c>
      <c r="I187" s="8" t="str">
        <f t="shared" si="48"/>
        <v>Mar</v>
      </c>
      <c r="J187" s="9">
        <f t="shared" si="49"/>
        <v>17655.22</v>
      </c>
      <c r="K187" s="10">
        <f t="shared" si="50"/>
        <v>0</v>
      </c>
      <c r="L187" s="11">
        <f ca="1" t="shared" si="55"/>
        <v>45972.4111111111</v>
      </c>
      <c r="M187">
        <v>746.75</v>
      </c>
      <c r="N187" s="8">
        <f t="shared" si="52"/>
        <v>746.74</v>
      </c>
      <c r="O187">
        <f t="shared" si="53"/>
        <v>672.066</v>
      </c>
    </row>
    <row r="188" ht="15.75" customHeight="1" spans="1:15">
      <c r="A188" t="s">
        <v>48</v>
      </c>
      <c r="B188" t="s">
        <v>78</v>
      </c>
      <c r="C188" t="s">
        <v>28</v>
      </c>
      <c r="D188" t="s">
        <v>23</v>
      </c>
      <c r="E188">
        <v>689.43</v>
      </c>
      <c r="F188">
        <v>9</v>
      </c>
      <c r="G188" s="5">
        <f t="shared" si="47"/>
        <v>0.05</v>
      </c>
      <c r="H188" s="6">
        <v>45736</v>
      </c>
      <c r="I188" s="8" t="str">
        <f t="shared" si="48"/>
        <v>Mar</v>
      </c>
      <c r="J188" s="9">
        <f t="shared" si="49"/>
        <v>17655.22</v>
      </c>
      <c r="K188" s="10">
        <f t="shared" si="50"/>
        <v>0</v>
      </c>
      <c r="L188" s="11">
        <f ca="1" t="shared" si="55"/>
        <v>45972.4111111111</v>
      </c>
      <c r="M188">
        <v>379.19</v>
      </c>
      <c r="N188" s="8">
        <f t="shared" si="52"/>
        <v>310.24</v>
      </c>
      <c r="O188">
        <f t="shared" si="53"/>
        <v>294.728</v>
      </c>
    </row>
    <row r="189" ht="15.75" customHeight="1" spans="1:15">
      <c r="A189" t="s">
        <v>62</v>
      </c>
      <c r="B189" t="s">
        <v>84</v>
      </c>
      <c r="C189" t="s">
        <v>28</v>
      </c>
      <c r="D189" t="s">
        <v>23</v>
      </c>
      <c r="E189">
        <v>682.24</v>
      </c>
      <c r="F189">
        <v>1</v>
      </c>
      <c r="G189" s="5">
        <f t="shared" si="47"/>
        <v>0.05</v>
      </c>
      <c r="H189" s="6">
        <v>45738</v>
      </c>
      <c r="I189" s="8" t="str">
        <f t="shared" si="48"/>
        <v>Mar</v>
      </c>
      <c r="J189" s="9">
        <f t="shared" si="49"/>
        <v>17655.22</v>
      </c>
      <c r="K189" s="10">
        <f t="shared" si="50"/>
        <v>0</v>
      </c>
      <c r="L189" s="11">
        <f ca="1" t="shared" si="55"/>
        <v>45972.4111111111</v>
      </c>
      <c r="M189">
        <v>341.12</v>
      </c>
      <c r="N189" s="8">
        <f t="shared" si="52"/>
        <v>341.12</v>
      </c>
      <c r="O189">
        <f t="shared" si="53"/>
        <v>324.064</v>
      </c>
    </row>
    <row r="190" ht="15.75" customHeight="1" spans="1:15">
      <c r="A190" t="s">
        <v>64</v>
      </c>
      <c r="B190" t="s">
        <v>36</v>
      </c>
      <c r="C190" t="s">
        <v>33</v>
      </c>
      <c r="D190" t="s">
        <v>29</v>
      </c>
      <c r="E190">
        <v>458.54</v>
      </c>
      <c r="F190">
        <v>15</v>
      </c>
      <c r="G190" s="5">
        <f t="shared" si="47"/>
        <v>0</v>
      </c>
      <c r="H190" s="6">
        <v>45741</v>
      </c>
      <c r="I190" s="8" t="str">
        <f t="shared" si="48"/>
        <v>Mar</v>
      </c>
      <c r="J190" s="9">
        <f t="shared" si="49"/>
        <v>17655.22</v>
      </c>
      <c r="K190" s="10">
        <f t="shared" si="50"/>
        <v>0</v>
      </c>
      <c r="L190" s="11">
        <f ca="1" t="shared" si="55"/>
        <v>45972.4111111111</v>
      </c>
      <c r="M190">
        <v>366.83</v>
      </c>
      <c r="N190" s="8">
        <f t="shared" si="52"/>
        <v>91.71</v>
      </c>
      <c r="O190">
        <f t="shared" si="53"/>
        <v>91.71</v>
      </c>
    </row>
    <row r="191" ht="15.75" customHeight="1" spans="1:15">
      <c r="A191" t="s">
        <v>48</v>
      </c>
      <c r="B191" t="s">
        <v>36</v>
      </c>
      <c r="C191" t="s">
        <v>28</v>
      </c>
      <c r="D191" t="s">
        <v>37</v>
      </c>
      <c r="E191">
        <v>1184.25</v>
      </c>
      <c r="F191">
        <v>11</v>
      </c>
      <c r="G191" s="5">
        <f t="shared" si="47"/>
        <v>0.05</v>
      </c>
      <c r="H191" s="6">
        <v>45742</v>
      </c>
      <c r="I191" s="8" t="str">
        <f t="shared" si="48"/>
        <v>Mar</v>
      </c>
      <c r="J191" s="9">
        <f t="shared" si="49"/>
        <v>17655.22</v>
      </c>
      <c r="K191" s="10">
        <f t="shared" si="50"/>
        <v>0</v>
      </c>
      <c r="L191" s="11">
        <f ca="1" t="shared" si="55"/>
        <v>45972.4111111111</v>
      </c>
      <c r="M191">
        <v>852.66</v>
      </c>
      <c r="N191" s="8">
        <f t="shared" si="52"/>
        <v>331.59</v>
      </c>
      <c r="O191">
        <f t="shared" si="53"/>
        <v>315.0105</v>
      </c>
    </row>
    <row r="192" ht="15.75" customHeight="1" spans="1:15">
      <c r="A192" t="s">
        <v>35</v>
      </c>
      <c r="B192" t="s">
        <v>18</v>
      </c>
      <c r="C192" t="s">
        <v>28</v>
      </c>
      <c r="D192" t="s">
        <v>23</v>
      </c>
      <c r="E192">
        <v>762.14</v>
      </c>
      <c r="F192">
        <v>9</v>
      </c>
      <c r="G192" s="5">
        <f t="shared" si="47"/>
        <v>0.05</v>
      </c>
      <c r="H192" s="6">
        <v>45743</v>
      </c>
      <c r="I192" s="8" t="str">
        <f t="shared" si="48"/>
        <v>Mar</v>
      </c>
      <c r="J192" s="9">
        <f t="shared" si="49"/>
        <v>17655.22</v>
      </c>
      <c r="K192" s="10">
        <f t="shared" si="50"/>
        <v>0</v>
      </c>
      <c r="L192" s="11">
        <f ca="1" t="shared" si="55"/>
        <v>45972.4111111111</v>
      </c>
      <c r="M192">
        <v>381.07</v>
      </c>
      <c r="N192" s="8">
        <f t="shared" si="52"/>
        <v>381.07</v>
      </c>
      <c r="O192">
        <f t="shared" si="53"/>
        <v>362.0165</v>
      </c>
    </row>
    <row r="193" ht="15.75" customHeight="1" spans="1:15">
      <c r="A193" t="s">
        <v>31</v>
      </c>
      <c r="B193" t="s">
        <v>78</v>
      </c>
      <c r="C193" t="s">
        <v>33</v>
      </c>
      <c r="D193" t="s">
        <v>20</v>
      </c>
      <c r="E193">
        <v>750.71</v>
      </c>
      <c r="F193">
        <v>10</v>
      </c>
      <c r="G193" s="5">
        <f t="shared" si="47"/>
        <v>0</v>
      </c>
      <c r="H193" s="6">
        <v>45743</v>
      </c>
      <c r="I193" s="8" t="str">
        <f t="shared" si="48"/>
        <v>Mar</v>
      </c>
      <c r="J193" s="9">
        <f t="shared" si="49"/>
        <v>17655.22</v>
      </c>
      <c r="K193" s="10">
        <f t="shared" si="50"/>
        <v>0</v>
      </c>
      <c r="L193" s="11">
        <f ca="1" t="shared" ref="L193:L201" si="56">NOW()</f>
        <v>45972.4111111111</v>
      </c>
      <c r="M193">
        <v>495.47</v>
      </c>
      <c r="N193" s="8">
        <f t="shared" si="52"/>
        <v>255.24</v>
      </c>
      <c r="O193">
        <f t="shared" si="53"/>
        <v>255.24</v>
      </c>
    </row>
    <row r="194" ht="15.75" customHeight="1" spans="1:15">
      <c r="A194" t="s">
        <v>100</v>
      </c>
      <c r="B194" t="s">
        <v>96</v>
      </c>
      <c r="C194" t="s">
        <v>50</v>
      </c>
      <c r="D194" t="s">
        <v>23</v>
      </c>
      <c r="E194">
        <v>1456.94</v>
      </c>
      <c r="F194">
        <v>14</v>
      </c>
      <c r="G194" s="5">
        <f t="shared" si="47"/>
        <v>0.1</v>
      </c>
      <c r="H194" s="6">
        <v>45745</v>
      </c>
      <c r="I194" s="8" t="str">
        <f t="shared" si="48"/>
        <v>Mar</v>
      </c>
      <c r="J194" s="9">
        <f t="shared" si="49"/>
        <v>17655.22</v>
      </c>
      <c r="K194" s="10">
        <f t="shared" si="50"/>
        <v>0</v>
      </c>
      <c r="L194" s="11">
        <f ca="1" t="shared" si="56"/>
        <v>45972.4111111111</v>
      </c>
      <c r="M194">
        <v>764.89</v>
      </c>
      <c r="N194" s="8">
        <f t="shared" si="52"/>
        <v>692.05</v>
      </c>
      <c r="O194">
        <f t="shared" si="53"/>
        <v>622.845</v>
      </c>
    </row>
    <row r="195" ht="15.75" customHeight="1" spans="1:15">
      <c r="A195" t="s">
        <v>68</v>
      </c>
      <c r="B195" t="s">
        <v>86</v>
      </c>
      <c r="C195" t="s">
        <v>26</v>
      </c>
      <c r="D195" t="s">
        <v>37</v>
      </c>
      <c r="E195">
        <v>1093.38</v>
      </c>
      <c r="F195">
        <v>17</v>
      </c>
      <c r="G195" s="5">
        <f>IF(AND(N195&gt;300,N195&lt;=500),0.05,IF(AND(N195&gt;500,N195&lt;=800),0.1,IF(AND(N195&gt;800,N195&lt;=1000),0.12,IF(N195&gt;1000,0.15,0))))</f>
        <v>0.05</v>
      </c>
      <c r="H195" s="6">
        <v>45745</v>
      </c>
      <c r="I195" s="8" t="str">
        <f t="shared" si="48"/>
        <v>Mar</v>
      </c>
      <c r="J195" s="9">
        <f>SUMIFS(E:E,I:I,I195)</f>
        <v>17655.22</v>
      </c>
      <c r="K195" s="10">
        <f t="shared" si="50"/>
        <v>0</v>
      </c>
      <c r="L195" s="11">
        <f ca="1" t="shared" si="56"/>
        <v>45972.4111111111</v>
      </c>
      <c r="M195">
        <v>748.97</v>
      </c>
      <c r="N195" s="8">
        <f t="shared" si="52"/>
        <v>344.41</v>
      </c>
      <c r="O195">
        <f t="shared" si="53"/>
        <v>327.1895</v>
      </c>
    </row>
    <row r="196" ht="15.75" customHeight="1" spans="1:15">
      <c r="A196" t="s">
        <v>55</v>
      </c>
      <c r="B196" t="s">
        <v>67</v>
      </c>
      <c r="C196" t="s">
        <v>19</v>
      </c>
      <c r="D196" t="s">
        <v>23</v>
      </c>
      <c r="E196">
        <v>934.27</v>
      </c>
      <c r="F196">
        <v>8</v>
      </c>
      <c r="G196" s="5">
        <f>IF(AND(N196&gt;300,N196&lt;=500),0.05,IF(AND(N196&gt;500,N196&lt;=800),0.1,IF(AND(N196&gt;800,N196&lt;=1000),0.12,IF(N196&gt;1000,0.15,0))))</f>
        <v>0.05</v>
      </c>
      <c r="H196" s="6">
        <v>45746</v>
      </c>
      <c r="I196" s="8" t="str">
        <f t="shared" si="48"/>
        <v>Mar</v>
      </c>
      <c r="J196" s="9">
        <f>SUMIFS(E:E,I:I,I196)</f>
        <v>17655.22</v>
      </c>
      <c r="K196" s="10">
        <f t="shared" si="50"/>
        <v>0</v>
      </c>
      <c r="L196" s="11">
        <f ca="1" t="shared" si="56"/>
        <v>45972.4111111111</v>
      </c>
      <c r="M196">
        <v>537.21</v>
      </c>
      <c r="N196" s="8">
        <f t="shared" si="52"/>
        <v>397.06</v>
      </c>
      <c r="O196">
        <f t="shared" si="53"/>
        <v>377.207</v>
      </c>
    </row>
    <row r="197" ht="15.75" customHeight="1" spans="1:15">
      <c r="A197" t="s">
        <v>95</v>
      </c>
      <c r="B197" t="s">
        <v>53</v>
      </c>
      <c r="C197" t="s">
        <v>50</v>
      </c>
      <c r="D197" t="s">
        <v>23</v>
      </c>
      <c r="E197">
        <v>1465.35</v>
      </c>
      <c r="F197">
        <v>8</v>
      </c>
      <c r="G197" s="5">
        <f>IF(AND(N197&gt;300,N197&lt;=500),0.05,IF(AND(N197&gt;500,N197&lt;=800),0.1,IF(AND(N197&gt;800,N197&lt;=1000),0.12,IF(N197&gt;1000,0.15,0))))</f>
        <v>0.1</v>
      </c>
      <c r="H197" s="6">
        <v>45746</v>
      </c>
      <c r="I197" s="8" t="str">
        <f t="shared" si="48"/>
        <v>Mar</v>
      </c>
      <c r="J197" s="9">
        <f>SUMIFS(E:E,I:I,I197)</f>
        <v>17655.22</v>
      </c>
      <c r="K197" s="10">
        <f t="shared" si="50"/>
        <v>0</v>
      </c>
      <c r="L197" s="11">
        <f ca="1" t="shared" si="56"/>
        <v>45972.4111111111</v>
      </c>
      <c r="M197">
        <v>879.21</v>
      </c>
      <c r="N197" s="8">
        <f t="shared" si="52"/>
        <v>586.14</v>
      </c>
      <c r="O197">
        <f t="shared" si="53"/>
        <v>527.526</v>
      </c>
    </row>
    <row r="198" ht="15.75" customHeight="1" spans="1:15">
      <c r="A198" t="s">
        <v>77</v>
      </c>
      <c r="B198" t="s">
        <v>22</v>
      </c>
      <c r="C198" t="s">
        <v>28</v>
      </c>
      <c r="D198" t="s">
        <v>57</v>
      </c>
      <c r="E198">
        <v>740.8</v>
      </c>
      <c r="F198">
        <v>3</v>
      </c>
      <c r="G198" s="5">
        <f>IF(AND(N198&gt;300,N198&lt;=500),0.05,IF(AND(N198&gt;500,N198&lt;=800),0.1,IF(AND(N198&gt;800,N198&lt;=1000),0.12,IF(N198&gt;1000,0.15,0))))</f>
        <v>0.05</v>
      </c>
      <c r="H198" s="6">
        <v>45749</v>
      </c>
      <c r="I198" s="8" t="str">
        <f t="shared" si="48"/>
        <v>Apr</v>
      </c>
      <c r="J198" s="9">
        <f>SUMIFS(E:E,I:I,I198)</f>
        <v>22242.13</v>
      </c>
      <c r="K198" s="10">
        <f t="shared" si="50"/>
        <v>0.259804748963763</v>
      </c>
      <c r="L198" s="11">
        <f ca="1" t="shared" si="56"/>
        <v>45972.4111111111</v>
      </c>
      <c r="M198">
        <v>407.44</v>
      </c>
      <c r="N198" s="8">
        <f t="shared" si="52"/>
        <v>333.36</v>
      </c>
      <c r="O198">
        <f t="shared" si="53"/>
        <v>316.692</v>
      </c>
    </row>
    <row r="199" ht="15.75" customHeight="1" spans="1:15">
      <c r="A199" t="s">
        <v>83</v>
      </c>
      <c r="B199" t="s">
        <v>67</v>
      </c>
      <c r="C199" t="s">
        <v>19</v>
      </c>
      <c r="D199" t="s">
        <v>57</v>
      </c>
      <c r="E199">
        <v>545.44</v>
      </c>
      <c r="F199">
        <v>17</v>
      </c>
      <c r="G199" s="5">
        <f>IF(AND(N199&gt;300,N199&lt;=500),0.05,IF(AND(N199&gt;500,N199&lt;=800),0.1,IF(AND(N199&gt;800,N199&lt;=1000),0.12,IF(N199&gt;1000,0.15,0))))</f>
        <v>0</v>
      </c>
      <c r="H199" s="6">
        <v>45752</v>
      </c>
      <c r="I199" s="8" t="str">
        <f t="shared" si="48"/>
        <v>Apr</v>
      </c>
      <c r="J199" s="9">
        <f>SUMIFS(E:E,I:I,I199)</f>
        <v>22242.13</v>
      </c>
      <c r="K199" s="10">
        <f t="shared" si="50"/>
        <v>0</v>
      </c>
      <c r="L199" s="11">
        <f ca="1" t="shared" si="56"/>
        <v>45972.4111111111</v>
      </c>
      <c r="M199">
        <v>299.99</v>
      </c>
      <c r="N199" s="8">
        <f t="shared" si="52"/>
        <v>245.45</v>
      </c>
      <c r="O199">
        <f t="shared" si="53"/>
        <v>245.45</v>
      </c>
    </row>
    <row r="200" ht="15.75" customHeight="1" spans="1:15">
      <c r="A200" t="s">
        <v>52</v>
      </c>
      <c r="B200" t="s">
        <v>53</v>
      </c>
      <c r="C200" t="s">
        <v>26</v>
      </c>
      <c r="D200" t="s">
        <v>20</v>
      </c>
      <c r="E200">
        <v>997.61</v>
      </c>
      <c r="F200">
        <v>8</v>
      </c>
      <c r="G200" s="5">
        <f>IF(AND(N200&gt;300,N200&lt;=500),0.05,IF(AND(N200&gt;500,N200&lt;=800),0.1,IF(AND(N200&gt;800,N200&lt;=1000),0.12,IF(N200&gt;1000,0.15,0))))</f>
        <v>0.05</v>
      </c>
      <c r="H200" s="6">
        <v>45752</v>
      </c>
      <c r="I200" s="8" t="str">
        <f t="shared" si="48"/>
        <v>Apr</v>
      </c>
      <c r="J200" s="9">
        <f>SUMIFS(E:E,I:I,I200)</f>
        <v>22242.13</v>
      </c>
      <c r="K200" s="10">
        <f t="shared" si="50"/>
        <v>0</v>
      </c>
      <c r="L200" s="11">
        <f ca="1" t="shared" si="56"/>
        <v>45972.4111111111</v>
      </c>
      <c r="M200">
        <v>618.52</v>
      </c>
      <c r="N200" s="8">
        <f t="shared" si="52"/>
        <v>379.09</v>
      </c>
      <c r="O200">
        <f t="shared" si="53"/>
        <v>360.1355</v>
      </c>
    </row>
    <row r="201" ht="15.75" customHeight="1" spans="1:15">
      <c r="A201" t="s">
        <v>85</v>
      </c>
      <c r="B201" t="s">
        <v>53</v>
      </c>
      <c r="C201" t="s">
        <v>28</v>
      </c>
      <c r="D201" t="s">
        <v>23</v>
      </c>
      <c r="E201">
        <v>928.32</v>
      </c>
      <c r="F201">
        <v>2</v>
      </c>
      <c r="G201" s="5">
        <f>IF(AND(N201&gt;300,N201&lt;=500),0.05,IF(AND(N201&gt;500,N201&lt;=800),0.1,IF(AND(N201&gt;800,N201&lt;=1000),0.12,IF(N201&gt;1000,0.15,0))))</f>
        <v>0.05</v>
      </c>
      <c r="H201" s="6">
        <v>45754</v>
      </c>
      <c r="I201" s="8" t="str">
        <f t="shared" si="48"/>
        <v>Apr</v>
      </c>
      <c r="J201" s="9">
        <f>SUMIFS(E:E,I:I,I201)</f>
        <v>22242.13</v>
      </c>
      <c r="K201" s="10">
        <f t="shared" si="50"/>
        <v>0</v>
      </c>
      <c r="L201" s="11">
        <f ca="1" t="shared" si="56"/>
        <v>45972.4111111111</v>
      </c>
      <c r="M201">
        <v>487.37</v>
      </c>
      <c r="N201" s="8">
        <f t="shared" si="52"/>
        <v>440.95</v>
      </c>
      <c r="O201">
        <f t="shared" si="53"/>
        <v>418.9025</v>
      </c>
    </row>
    <row r="202" ht="15.75" customHeight="1" spans="15:15">
      <c r="O202" s="7"/>
    </row>
    <row r="203" ht="15.75" customHeight="1" spans="15:15">
      <c r="O203" s="7"/>
    </row>
    <row r="204" ht="15.75" customHeight="1" spans="15:15">
      <c r="O204" s="7"/>
    </row>
    <row r="205" ht="15.75" customHeight="1" spans="15:15">
      <c r="O205" s="7"/>
    </row>
    <row r="206" ht="15.75" customHeight="1" spans="15:15">
      <c r="O206" s="7"/>
    </row>
    <row r="207" ht="15.75" customHeight="1" spans="15:15">
      <c r="O207" s="7"/>
    </row>
    <row r="208" ht="15.75" customHeight="1" spans="15:15">
      <c r="O208" s="7"/>
    </row>
    <row r="209" ht="15.75" customHeight="1" spans="15:15">
      <c r="O209" s="7"/>
    </row>
    <row r="210" ht="15.75" customHeight="1" spans="15:15">
      <c r="O210" s="7"/>
    </row>
    <row r="211" ht="15.75" customHeight="1" spans="15:15">
      <c r="O211" s="7"/>
    </row>
    <row r="212" ht="15.75" customHeight="1" spans="15:15">
      <c r="O212" s="7"/>
    </row>
    <row r="213" ht="15.75" customHeight="1" spans="15:15">
      <c r="O213" s="7"/>
    </row>
    <row r="214" ht="15.75" customHeight="1" spans="15:15">
      <c r="O214" s="7"/>
    </row>
    <row r="215" ht="15.75" customHeight="1" spans="15:15">
      <c r="O215" s="7"/>
    </row>
    <row r="216" ht="15.75" customHeight="1" spans="15:15">
      <c r="O216" s="7"/>
    </row>
    <row r="217" ht="15.75" customHeight="1" spans="15:15">
      <c r="O217" s="7"/>
    </row>
    <row r="218" ht="15.75" customHeight="1" spans="15:15">
      <c r="O218" s="7"/>
    </row>
    <row r="219" ht="15.75" customHeight="1" spans="15:15">
      <c r="O219" s="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V8:W8"/>
    <mergeCell ref="AA8:AB8"/>
    <mergeCell ref="AA12:AB12"/>
    <mergeCell ref="AA16:AB16"/>
    <mergeCell ref="AA19:AB19"/>
  </mergeCells>
  <conditionalFormatting sqref="B2">
    <cfRule type="top10" dxfId="15" priority="9" stopIfTrue="1" rank="10"/>
  </conditionalFormatting>
  <conditionalFormatting sqref="B2:B201">
    <cfRule type="top10" dxfId="15" priority="10" stopIfTrue="1" rank="10"/>
    <cfRule type="top10" dxfId="16" priority="5" stopIfTrue="1" rank="10"/>
    <cfRule type="top10" dxfId="17" priority="4" rank="10"/>
  </conditionalFormatting>
  <conditionalFormatting sqref="E2:E201">
    <cfRule type="top10" dxfId="15" priority="8" rank="10"/>
  </conditionalFormatting>
  <conditionalFormatting sqref="K2:K201">
    <cfRule type="iconSet" priority="1">
      <iconSet iconSet="4Arrows">
        <cfvo type="percent" val="0"/>
        <cfvo type="percent" val="25"/>
        <cfvo type="percent" val="50"/>
        <cfvo type="percent" val="75"/>
      </iconSet>
    </cfRule>
  </conditionalFormatting>
  <conditionalFormatting sqref="B2:E201">
    <cfRule type="top10" dxfId="18" priority="6" rank="10"/>
    <cfRule type="top10" dxfId="15" priority="7" stopIfTrue="1" rank="10"/>
  </conditionalFormatting>
  <pageMargins left="0.75" right="0.75" top="1" bottom="1" header="0" footer="0"/>
  <pageSetup paperSize="1" orientation="landscape"/>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474e03f5-b8a5-49e2-b139-b6765e099f75}">
            <x14:iconSet iconSet="3Triangles">
              <x14:cfvo type="percent">
                <xm:f>0</xm:f>
              </x14:cfvo>
              <x14:cfvo type="percent">
                <xm:f>33</xm:f>
              </x14:cfvo>
              <x14:cfvo type="percent">
                <xm:f>67</xm:f>
              </x14:cfvo>
            </x14:iconSet>
          </x14:cfRule>
          <xm:sqref>K2:K201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workbookViewId="0">
      <selection activeCell="K14" sqref="K14"/>
    </sheetView>
  </sheetViews>
  <sheetFormatPr defaultColWidth="8.88888888888889" defaultRowHeight="18"/>
  <cols>
    <col min="8" max="8" width="11.5555555555556" customWidth="1"/>
  </cols>
  <sheetData>
    <row r="1" spans="1:9">
      <c r="A1" s="1" t="s">
        <v>2</v>
      </c>
      <c r="B1" s="1" t="s">
        <v>3</v>
      </c>
      <c r="C1" s="1" t="s">
        <v>4</v>
      </c>
      <c r="D1" s="1" t="s">
        <v>5</v>
      </c>
      <c r="E1" s="1" t="s">
        <v>6</v>
      </c>
      <c r="F1" s="1" t="s">
        <v>7</v>
      </c>
      <c r="G1" s="1" t="s">
        <v>8</v>
      </c>
      <c r="H1" s="1" t="s">
        <v>9</v>
      </c>
      <c r="I1" s="1" t="s">
        <v>15</v>
      </c>
    </row>
    <row r="2" spans="1:9">
      <c r="A2" s="2" t="s">
        <v>17</v>
      </c>
      <c r="B2" s="2" t="s">
        <v>18</v>
      </c>
      <c r="C2" s="2" t="s">
        <v>19</v>
      </c>
      <c r="D2" s="2" t="s">
        <v>20</v>
      </c>
      <c r="E2" s="2">
        <v>1036.09</v>
      </c>
      <c r="F2" s="2">
        <v>4</v>
      </c>
      <c r="G2" s="2">
        <v>0.2</v>
      </c>
      <c r="H2" s="3">
        <v>45392</v>
      </c>
      <c r="I2" s="2">
        <v>331</v>
      </c>
    </row>
    <row r="3" spans="1:9">
      <c r="A3" s="2" t="s">
        <v>21</v>
      </c>
      <c r="B3" s="2" t="s">
        <v>22</v>
      </c>
      <c r="C3" s="2" t="s">
        <v>19</v>
      </c>
      <c r="D3" s="2" t="s">
        <v>23</v>
      </c>
      <c r="E3" s="2">
        <v>1101.28</v>
      </c>
      <c r="F3" s="2">
        <v>3</v>
      </c>
      <c r="G3" s="2">
        <v>0.2</v>
      </c>
      <c r="H3" s="3">
        <v>45393</v>
      </c>
      <c r="I3" s="2">
        <v>440.51</v>
      </c>
    </row>
    <row r="4" hidden="1" spans="1:9">
      <c r="A4" s="2" t="s">
        <v>24</v>
      </c>
      <c r="B4" s="2" t="s">
        <v>25</v>
      </c>
      <c r="C4" s="2" t="s">
        <v>26</v>
      </c>
      <c r="D4" s="2" t="s">
        <v>20</v>
      </c>
      <c r="E4" s="2">
        <v>713.34</v>
      </c>
      <c r="F4" s="2">
        <v>17</v>
      </c>
      <c r="G4" s="2">
        <v>0</v>
      </c>
      <c r="H4" s="3">
        <v>45396</v>
      </c>
      <c r="I4" s="2">
        <v>285.34</v>
      </c>
    </row>
    <row r="5" hidden="1" spans="1:9">
      <c r="A5" s="2" t="s">
        <v>27</v>
      </c>
      <c r="B5" s="2" t="s">
        <v>22</v>
      </c>
      <c r="C5" s="2" t="s">
        <v>28</v>
      </c>
      <c r="D5" s="2" t="s">
        <v>29</v>
      </c>
      <c r="E5" s="2">
        <v>760.93</v>
      </c>
      <c r="F5" s="2">
        <v>4</v>
      </c>
      <c r="G5" s="2">
        <v>0.15</v>
      </c>
      <c r="H5" s="3">
        <v>45396</v>
      </c>
      <c r="I5" s="2">
        <v>161.7</v>
      </c>
    </row>
    <row r="6" hidden="1" spans="1:9">
      <c r="A6" s="2" t="s">
        <v>31</v>
      </c>
      <c r="B6" s="2" t="s">
        <v>32</v>
      </c>
      <c r="C6" s="2" t="s">
        <v>33</v>
      </c>
      <c r="D6" s="2" t="s">
        <v>20</v>
      </c>
      <c r="E6" s="2">
        <v>847</v>
      </c>
      <c r="F6" s="2">
        <v>12</v>
      </c>
      <c r="G6" s="2">
        <v>0.2</v>
      </c>
      <c r="H6" s="3">
        <v>45397</v>
      </c>
      <c r="I6" s="2">
        <v>271.04</v>
      </c>
    </row>
    <row r="7" hidden="1" spans="1:9">
      <c r="A7" s="2" t="s">
        <v>35</v>
      </c>
      <c r="B7" s="2" t="s">
        <v>36</v>
      </c>
      <c r="C7" s="2" t="s">
        <v>33</v>
      </c>
      <c r="D7" s="2" t="s">
        <v>37</v>
      </c>
      <c r="E7" s="2">
        <v>965.64</v>
      </c>
      <c r="F7" s="2">
        <v>8</v>
      </c>
      <c r="G7" s="2">
        <v>0.1</v>
      </c>
      <c r="H7" s="3">
        <v>45398</v>
      </c>
      <c r="I7" s="2">
        <v>304.18</v>
      </c>
    </row>
    <row r="8" spans="1:9">
      <c r="A8" s="2" t="s">
        <v>39</v>
      </c>
      <c r="B8" s="2" t="s">
        <v>40</v>
      </c>
      <c r="C8" s="2" t="s">
        <v>19</v>
      </c>
      <c r="D8" s="2" t="s">
        <v>29</v>
      </c>
      <c r="E8" s="2">
        <v>1317.53</v>
      </c>
      <c r="F8" s="2">
        <v>12</v>
      </c>
      <c r="G8" s="2">
        <v>0.05</v>
      </c>
      <c r="H8" s="3">
        <v>45398</v>
      </c>
      <c r="I8" s="2">
        <v>312.91</v>
      </c>
    </row>
    <row r="9" spans="1:9">
      <c r="A9" s="2" t="s">
        <v>44</v>
      </c>
      <c r="B9" s="2" t="s">
        <v>45</v>
      </c>
      <c r="C9" s="2" t="s">
        <v>26</v>
      </c>
      <c r="D9" s="2" t="s">
        <v>37</v>
      </c>
      <c r="E9" s="2">
        <v>1074.47</v>
      </c>
      <c r="F9" s="2">
        <v>6</v>
      </c>
      <c r="G9" s="2">
        <v>0.2</v>
      </c>
      <c r="H9" s="3">
        <v>45401</v>
      </c>
      <c r="I9" s="2">
        <v>300.85</v>
      </c>
    </row>
    <row r="10" hidden="1" spans="1:9">
      <c r="A10" s="2" t="s">
        <v>48</v>
      </c>
      <c r="B10" s="2" t="s">
        <v>49</v>
      </c>
      <c r="C10" s="2" t="s">
        <v>50</v>
      </c>
      <c r="D10" s="2" t="s">
        <v>20</v>
      </c>
      <c r="E10" s="2">
        <v>501.54</v>
      </c>
      <c r="F10" s="2">
        <v>11</v>
      </c>
      <c r="G10" s="2">
        <v>0.05</v>
      </c>
      <c r="H10" s="3">
        <v>45401</v>
      </c>
      <c r="I10" s="2">
        <v>190.59</v>
      </c>
    </row>
    <row r="11" hidden="1" spans="1:9">
      <c r="A11" s="2" t="s">
        <v>52</v>
      </c>
      <c r="B11" s="2" t="s">
        <v>53</v>
      </c>
      <c r="C11" s="2" t="s">
        <v>50</v>
      </c>
      <c r="D11" s="2" t="s">
        <v>23</v>
      </c>
      <c r="E11" s="2">
        <v>737.31</v>
      </c>
      <c r="F11" s="2">
        <v>2</v>
      </c>
      <c r="G11" s="2">
        <v>0.05</v>
      </c>
      <c r="H11" s="3">
        <v>45401</v>
      </c>
      <c r="I11" s="2">
        <v>350.22</v>
      </c>
    </row>
    <row r="12" spans="1:9">
      <c r="A12" s="2" t="s">
        <v>55</v>
      </c>
      <c r="B12" s="2" t="s">
        <v>56</v>
      </c>
      <c r="C12" s="2" t="s">
        <v>19</v>
      </c>
      <c r="D12" s="2" t="s">
        <v>57</v>
      </c>
      <c r="E12" s="2">
        <v>1572.82</v>
      </c>
      <c r="F12" s="2">
        <v>6</v>
      </c>
      <c r="G12" s="2">
        <v>0.05</v>
      </c>
      <c r="H12" s="3">
        <v>45402</v>
      </c>
      <c r="I12" s="2">
        <v>672.38</v>
      </c>
    </row>
    <row r="13" spans="1:9">
      <c r="A13" s="2" t="s">
        <v>55</v>
      </c>
      <c r="B13" s="2" t="s">
        <v>53</v>
      </c>
      <c r="C13" s="2" t="s">
        <v>50</v>
      </c>
      <c r="D13" s="2" t="s">
        <v>20</v>
      </c>
      <c r="E13" s="2">
        <v>1343.13</v>
      </c>
      <c r="F13" s="2">
        <v>14</v>
      </c>
      <c r="G13" s="2">
        <v>0.15</v>
      </c>
      <c r="H13" s="3">
        <v>45404</v>
      </c>
      <c r="I13" s="2">
        <v>456.66</v>
      </c>
    </row>
    <row r="14" spans="1:9">
      <c r="A14" s="2" t="s">
        <v>35</v>
      </c>
      <c r="B14" s="2" t="s">
        <v>36</v>
      </c>
      <c r="C14" s="2" t="s">
        <v>50</v>
      </c>
      <c r="D14" s="2" t="s">
        <v>20</v>
      </c>
      <c r="E14" s="2">
        <v>1191.58</v>
      </c>
      <c r="F14" s="2">
        <v>14</v>
      </c>
      <c r="G14" s="2">
        <v>0.05</v>
      </c>
      <c r="H14" s="3">
        <v>45406</v>
      </c>
      <c r="I14" s="2">
        <v>452.8</v>
      </c>
    </row>
    <row r="15" hidden="1" spans="1:9">
      <c r="A15" s="2" t="s">
        <v>62</v>
      </c>
      <c r="B15" s="2" t="s">
        <v>22</v>
      </c>
      <c r="C15" s="2" t="s">
        <v>19</v>
      </c>
      <c r="D15" s="2" t="s">
        <v>37</v>
      </c>
      <c r="E15" s="2">
        <v>822.28</v>
      </c>
      <c r="F15" s="2">
        <v>7</v>
      </c>
      <c r="G15" s="2">
        <v>0.05</v>
      </c>
      <c r="H15" s="3">
        <v>45406</v>
      </c>
      <c r="I15" s="2">
        <v>273.41</v>
      </c>
    </row>
    <row r="16" hidden="1" spans="1:9">
      <c r="A16" s="2" t="s">
        <v>64</v>
      </c>
      <c r="B16" s="2" t="s">
        <v>65</v>
      </c>
      <c r="C16" s="2" t="s">
        <v>33</v>
      </c>
      <c r="D16" s="2" t="s">
        <v>37</v>
      </c>
      <c r="E16" s="2">
        <v>521.67</v>
      </c>
      <c r="F16" s="2">
        <v>15</v>
      </c>
      <c r="G16" s="2">
        <v>0.15</v>
      </c>
      <c r="H16" s="3">
        <v>45409</v>
      </c>
      <c r="I16" s="2">
        <v>155.2</v>
      </c>
    </row>
    <row r="17" spans="1:9">
      <c r="A17" s="2" t="s">
        <v>27</v>
      </c>
      <c r="B17" s="2" t="s">
        <v>67</v>
      </c>
      <c r="C17" s="2" t="s">
        <v>28</v>
      </c>
      <c r="D17" s="2" t="s">
        <v>29</v>
      </c>
      <c r="E17" s="2">
        <v>1502.93</v>
      </c>
      <c r="F17" s="2">
        <v>14</v>
      </c>
      <c r="G17" s="2">
        <v>0.2</v>
      </c>
      <c r="H17" s="3">
        <v>45410</v>
      </c>
      <c r="I17" s="2">
        <v>300.59</v>
      </c>
    </row>
    <row r="18" hidden="1" spans="1:9">
      <c r="A18" s="2" t="s">
        <v>68</v>
      </c>
      <c r="B18" s="2" t="s">
        <v>22</v>
      </c>
      <c r="C18" s="2" t="s">
        <v>28</v>
      </c>
      <c r="D18" s="2" t="s">
        <v>20</v>
      </c>
      <c r="E18" s="2">
        <v>877.58</v>
      </c>
      <c r="F18" s="2">
        <v>10</v>
      </c>
      <c r="G18" s="2">
        <v>0.15</v>
      </c>
      <c r="H18" s="3">
        <v>45411</v>
      </c>
      <c r="I18" s="2">
        <v>298.38</v>
      </c>
    </row>
    <row r="19" hidden="1" spans="1:9">
      <c r="A19" s="2" t="s">
        <v>39</v>
      </c>
      <c r="B19" s="2" t="s">
        <v>69</v>
      </c>
      <c r="C19" s="2" t="s">
        <v>19</v>
      </c>
      <c r="D19" s="2" t="s">
        <v>20</v>
      </c>
      <c r="E19" s="2">
        <v>636.7</v>
      </c>
      <c r="F19" s="2">
        <v>4</v>
      </c>
      <c r="G19" s="2">
        <v>0.2</v>
      </c>
      <c r="H19" s="3">
        <v>45411</v>
      </c>
      <c r="I19" s="2">
        <v>203.74</v>
      </c>
    </row>
    <row r="20" spans="1:9">
      <c r="A20" s="2" t="s">
        <v>71</v>
      </c>
      <c r="B20" s="2" t="s">
        <v>72</v>
      </c>
      <c r="C20" s="2" t="s">
        <v>19</v>
      </c>
      <c r="D20" s="2" t="s">
        <v>20</v>
      </c>
      <c r="E20" s="2">
        <v>1506.14</v>
      </c>
      <c r="F20" s="2">
        <v>13</v>
      </c>
      <c r="G20" s="2">
        <v>0.2</v>
      </c>
      <c r="H20" s="3">
        <v>45412</v>
      </c>
      <c r="I20" s="2">
        <v>481.96</v>
      </c>
    </row>
    <row r="21" hidden="1" spans="1:9">
      <c r="A21" s="2" t="s">
        <v>44</v>
      </c>
      <c r="B21" s="2" t="s">
        <v>45</v>
      </c>
      <c r="C21" s="2" t="s">
        <v>50</v>
      </c>
      <c r="D21" s="2" t="s">
        <v>29</v>
      </c>
      <c r="E21" s="2">
        <v>645.02</v>
      </c>
      <c r="F21" s="2">
        <v>4</v>
      </c>
      <c r="G21" s="2">
        <v>0</v>
      </c>
      <c r="H21" s="3">
        <v>45414</v>
      </c>
      <c r="I21" s="2">
        <v>161.26</v>
      </c>
    </row>
    <row r="22" hidden="1" spans="1:9">
      <c r="A22" s="2" t="s">
        <v>35</v>
      </c>
      <c r="B22" s="2" t="s">
        <v>73</v>
      </c>
      <c r="C22" s="2" t="s">
        <v>28</v>
      </c>
      <c r="D22" s="2" t="s">
        <v>23</v>
      </c>
      <c r="E22" s="2">
        <v>953.3</v>
      </c>
      <c r="F22" s="2">
        <v>11</v>
      </c>
      <c r="G22" s="2">
        <v>0</v>
      </c>
      <c r="H22" s="3">
        <v>45415</v>
      </c>
      <c r="I22" s="2">
        <v>476.65</v>
      </c>
    </row>
    <row r="23" hidden="1" spans="1:9">
      <c r="A23" s="2" t="s">
        <v>74</v>
      </c>
      <c r="B23" s="2" t="s">
        <v>22</v>
      </c>
      <c r="C23" s="2" t="s">
        <v>33</v>
      </c>
      <c r="D23" s="2" t="s">
        <v>29</v>
      </c>
      <c r="E23" s="2">
        <v>388.56</v>
      </c>
      <c r="F23" s="2">
        <v>14</v>
      </c>
      <c r="G23" s="2">
        <v>0.15</v>
      </c>
      <c r="H23" s="3">
        <v>45416</v>
      </c>
      <c r="I23" s="2">
        <v>82.57</v>
      </c>
    </row>
    <row r="24" hidden="1" spans="1:9">
      <c r="A24" s="2" t="s">
        <v>17</v>
      </c>
      <c r="B24" s="2" t="s">
        <v>45</v>
      </c>
      <c r="C24" s="2" t="s">
        <v>19</v>
      </c>
      <c r="D24" s="2" t="s">
        <v>20</v>
      </c>
      <c r="E24" s="2">
        <v>743.17</v>
      </c>
      <c r="F24" s="2">
        <v>9</v>
      </c>
      <c r="G24" s="2">
        <v>0</v>
      </c>
      <c r="H24" s="3">
        <v>45416</v>
      </c>
      <c r="I24" s="2">
        <v>297.27</v>
      </c>
    </row>
    <row r="25" hidden="1" spans="1:9">
      <c r="A25" s="2" t="s">
        <v>62</v>
      </c>
      <c r="B25" s="2" t="s">
        <v>45</v>
      </c>
      <c r="C25" s="2" t="s">
        <v>50</v>
      </c>
      <c r="D25" s="2" t="s">
        <v>29</v>
      </c>
      <c r="E25" s="2">
        <v>706.37</v>
      </c>
      <c r="F25" s="2">
        <v>6</v>
      </c>
      <c r="G25" s="2">
        <v>0</v>
      </c>
      <c r="H25" s="3">
        <v>45416</v>
      </c>
      <c r="I25" s="2">
        <v>176.59</v>
      </c>
    </row>
    <row r="26" hidden="1" spans="1:9">
      <c r="A26" s="2" t="s">
        <v>21</v>
      </c>
      <c r="B26" s="2" t="s">
        <v>45</v>
      </c>
      <c r="C26" s="2" t="s">
        <v>50</v>
      </c>
      <c r="D26" s="2" t="s">
        <v>57</v>
      </c>
      <c r="E26" s="2">
        <v>925.31</v>
      </c>
      <c r="F26" s="2">
        <v>8</v>
      </c>
      <c r="G26" s="2">
        <v>0.1</v>
      </c>
      <c r="H26" s="3">
        <v>45418</v>
      </c>
      <c r="I26" s="2">
        <v>374.75</v>
      </c>
    </row>
    <row r="27" spans="1:9">
      <c r="A27" s="2" t="s">
        <v>52</v>
      </c>
      <c r="B27" s="2" t="s">
        <v>75</v>
      </c>
      <c r="C27" s="2" t="s">
        <v>28</v>
      </c>
      <c r="D27" s="2" t="s">
        <v>29</v>
      </c>
      <c r="E27" s="2">
        <v>1173.12</v>
      </c>
      <c r="F27" s="2">
        <v>18</v>
      </c>
      <c r="G27" s="2">
        <v>0</v>
      </c>
      <c r="H27" s="3">
        <v>45418</v>
      </c>
      <c r="I27" s="2">
        <v>293.28</v>
      </c>
    </row>
    <row r="28" hidden="1" spans="1:9">
      <c r="A28" s="2" t="s">
        <v>31</v>
      </c>
      <c r="B28" s="2" t="s">
        <v>76</v>
      </c>
      <c r="C28" s="2" t="s">
        <v>33</v>
      </c>
      <c r="D28" s="2" t="s">
        <v>37</v>
      </c>
      <c r="E28" s="2">
        <v>675.54</v>
      </c>
      <c r="F28" s="2">
        <v>17</v>
      </c>
      <c r="G28" s="2">
        <v>0</v>
      </c>
      <c r="H28" s="3">
        <v>45420</v>
      </c>
      <c r="I28" s="2">
        <v>236.44</v>
      </c>
    </row>
    <row r="29" hidden="1" spans="1:9">
      <c r="A29" s="2" t="s">
        <v>35</v>
      </c>
      <c r="B29" s="2" t="s">
        <v>22</v>
      </c>
      <c r="C29" s="2" t="s">
        <v>50</v>
      </c>
      <c r="D29" s="2" t="s">
        <v>20</v>
      </c>
      <c r="E29" s="2">
        <v>939.09</v>
      </c>
      <c r="F29" s="2">
        <v>2</v>
      </c>
      <c r="G29" s="2">
        <v>0.05</v>
      </c>
      <c r="H29" s="3">
        <v>45422</v>
      </c>
      <c r="I29" s="2">
        <v>356.85</v>
      </c>
    </row>
    <row r="30" hidden="1" spans="1:9">
      <c r="A30" s="2" t="s">
        <v>77</v>
      </c>
      <c r="B30" s="2" t="s">
        <v>78</v>
      </c>
      <c r="C30" s="2" t="s">
        <v>26</v>
      </c>
      <c r="D30" s="2" t="s">
        <v>57</v>
      </c>
      <c r="E30" s="2">
        <v>983.34</v>
      </c>
      <c r="F30" s="2">
        <v>19</v>
      </c>
      <c r="G30" s="2">
        <v>0.1</v>
      </c>
      <c r="H30" s="3">
        <v>45426</v>
      </c>
      <c r="I30" s="2">
        <v>398.25</v>
      </c>
    </row>
    <row r="31" hidden="1" spans="1:9">
      <c r="A31" s="2" t="s">
        <v>77</v>
      </c>
      <c r="B31" s="2" t="s">
        <v>32</v>
      </c>
      <c r="C31" s="2" t="s">
        <v>28</v>
      </c>
      <c r="D31" s="2" t="s">
        <v>29</v>
      </c>
      <c r="E31" s="2">
        <v>801.21</v>
      </c>
      <c r="F31" s="2">
        <v>3</v>
      </c>
      <c r="G31" s="2">
        <v>0.2</v>
      </c>
      <c r="H31" s="3">
        <v>45426</v>
      </c>
      <c r="I31" s="2">
        <v>160.24</v>
      </c>
    </row>
    <row r="32" spans="1:9">
      <c r="A32" s="2" t="s">
        <v>79</v>
      </c>
      <c r="B32" s="2" t="s">
        <v>80</v>
      </c>
      <c r="C32" s="2" t="s">
        <v>33</v>
      </c>
      <c r="D32" s="2" t="s">
        <v>29</v>
      </c>
      <c r="E32" s="2">
        <v>1450.71</v>
      </c>
      <c r="F32" s="2">
        <v>5</v>
      </c>
      <c r="G32" s="2">
        <v>0.1</v>
      </c>
      <c r="H32" s="3">
        <v>45427</v>
      </c>
      <c r="I32" s="2">
        <v>326.41</v>
      </c>
    </row>
    <row r="33" spans="1:9">
      <c r="A33" s="2" t="s">
        <v>74</v>
      </c>
      <c r="B33" s="2" t="s">
        <v>81</v>
      </c>
      <c r="C33" s="2" t="s">
        <v>50</v>
      </c>
      <c r="D33" s="2" t="s">
        <v>20</v>
      </c>
      <c r="E33" s="2">
        <v>1023.21</v>
      </c>
      <c r="F33" s="2">
        <v>18</v>
      </c>
      <c r="G33" s="2">
        <v>0.05</v>
      </c>
      <c r="H33" s="3">
        <v>45428</v>
      </c>
      <c r="I33" s="2">
        <v>388.82</v>
      </c>
    </row>
    <row r="34" hidden="1" spans="1:9">
      <c r="A34" s="2" t="s">
        <v>39</v>
      </c>
      <c r="B34" s="2" t="s">
        <v>72</v>
      </c>
      <c r="C34" s="2" t="s">
        <v>19</v>
      </c>
      <c r="D34" s="2" t="s">
        <v>37</v>
      </c>
      <c r="E34" s="2">
        <v>853.72</v>
      </c>
      <c r="F34" s="2">
        <v>5</v>
      </c>
      <c r="G34" s="2">
        <v>0.15</v>
      </c>
      <c r="H34" s="3">
        <v>45428</v>
      </c>
      <c r="I34" s="2">
        <v>253.98</v>
      </c>
    </row>
    <row r="35" hidden="1" spans="1:9">
      <c r="A35" s="2" t="s">
        <v>82</v>
      </c>
      <c r="B35" s="2" t="s">
        <v>67</v>
      </c>
      <c r="C35" s="2" t="s">
        <v>28</v>
      </c>
      <c r="D35" s="2" t="s">
        <v>29</v>
      </c>
      <c r="E35" s="2">
        <v>967.89</v>
      </c>
      <c r="F35" s="2">
        <v>10</v>
      </c>
      <c r="G35" s="2">
        <v>0.1</v>
      </c>
      <c r="H35" s="3">
        <v>45429</v>
      </c>
      <c r="I35" s="2">
        <v>217.78</v>
      </c>
    </row>
    <row r="36" spans="1:9">
      <c r="A36" s="2" t="s">
        <v>83</v>
      </c>
      <c r="B36" s="2" t="s">
        <v>78</v>
      </c>
      <c r="C36" s="2" t="s">
        <v>33</v>
      </c>
      <c r="D36" s="2" t="s">
        <v>57</v>
      </c>
      <c r="E36" s="2">
        <v>1200.9</v>
      </c>
      <c r="F36" s="2">
        <v>14</v>
      </c>
      <c r="G36" s="2">
        <v>0.05</v>
      </c>
      <c r="H36" s="3">
        <v>45429</v>
      </c>
      <c r="I36" s="2">
        <v>513.38</v>
      </c>
    </row>
    <row r="37" hidden="1" spans="1:9">
      <c r="A37" s="2" t="s">
        <v>21</v>
      </c>
      <c r="B37" s="2" t="s">
        <v>36</v>
      </c>
      <c r="C37" s="2" t="s">
        <v>19</v>
      </c>
      <c r="D37" s="2" t="s">
        <v>20</v>
      </c>
      <c r="E37" s="2">
        <v>472.38</v>
      </c>
      <c r="F37" s="2">
        <v>12</v>
      </c>
      <c r="G37" s="2">
        <v>0.2</v>
      </c>
      <c r="H37" s="3">
        <v>45429</v>
      </c>
      <c r="I37" s="2">
        <v>151.16</v>
      </c>
    </row>
    <row r="38" hidden="1" spans="1:9">
      <c r="A38" s="2" t="s">
        <v>17</v>
      </c>
      <c r="B38" s="2" t="s">
        <v>80</v>
      </c>
      <c r="C38" s="2" t="s">
        <v>26</v>
      </c>
      <c r="D38" s="2" t="s">
        <v>57</v>
      </c>
      <c r="E38" s="2">
        <v>840.92</v>
      </c>
      <c r="F38" s="2">
        <v>9</v>
      </c>
      <c r="G38" s="2">
        <v>0.05</v>
      </c>
      <c r="H38" s="3">
        <v>45429</v>
      </c>
      <c r="I38" s="2">
        <v>359.49</v>
      </c>
    </row>
    <row r="39" spans="1:9">
      <c r="A39" s="2" t="s">
        <v>77</v>
      </c>
      <c r="B39" s="2" t="s">
        <v>73</v>
      </c>
      <c r="C39" s="2" t="s">
        <v>50</v>
      </c>
      <c r="D39" s="2" t="s">
        <v>37</v>
      </c>
      <c r="E39" s="2">
        <v>1410.06</v>
      </c>
      <c r="F39" s="2">
        <v>11</v>
      </c>
      <c r="G39" s="2">
        <v>0.05</v>
      </c>
      <c r="H39" s="3">
        <v>45434</v>
      </c>
      <c r="I39" s="2">
        <v>468.84</v>
      </c>
    </row>
    <row r="40" hidden="1" spans="1:9">
      <c r="A40" s="2" t="s">
        <v>68</v>
      </c>
      <c r="B40" s="2" t="s">
        <v>84</v>
      </c>
      <c r="C40" s="2" t="s">
        <v>50</v>
      </c>
      <c r="D40" s="2" t="s">
        <v>37</v>
      </c>
      <c r="E40" s="2">
        <v>773.09</v>
      </c>
      <c r="F40" s="2">
        <v>13</v>
      </c>
      <c r="G40" s="2">
        <v>0.15</v>
      </c>
      <c r="H40" s="3">
        <v>45434</v>
      </c>
      <c r="I40" s="2">
        <v>229.99</v>
      </c>
    </row>
    <row r="41" hidden="1" spans="1:9">
      <c r="A41" s="2" t="s">
        <v>85</v>
      </c>
      <c r="B41" s="2" t="s">
        <v>86</v>
      </c>
      <c r="C41" s="2" t="s">
        <v>26</v>
      </c>
      <c r="D41" s="2" t="s">
        <v>20</v>
      </c>
      <c r="E41" s="2">
        <v>580.43</v>
      </c>
      <c r="F41" s="2">
        <v>19</v>
      </c>
      <c r="G41" s="2">
        <v>0.15</v>
      </c>
      <c r="H41" s="3">
        <v>45435</v>
      </c>
      <c r="I41" s="2">
        <v>197.35</v>
      </c>
    </row>
    <row r="42" spans="1:9">
      <c r="A42" s="2" t="s">
        <v>27</v>
      </c>
      <c r="B42" s="2" t="s">
        <v>65</v>
      </c>
      <c r="C42" s="2" t="s">
        <v>28</v>
      </c>
      <c r="D42" s="2" t="s">
        <v>20</v>
      </c>
      <c r="E42" s="2">
        <v>1151.21</v>
      </c>
      <c r="F42" s="2">
        <v>15</v>
      </c>
      <c r="G42" s="2">
        <v>0.1</v>
      </c>
      <c r="H42" s="3">
        <v>45445</v>
      </c>
      <c r="I42" s="2">
        <v>414.44</v>
      </c>
    </row>
    <row r="43" spans="1:9">
      <c r="A43" s="2" t="s">
        <v>77</v>
      </c>
      <c r="B43" s="2" t="s">
        <v>32</v>
      </c>
      <c r="C43" s="2" t="s">
        <v>50</v>
      </c>
      <c r="D43" s="2" t="s">
        <v>57</v>
      </c>
      <c r="E43" s="2">
        <v>1025.98</v>
      </c>
      <c r="F43" s="2">
        <v>5</v>
      </c>
      <c r="G43" s="2">
        <v>0.2</v>
      </c>
      <c r="H43" s="3">
        <v>45447</v>
      </c>
      <c r="I43" s="2">
        <v>369.35</v>
      </c>
    </row>
    <row r="44" hidden="1" spans="1:9">
      <c r="A44" s="2" t="s">
        <v>62</v>
      </c>
      <c r="B44" s="2" t="s">
        <v>81</v>
      </c>
      <c r="C44" s="2" t="s">
        <v>26</v>
      </c>
      <c r="D44" s="2" t="s">
        <v>57</v>
      </c>
      <c r="E44" s="2">
        <v>556.42</v>
      </c>
      <c r="F44" s="2">
        <v>11</v>
      </c>
      <c r="G44" s="2">
        <v>0.15</v>
      </c>
      <c r="H44" s="3">
        <v>45447</v>
      </c>
      <c r="I44" s="2">
        <v>212.83</v>
      </c>
    </row>
    <row r="45" hidden="1" spans="1:9">
      <c r="A45" s="2" t="s">
        <v>82</v>
      </c>
      <c r="B45" s="2" t="s">
        <v>32</v>
      </c>
      <c r="C45" s="2" t="s">
        <v>50</v>
      </c>
      <c r="D45" s="2" t="s">
        <v>20</v>
      </c>
      <c r="E45" s="2">
        <v>840.85</v>
      </c>
      <c r="F45" s="2">
        <v>19</v>
      </c>
      <c r="G45" s="2">
        <v>0.1</v>
      </c>
      <c r="H45" s="3">
        <v>45448</v>
      </c>
      <c r="I45" s="2">
        <v>302.71</v>
      </c>
    </row>
    <row r="46" spans="1:9">
      <c r="A46" s="2" t="s">
        <v>44</v>
      </c>
      <c r="B46" s="2" t="s">
        <v>86</v>
      </c>
      <c r="C46" s="2" t="s">
        <v>33</v>
      </c>
      <c r="D46" s="2" t="s">
        <v>37</v>
      </c>
      <c r="E46" s="2">
        <v>1227.25</v>
      </c>
      <c r="F46" s="2">
        <v>12</v>
      </c>
      <c r="G46" s="2">
        <v>0.15</v>
      </c>
      <c r="H46" s="3">
        <v>45448</v>
      </c>
      <c r="I46" s="2">
        <v>365.11</v>
      </c>
    </row>
    <row r="47" hidden="1" spans="1:9">
      <c r="A47" s="2" t="s">
        <v>24</v>
      </c>
      <c r="B47" s="2" t="s">
        <v>87</v>
      </c>
      <c r="C47" s="2" t="s">
        <v>50</v>
      </c>
      <c r="D47" s="2" t="s">
        <v>29</v>
      </c>
      <c r="E47" s="2">
        <v>856.7</v>
      </c>
      <c r="F47" s="2">
        <v>2</v>
      </c>
      <c r="G47" s="2">
        <v>0</v>
      </c>
      <c r="H47" s="3">
        <v>45449</v>
      </c>
      <c r="I47" s="2">
        <v>214.18</v>
      </c>
    </row>
    <row r="48" spans="1:9">
      <c r="A48" s="2" t="s">
        <v>79</v>
      </c>
      <c r="B48" s="2" t="s">
        <v>81</v>
      </c>
      <c r="C48" s="2" t="s">
        <v>50</v>
      </c>
      <c r="D48" s="2" t="s">
        <v>57</v>
      </c>
      <c r="E48" s="2">
        <v>1225.42</v>
      </c>
      <c r="F48" s="2">
        <v>8</v>
      </c>
      <c r="G48" s="2">
        <v>0.15</v>
      </c>
      <c r="H48" s="3">
        <v>45449</v>
      </c>
      <c r="I48" s="2">
        <v>468.72</v>
      </c>
    </row>
    <row r="49" spans="1:9">
      <c r="A49" s="2" t="s">
        <v>88</v>
      </c>
      <c r="B49" s="2" t="s">
        <v>45</v>
      </c>
      <c r="C49" s="2" t="s">
        <v>33</v>
      </c>
      <c r="D49" s="2" t="s">
        <v>57</v>
      </c>
      <c r="E49" s="2">
        <v>1001.57</v>
      </c>
      <c r="F49" s="2">
        <v>12</v>
      </c>
      <c r="G49" s="2">
        <v>0</v>
      </c>
      <c r="H49" s="3">
        <v>45450</v>
      </c>
      <c r="I49" s="2">
        <v>450.71</v>
      </c>
    </row>
    <row r="50" spans="1:9">
      <c r="A50" s="2" t="s">
        <v>82</v>
      </c>
      <c r="B50" s="2" t="s">
        <v>36</v>
      </c>
      <c r="C50" s="2" t="s">
        <v>26</v>
      </c>
      <c r="D50" s="2" t="s">
        <v>37</v>
      </c>
      <c r="E50" s="2">
        <v>1186.85</v>
      </c>
      <c r="F50" s="2">
        <v>19</v>
      </c>
      <c r="G50" s="2">
        <v>0.2</v>
      </c>
      <c r="H50" s="3">
        <v>45451</v>
      </c>
      <c r="I50" s="2">
        <v>332.32</v>
      </c>
    </row>
    <row r="51" hidden="1" spans="1:9">
      <c r="A51" s="2" t="s">
        <v>68</v>
      </c>
      <c r="B51" s="2" t="s">
        <v>76</v>
      </c>
      <c r="C51" s="2" t="s">
        <v>28</v>
      </c>
      <c r="D51" s="2" t="s">
        <v>29</v>
      </c>
      <c r="E51" s="2">
        <v>775.45</v>
      </c>
      <c r="F51" s="2">
        <v>6</v>
      </c>
      <c r="G51" s="2">
        <v>0.1</v>
      </c>
      <c r="H51" s="3">
        <v>45457</v>
      </c>
      <c r="I51" s="2">
        <v>174.48</v>
      </c>
    </row>
    <row r="52" spans="1:9">
      <c r="A52" s="2" t="s">
        <v>35</v>
      </c>
      <c r="B52" s="2" t="s">
        <v>49</v>
      </c>
      <c r="C52" s="2" t="s">
        <v>28</v>
      </c>
      <c r="D52" s="2" t="s">
        <v>29</v>
      </c>
      <c r="E52" s="2">
        <v>1021.47</v>
      </c>
      <c r="F52" s="2">
        <v>6</v>
      </c>
      <c r="G52" s="2">
        <v>0.05</v>
      </c>
      <c r="H52" s="3">
        <v>45461</v>
      </c>
      <c r="I52" s="2">
        <v>242.6</v>
      </c>
    </row>
    <row r="53" spans="1:9">
      <c r="A53" s="2" t="s">
        <v>83</v>
      </c>
      <c r="B53" s="2" t="s">
        <v>32</v>
      </c>
      <c r="C53" s="2" t="s">
        <v>28</v>
      </c>
      <c r="D53" s="2" t="s">
        <v>23</v>
      </c>
      <c r="E53" s="2">
        <v>1226.62</v>
      </c>
      <c r="F53" s="2">
        <v>7</v>
      </c>
      <c r="G53" s="2">
        <v>0.1</v>
      </c>
      <c r="H53" s="3">
        <v>45463</v>
      </c>
      <c r="I53" s="2">
        <v>551.98</v>
      </c>
    </row>
    <row r="54" spans="1:9">
      <c r="A54" s="2" t="s">
        <v>31</v>
      </c>
      <c r="B54" s="2" t="s">
        <v>89</v>
      </c>
      <c r="C54" s="2" t="s">
        <v>28</v>
      </c>
      <c r="D54" s="2" t="s">
        <v>37</v>
      </c>
      <c r="E54" s="2">
        <v>1086.93</v>
      </c>
      <c r="F54" s="2">
        <v>2</v>
      </c>
      <c r="G54" s="2">
        <v>0</v>
      </c>
      <c r="H54" s="3">
        <v>45464</v>
      </c>
      <c r="I54" s="2">
        <v>380.43</v>
      </c>
    </row>
    <row r="55" hidden="1" spans="1:9">
      <c r="A55" s="2" t="s">
        <v>90</v>
      </c>
      <c r="B55" s="2" t="s">
        <v>73</v>
      </c>
      <c r="C55" s="2" t="s">
        <v>19</v>
      </c>
      <c r="D55" s="2" t="s">
        <v>20</v>
      </c>
      <c r="E55" s="2">
        <v>942.9</v>
      </c>
      <c r="F55" s="2">
        <v>18</v>
      </c>
      <c r="G55" s="2">
        <v>0.1</v>
      </c>
      <c r="H55" s="3">
        <v>45466</v>
      </c>
      <c r="I55" s="2">
        <v>339.44</v>
      </c>
    </row>
    <row r="56" hidden="1" spans="1:9">
      <c r="A56" s="2" t="s">
        <v>48</v>
      </c>
      <c r="B56" s="2" t="s">
        <v>56</v>
      </c>
      <c r="C56" s="2" t="s">
        <v>33</v>
      </c>
      <c r="D56" s="2" t="s">
        <v>29</v>
      </c>
      <c r="E56" s="2">
        <v>818.8</v>
      </c>
      <c r="F56" s="2">
        <v>15</v>
      </c>
      <c r="G56" s="2">
        <v>0.15</v>
      </c>
      <c r="H56" s="3">
        <v>45468</v>
      </c>
      <c r="I56" s="2">
        <v>173.99</v>
      </c>
    </row>
    <row r="57" hidden="1" spans="1:9">
      <c r="A57" s="2" t="s">
        <v>27</v>
      </c>
      <c r="B57" s="2" t="s">
        <v>22</v>
      </c>
      <c r="C57" s="2" t="s">
        <v>28</v>
      </c>
      <c r="D57" s="2" t="s">
        <v>37</v>
      </c>
      <c r="E57" s="2">
        <v>919.04</v>
      </c>
      <c r="F57" s="2">
        <v>10</v>
      </c>
      <c r="G57" s="2">
        <v>0.2</v>
      </c>
      <c r="H57" s="3">
        <v>45468</v>
      </c>
      <c r="I57" s="2">
        <v>257.33</v>
      </c>
    </row>
    <row r="58" hidden="1" spans="1:9">
      <c r="A58" s="2" t="s">
        <v>31</v>
      </c>
      <c r="B58" s="2" t="s">
        <v>91</v>
      </c>
      <c r="C58" s="2" t="s">
        <v>50</v>
      </c>
      <c r="D58" s="2" t="s">
        <v>20</v>
      </c>
      <c r="E58" s="2">
        <v>973.26</v>
      </c>
      <c r="F58" s="2">
        <v>11</v>
      </c>
      <c r="G58" s="2">
        <v>0</v>
      </c>
      <c r="H58" s="3">
        <v>45470</v>
      </c>
      <c r="I58" s="2">
        <v>389.3</v>
      </c>
    </row>
    <row r="59" hidden="1" spans="1:9">
      <c r="A59" s="2" t="s">
        <v>64</v>
      </c>
      <c r="B59" s="2" t="s">
        <v>89</v>
      </c>
      <c r="C59" s="2" t="s">
        <v>33</v>
      </c>
      <c r="D59" s="2" t="s">
        <v>29</v>
      </c>
      <c r="E59" s="2">
        <v>741.61</v>
      </c>
      <c r="F59" s="2">
        <v>1</v>
      </c>
      <c r="G59" s="2">
        <v>0.2</v>
      </c>
      <c r="H59" s="3">
        <v>45471</v>
      </c>
      <c r="I59" s="2">
        <v>148.32</v>
      </c>
    </row>
    <row r="60" spans="1:9">
      <c r="A60" s="2" t="s">
        <v>92</v>
      </c>
      <c r="B60" s="2" t="s">
        <v>56</v>
      </c>
      <c r="C60" s="2" t="s">
        <v>33</v>
      </c>
      <c r="D60" s="2" t="s">
        <v>20</v>
      </c>
      <c r="E60" s="2">
        <v>1248.82</v>
      </c>
      <c r="F60" s="2">
        <v>2</v>
      </c>
      <c r="G60" s="2">
        <v>0.1</v>
      </c>
      <c r="H60" s="3">
        <v>45473</v>
      </c>
      <c r="I60" s="2">
        <v>449.58</v>
      </c>
    </row>
    <row r="61" spans="1:9">
      <c r="A61" s="2" t="s">
        <v>21</v>
      </c>
      <c r="B61" s="2" t="s">
        <v>84</v>
      </c>
      <c r="C61" s="2" t="s">
        <v>19</v>
      </c>
      <c r="D61" s="2" t="s">
        <v>23</v>
      </c>
      <c r="E61" s="2">
        <v>1360.36</v>
      </c>
      <c r="F61" s="2">
        <v>17</v>
      </c>
      <c r="G61" s="2">
        <v>0</v>
      </c>
      <c r="H61" s="3">
        <v>45473</v>
      </c>
      <c r="I61" s="2">
        <v>680.18</v>
      </c>
    </row>
    <row r="62" spans="1:9">
      <c r="A62" s="2" t="s">
        <v>82</v>
      </c>
      <c r="B62" s="2" t="s">
        <v>45</v>
      </c>
      <c r="C62" s="2" t="s">
        <v>26</v>
      </c>
      <c r="D62" s="2" t="s">
        <v>20</v>
      </c>
      <c r="E62" s="2">
        <v>1383.3</v>
      </c>
      <c r="F62" s="2">
        <v>8</v>
      </c>
      <c r="G62" s="2">
        <v>0.1</v>
      </c>
      <c r="H62" s="3">
        <v>45478</v>
      </c>
      <c r="I62" s="2">
        <v>497.99</v>
      </c>
    </row>
    <row r="63" hidden="1" spans="1:9">
      <c r="A63" s="2" t="s">
        <v>52</v>
      </c>
      <c r="B63" s="2" t="s">
        <v>80</v>
      </c>
      <c r="C63" s="2" t="s">
        <v>50</v>
      </c>
      <c r="D63" s="2" t="s">
        <v>57</v>
      </c>
      <c r="E63" s="2">
        <v>488.99</v>
      </c>
      <c r="F63" s="2">
        <v>9</v>
      </c>
      <c r="G63" s="2">
        <v>0</v>
      </c>
      <c r="H63" s="3">
        <v>45479</v>
      </c>
      <c r="I63" s="2">
        <v>220.05</v>
      </c>
    </row>
    <row r="64" hidden="1" spans="1:9">
      <c r="A64" s="2" t="s">
        <v>44</v>
      </c>
      <c r="B64" s="2" t="s">
        <v>45</v>
      </c>
      <c r="C64" s="2" t="s">
        <v>26</v>
      </c>
      <c r="D64" s="2" t="s">
        <v>37</v>
      </c>
      <c r="E64" s="2">
        <v>933.71</v>
      </c>
      <c r="F64" s="2">
        <v>17</v>
      </c>
      <c r="G64" s="2">
        <v>0.1</v>
      </c>
      <c r="H64" s="3">
        <v>45481</v>
      </c>
      <c r="I64" s="2">
        <v>294.12</v>
      </c>
    </row>
    <row r="65" spans="1:9">
      <c r="A65" s="2" t="s">
        <v>92</v>
      </c>
      <c r="B65" s="2" t="s">
        <v>18</v>
      </c>
      <c r="C65" s="2" t="s">
        <v>19</v>
      </c>
      <c r="D65" s="2" t="s">
        <v>29</v>
      </c>
      <c r="E65" s="2">
        <v>1005.53</v>
      </c>
      <c r="F65" s="2">
        <v>17</v>
      </c>
      <c r="G65" s="2">
        <v>0.2</v>
      </c>
      <c r="H65" s="3">
        <v>45481</v>
      </c>
      <c r="I65" s="2">
        <v>201.11</v>
      </c>
    </row>
    <row r="66" spans="1:9">
      <c r="A66" s="2" t="s">
        <v>64</v>
      </c>
      <c r="B66" s="2" t="s">
        <v>86</v>
      </c>
      <c r="C66" s="2" t="s">
        <v>28</v>
      </c>
      <c r="D66" s="2" t="s">
        <v>29</v>
      </c>
      <c r="E66" s="2">
        <v>1100.1</v>
      </c>
      <c r="F66" s="2">
        <v>5</v>
      </c>
      <c r="G66" s="2">
        <v>0.05</v>
      </c>
      <c r="H66" s="3">
        <v>45482</v>
      </c>
      <c r="I66" s="2">
        <v>261.27</v>
      </c>
    </row>
    <row r="67" spans="1:9">
      <c r="A67" s="2" t="s">
        <v>92</v>
      </c>
      <c r="B67" s="2" t="s">
        <v>32</v>
      </c>
      <c r="C67" s="2" t="s">
        <v>33</v>
      </c>
      <c r="D67" s="2" t="s">
        <v>37</v>
      </c>
      <c r="E67" s="2">
        <v>1034.7</v>
      </c>
      <c r="F67" s="2">
        <v>15</v>
      </c>
      <c r="G67" s="2">
        <v>0.15</v>
      </c>
      <c r="H67" s="3">
        <v>45487</v>
      </c>
      <c r="I67" s="2">
        <v>307.82</v>
      </c>
    </row>
    <row r="68" hidden="1" spans="1:9">
      <c r="A68" s="2" t="s">
        <v>90</v>
      </c>
      <c r="B68" s="2" t="s">
        <v>45</v>
      </c>
      <c r="C68" s="2" t="s">
        <v>28</v>
      </c>
      <c r="D68" s="2" t="s">
        <v>20</v>
      </c>
      <c r="E68" s="2">
        <v>876.44</v>
      </c>
      <c r="F68" s="2">
        <v>12</v>
      </c>
      <c r="G68" s="2">
        <v>0.05</v>
      </c>
      <c r="H68" s="3">
        <v>45488</v>
      </c>
      <c r="I68" s="2">
        <v>333.05</v>
      </c>
    </row>
    <row r="69" spans="1:9">
      <c r="A69" s="2" t="s">
        <v>93</v>
      </c>
      <c r="B69" s="2" t="s">
        <v>80</v>
      </c>
      <c r="C69" s="2" t="s">
        <v>19</v>
      </c>
      <c r="D69" s="2" t="s">
        <v>37</v>
      </c>
      <c r="E69" s="2">
        <v>1371.34</v>
      </c>
      <c r="F69" s="2">
        <v>5</v>
      </c>
      <c r="G69" s="2">
        <v>0.05</v>
      </c>
      <c r="H69" s="3">
        <v>45488</v>
      </c>
      <c r="I69" s="2">
        <v>455.97</v>
      </c>
    </row>
    <row r="70" spans="1:9">
      <c r="A70" s="2" t="s">
        <v>82</v>
      </c>
      <c r="B70" s="2" t="s">
        <v>72</v>
      </c>
      <c r="C70" s="2" t="s">
        <v>33</v>
      </c>
      <c r="D70" s="2" t="s">
        <v>29</v>
      </c>
      <c r="E70" s="2">
        <v>1020.26</v>
      </c>
      <c r="F70" s="2">
        <v>11</v>
      </c>
      <c r="G70" s="2">
        <v>0.05</v>
      </c>
      <c r="H70" s="3">
        <v>45494</v>
      </c>
      <c r="I70" s="2">
        <v>242.31</v>
      </c>
    </row>
    <row r="71" hidden="1" spans="1:9">
      <c r="A71" s="2" t="s">
        <v>68</v>
      </c>
      <c r="B71" s="2" t="s">
        <v>18</v>
      </c>
      <c r="C71" s="2" t="s">
        <v>50</v>
      </c>
      <c r="D71" s="2" t="s">
        <v>57</v>
      </c>
      <c r="E71" s="2">
        <v>804.81</v>
      </c>
      <c r="F71" s="2">
        <v>1</v>
      </c>
      <c r="G71" s="2">
        <v>0.05</v>
      </c>
      <c r="H71" s="3">
        <v>45502</v>
      </c>
      <c r="I71" s="2">
        <v>344.06</v>
      </c>
    </row>
    <row r="72" hidden="1" spans="1:9">
      <c r="A72" s="2" t="s">
        <v>31</v>
      </c>
      <c r="B72" s="2" t="s">
        <v>80</v>
      </c>
      <c r="C72" s="2" t="s">
        <v>50</v>
      </c>
      <c r="D72" s="2" t="s">
        <v>29</v>
      </c>
      <c r="E72" s="2">
        <v>608.66</v>
      </c>
      <c r="F72" s="2">
        <v>1</v>
      </c>
      <c r="G72" s="2">
        <v>0.05</v>
      </c>
      <c r="H72" s="3">
        <v>45503</v>
      </c>
      <c r="I72" s="2">
        <v>144.56</v>
      </c>
    </row>
    <row r="73" hidden="1" spans="1:9">
      <c r="A73" s="2" t="s">
        <v>93</v>
      </c>
      <c r="B73" s="2" t="s">
        <v>94</v>
      </c>
      <c r="C73" s="2" t="s">
        <v>28</v>
      </c>
      <c r="D73" s="2" t="s">
        <v>57</v>
      </c>
      <c r="E73" s="2">
        <v>981.2</v>
      </c>
      <c r="F73" s="2">
        <v>19</v>
      </c>
      <c r="G73" s="2">
        <v>0</v>
      </c>
      <c r="H73" s="3">
        <v>45504</v>
      </c>
      <c r="I73" s="2">
        <v>441.54</v>
      </c>
    </row>
    <row r="74" hidden="1" spans="1:9">
      <c r="A74" s="2" t="s">
        <v>95</v>
      </c>
      <c r="B74" s="2" t="s">
        <v>80</v>
      </c>
      <c r="C74" s="2" t="s">
        <v>26</v>
      </c>
      <c r="D74" s="2" t="s">
        <v>29</v>
      </c>
      <c r="E74" s="2">
        <v>539.77</v>
      </c>
      <c r="F74" s="2">
        <v>10</v>
      </c>
      <c r="G74" s="2">
        <v>0.15</v>
      </c>
      <c r="H74" s="3">
        <v>45509</v>
      </c>
      <c r="I74" s="2">
        <v>114.7</v>
      </c>
    </row>
    <row r="75" hidden="1" spans="1:9">
      <c r="A75" s="2" t="s">
        <v>21</v>
      </c>
      <c r="B75" s="2" t="s">
        <v>96</v>
      </c>
      <c r="C75" s="2" t="s">
        <v>28</v>
      </c>
      <c r="D75" s="2" t="s">
        <v>20</v>
      </c>
      <c r="E75" s="2">
        <v>804.45</v>
      </c>
      <c r="F75" s="2">
        <v>5</v>
      </c>
      <c r="G75" s="2">
        <v>0.2</v>
      </c>
      <c r="H75" s="3">
        <v>45509</v>
      </c>
      <c r="I75" s="2">
        <v>257.42</v>
      </c>
    </row>
    <row r="76" spans="1:9">
      <c r="A76" s="2" t="s">
        <v>95</v>
      </c>
      <c r="B76" s="2" t="s">
        <v>56</v>
      </c>
      <c r="C76" s="2" t="s">
        <v>19</v>
      </c>
      <c r="D76" s="2" t="s">
        <v>29</v>
      </c>
      <c r="E76" s="2">
        <v>1526.6</v>
      </c>
      <c r="F76" s="2">
        <v>13</v>
      </c>
      <c r="G76" s="2">
        <v>0.2</v>
      </c>
      <c r="H76" s="3">
        <v>45512</v>
      </c>
      <c r="I76" s="2">
        <v>305.32</v>
      </c>
    </row>
    <row r="77" spans="1:9">
      <c r="A77" s="2" t="s">
        <v>21</v>
      </c>
      <c r="B77" s="2" t="s">
        <v>40</v>
      </c>
      <c r="C77" s="2" t="s">
        <v>19</v>
      </c>
      <c r="D77" s="2" t="s">
        <v>29</v>
      </c>
      <c r="E77" s="2">
        <v>1215.26</v>
      </c>
      <c r="F77" s="2">
        <v>5</v>
      </c>
      <c r="G77" s="2">
        <v>0.15</v>
      </c>
      <c r="H77" s="3">
        <v>45513</v>
      </c>
      <c r="I77" s="2">
        <v>258.24</v>
      </c>
    </row>
    <row r="78" spans="1:9">
      <c r="A78" s="2" t="s">
        <v>27</v>
      </c>
      <c r="B78" s="2" t="s">
        <v>78</v>
      </c>
      <c r="C78" s="2" t="s">
        <v>50</v>
      </c>
      <c r="D78" s="2" t="s">
        <v>37</v>
      </c>
      <c r="E78" s="2">
        <v>1261.34</v>
      </c>
      <c r="F78" s="2">
        <v>3</v>
      </c>
      <c r="G78" s="2">
        <v>0</v>
      </c>
      <c r="H78" s="3">
        <v>45519</v>
      </c>
      <c r="I78" s="2">
        <v>441.47</v>
      </c>
    </row>
    <row r="79" hidden="1" spans="1:9">
      <c r="A79" s="2" t="s">
        <v>97</v>
      </c>
      <c r="B79" s="2" t="s">
        <v>69</v>
      </c>
      <c r="C79" s="2" t="s">
        <v>33</v>
      </c>
      <c r="D79" s="2" t="s">
        <v>37</v>
      </c>
      <c r="E79" s="2">
        <v>518.07</v>
      </c>
      <c r="F79" s="2">
        <v>7</v>
      </c>
      <c r="G79" s="2">
        <v>0.05</v>
      </c>
      <c r="H79" s="3">
        <v>45522</v>
      </c>
      <c r="I79" s="2">
        <v>172.26</v>
      </c>
    </row>
    <row r="80" spans="1:9">
      <c r="A80" s="2" t="s">
        <v>44</v>
      </c>
      <c r="B80" s="2" t="s">
        <v>40</v>
      </c>
      <c r="C80" s="2" t="s">
        <v>19</v>
      </c>
      <c r="D80" s="2" t="s">
        <v>57</v>
      </c>
      <c r="E80" s="2">
        <v>1111.34</v>
      </c>
      <c r="F80" s="2">
        <v>1</v>
      </c>
      <c r="G80" s="2">
        <v>0</v>
      </c>
      <c r="H80" s="3">
        <v>45523</v>
      </c>
      <c r="I80" s="2">
        <v>500.1</v>
      </c>
    </row>
    <row r="81" spans="1:9">
      <c r="A81" s="2" t="s">
        <v>31</v>
      </c>
      <c r="B81" s="2" t="s">
        <v>45</v>
      </c>
      <c r="C81" s="2" t="s">
        <v>26</v>
      </c>
      <c r="D81" s="2" t="s">
        <v>23</v>
      </c>
      <c r="E81" s="2">
        <v>1291.47</v>
      </c>
      <c r="F81" s="2">
        <v>18</v>
      </c>
      <c r="G81" s="2">
        <v>0.1</v>
      </c>
      <c r="H81" s="3">
        <v>45526</v>
      </c>
      <c r="I81" s="2">
        <v>581.16</v>
      </c>
    </row>
    <row r="82" hidden="1" spans="1:9">
      <c r="A82" s="2" t="s">
        <v>35</v>
      </c>
      <c r="B82" s="2" t="s">
        <v>80</v>
      </c>
      <c r="C82" s="2" t="s">
        <v>33</v>
      </c>
      <c r="D82" s="2" t="s">
        <v>20</v>
      </c>
      <c r="E82" s="2">
        <v>679.71</v>
      </c>
      <c r="F82" s="2">
        <v>19</v>
      </c>
      <c r="G82" s="2">
        <v>0</v>
      </c>
      <c r="H82" s="3">
        <v>45534</v>
      </c>
      <c r="I82" s="2">
        <v>271.88</v>
      </c>
    </row>
    <row r="83" spans="1:9">
      <c r="A83" s="2" t="s">
        <v>93</v>
      </c>
      <c r="B83" s="2" t="s">
        <v>49</v>
      </c>
      <c r="C83" s="2" t="s">
        <v>26</v>
      </c>
      <c r="D83" s="2" t="s">
        <v>37</v>
      </c>
      <c r="E83" s="2">
        <v>1143.69</v>
      </c>
      <c r="F83" s="2">
        <v>17</v>
      </c>
      <c r="G83" s="2">
        <v>0</v>
      </c>
      <c r="H83" s="3">
        <v>45534</v>
      </c>
      <c r="I83" s="2">
        <v>400.29</v>
      </c>
    </row>
    <row r="84" hidden="1" spans="1:9">
      <c r="A84" s="2" t="s">
        <v>77</v>
      </c>
      <c r="B84" s="2" t="s">
        <v>75</v>
      </c>
      <c r="C84" s="2" t="s">
        <v>50</v>
      </c>
      <c r="D84" s="2" t="s">
        <v>29</v>
      </c>
      <c r="E84" s="2">
        <v>790.08</v>
      </c>
      <c r="F84" s="2">
        <v>7</v>
      </c>
      <c r="G84" s="2">
        <v>0.1</v>
      </c>
      <c r="H84" s="3">
        <v>45536</v>
      </c>
      <c r="I84" s="2">
        <v>177.77</v>
      </c>
    </row>
    <row r="85" spans="1:9">
      <c r="A85" s="2" t="s">
        <v>27</v>
      </c>
      <c r="B85" s="2" t="s">
        <v>73</v>
      </c>
      <c r="C85" s="2" t="s">
        <v>50</v>
      </c>
      <c r="D85" s="2" t="s">
        <v>20</v>
      </c>
      <c r="E85" s="2">
        <v>1070.68</v>
      </c>
      <c r="F85" s="2">
        <v>7</v>
      </c>
      <c r="G85" s="2">
        <v>0.05</v>
      </c>
      <c r="H85" s="3">
        <v>45536</v>
      </c>
      <c r="I85" s="2">
        <v>406.86</v>
      </c>
    </row>
    <row r="86" spans="1:9">
      <c r="A86" s="2" t="s">
        <v>83</v>
      </c>
      <c r="B86" s="2" t="s">
        <v>53</v>
      </c>
      <c r="C86" s="2" t="s">
        <v>19</v>
      </c>
      <c r="D86" s="2" t="s">
        <v>23</v>
      </c>
      <c r="E86" s="2">
        <v>1168.89</v>
      </c>
      <c r="F86" s="2">
        <v>4</v>
      </c>
      <c r="G86" s="2">
        <v>0.1</v>
      </c>
      <c r="H86" s="3">
        <v>45544</v>
      </c>
      <c r="I86" s="2">
        <v>526</v>
      </c>
    </row>
    <row r="87" spans="1:9">
      <c r="A87" s="2" t="s">
        <v>92</v>
      </c>
      <c r="B87" s="2" t="s">
        <v>18</v>
      </c>
      <c r="C87" s="2" t="s">
        <v>28</v>
      </c>
      <c r="D87" s="2" t="s">
        <v>29</v>
      </c>
      <c r="E87" s="2">
        <v>1335.87</v>
      </c>
      <c r="F87" s="2">
        <v>17</v>
      </c>
      <c r="G87" s="2">
        <v>0</v>
      </c>
      <c r="H87" s="3">
        <v>45544</v>
      </c>
      <c r="I87" s="2">
        <v>333.97</v>
      </c>
    </row>
    <row r="88" hidden="1" spans="1:9">
      <c r="A88" s="2" t="s">
        <v>62</v>
      </c>
      <c r="B88" s="2" t="s">
        <v>80</v>
      </c>
      <c r="C88" s="2" t="s">
        <v>26</v>
      </c>
      <c r="D88" s="2" t="s">
        <v>37</v>
      </c>
      <c r="E88" s="2">
        <v>873.7</v>
      </c>
      <c r="F88" s="2">
        <v>9</v>
      </c>
      <c r="G88" s="2">
        <v>0</v>
      </c>
      <c r="H88" s="3">
        <v>45546</v>
      </c>
      <c r="I88" s="2">
        <v>305.8</v>
      </c>
    </row>
    <row r="89" spans="1:9">
      <c r="A89" s="2" t="s">
        <v>97</v>
      </c>
      <c r="B89" s="2" t="s">
        <v>89</v>
      </c>
      <c r="C89" s="2" t="s">
        <v>19</v>
      </c>
      <c r="D89" s="2" t="s">
        <v>57</v>
      </c>
      <c r="E89" s="2">
        <v>1443.98</v>
      </c>
      <c r="F89" s="2">
        <v>19</v>
      </c>
      <c r="G89" s="2">
        <v>0</v>
      </c>
      <c r="H89" s="3">
        <v>45547</v>
      </c>
      <c r="I89" s="2">
        <v>649.79</v>
      </c>
    </row>
    <row r="90" spans="1:9">
      <c r="A90" s="2" t="s">
        <v>62</v>
      </c>
      <c r="B90" s="2" t="s">
        <v>32</v>
      </c>
      <c r="C90" s="2" t="s">
        <v>26</v>
      </c>
      <c r="D90" s="2" t="s">
        <v>57</v>
      </c>
      <c r="E90" s="2">
        <v>1154.33</v>
      </c>
      <c r="F90" s="2">
        <v>11</v>
      </c>
      <c r="G90" s="2">
        <v>0.15</v>
      </c>
      <c r="H90" s="3">
        <v>45549</v>
      </c>
      <c r="I90" s="2">
        <v>441.53</v>
      </c>
    </row>
    <row r="91" spans="1:9">
      <c r="A91" s="2" t="s">
        <v>74</v>
      </c>
      <c r="B91" s="2" t="s">
        <v>75</v>
      </c>
      <c r="C91" s="2" t="s">
        <v>28</v>
      </c>
      <c r="D91" s="2" t="s">
        <v>20</v>
      </c>
      <c r="E91" s="2">
        <v>1264.49</v>
      </c>
      <c r="F91" s="2">
        <v>16</v>
      </c>
      <c r="G91" s="2">
        <v>0.05</v>
      </c>
      <c r="H91" s="3">
        <v>45549</v>
      </c>
      <c r="I91" s="2">
        <v>480.51</v>
      </c>
    </row>
    <row r="92" spans="1:9">
      <c r="A92" s="2" t="s">
        <v>35</v>
      </c>
      <c r="B92" s="2" t="s">
        <v>91</v>
      </c>
      <c r="C92" s="2" t="s">
        <v>19</v>
      </c>
      <c r="D92" s="2" t="s">
        <v>37</v>
      </c>
      <c r="E92" s="2">
        <v>1101.55</v>
      </c>
      <c r="F92" s="2">
        <v>4</v>
      </c>
      <c r="G92" s="2">
        <v>0.1</v>
      </c>
      <c r="H92" s="3">
        <v>45551</v>
      </c>
      <c r="I92" s="2">
        <v>346.99</v>
      </c>
    </row>
    <row r="93" hidden="1" spans="1:9">
      <c r="A93" s="2" t="s">
        <v>98</v>
      </c>
      <c r="B93" s="2" t="s">
        <v>22</v>
      </c>
      <c r="C93" s="2" t="s">
        <v>28</v>
      </c>
      <c r="D93" s="2" t="s">
        <v>37</v>
      </c>
      <c r="E93" s="2">
        <v>727.73</v>
      </c>
      <c r="F93" s="2">
        <v>1</v>
      </c>
      <c r="G93" s="2">
        <v>0.1</v>
      </c>
      <c r="H93" s="3">
        <v>45552</v>
      </c>
      <c r="I93" s="2">
        <v>229.23</v>
      </c>
    </row>
    <row r="94" hidden="1" spans="1:9">
      <c r="A94" s="2" t="s">
        <v>99</v>
      </c>
      <c r="B94" s="2" t="s">
        <v>56</v>
      </c>
      <c r="C94" s="2" t="s">
        <v>26</v>
      </c>
      <c r="D94" s="2" t="s">
        <v>57</v>
      </c>
      <c r="E94" s="2">
        <v>875.41</v>
      </c>
      <c r="F94" s="2">
        <v>13</v>
      </c>
      <c r="G94" s="2">
        <v>0.15</v>
      </c>
      <c r="H94" s="3">
        <v>45552</v>
      </c>
      <c r="I94" s="2">
        <v>334.84</v>
      </c>
    </row>
    <row r="95" spans="1:9">
      <c r="A95" s="2" t="s">
        <v>92</v>
      </c>
      <c r="B95" s="2" t="s">
        <v>32</v>
      </c>
      <c r="C95" s="2" t="s">
        <v>19</v>
      </c>
      <c r="D95" s="2" t="s">
        <v>29</v>
      </c>
      <c r="E95" s="2">
        <v>1158.94</v>
      </c>
      <c r="F95" s="2">
        <v>19</v>
      </c>
      <c r="G95" s="2">
        <v>0.2</v>
      </c>
      <c r="H95" s="3">
        <v>45553</v>
      </c>
      <c r="I95" s="2">
        <v>231.79</v>
      </c>
    </row>
    <row r="96" hidden="1" spans="1:9">
      <c r="A96" s="2" t="s">
        <v>100</v>
      </c>
      <c r="B96" s="2" t="s">
        <v>72</v>
      </c>
      <c r="C96" s="2" t="s">
        <v>28</v>
      </c>
      <c r="D96" s="2" t="s">
        <v>20</v>
      </c>
      <c r="E96" s="2">
        <v>966.3</v>
      </c>
      <c r="F96" s="2">
        <v>2</v>
      </c>
      <c r="G96" s="2">
        <v>0.15</v>
      </c>
      <c r="H96" s="3">
        <v>45557</v>
      </c>
      <c r="I96" s="2">
        <v>328.54</v>
      </c>
    </row>
    <row r="97" hidden="1" spans="1:9">
      <c r="A97" s="2" t="s">
        <v>93</v>
      </c>
      <c r="B97" s="2" t="s">
        <v>25</v>
      </c>
      <c r="C97" s="2" t="s">
        <v>28</v>
      </c>
      <c r="D97" s="2" t="s">
        <v>20</v>
      </c>
      <c r="E97" s="2">
        <v>917.48</v>
      </c>
      <c r="F97" s="2">
        <v>6</v>
      </c>
      <c r="G97" s="2">
        <v>0</v>
      </c>
      <c r="H97" s="3">
        <v>45558</v>
      </c>
      <c r="I97" s="2">
        <v>366.99</v>
      </c>
    </row>
    <row r="98" spans="1:9">
      <c r="A98" s="2" t="s">
        <v>64</v>
      </c>
      <c r="B98" s="2" t="s">
        <v>86</v>
      </c>
      <c r="C98" s="2" t="s">
        <v>19</v>
      </c>
      <c r="D98" s="2" t="s">
        <v>37</v>
      </c>
      <c r="E98" s="2">
        <v>1172.97</v>
      </c>
      <c r="F98" s="2">
        <v>7</v>
      </c>
      <c r="G98" s="2">
        <v>0.15</v>
      </c>
      <c r="H98" s="3">
        <v>45559</v>
      </c>
      <c r="I98" s="2">
        <v>348.96</v>
      </c>
    </row>
    <row r="99" spans="1:9">
      <c r="A99" s="2" t="s">
        <v>82</v>
      </c>
      <c r="B99" s="2" t="s">
        <v>32</v>
      </c>
      <c r="C99" s="2" t="s">
        <v>33</v>
      </c>
      <c r="D99" s="2" t="s">
        <v>23</v>
      </c>
      <c r="E99" s="2">
        <v>1205.82</v>
      </c>
      <c r="F99" s="2">
        <v>11</v>
      </c>
      <c r="G99" s="2">
        <v>0.1</v>
      </c>
      <c r="H99" s="3">
        <v>45559</v>
      </c>
      <c r="I99" s="2">
        <v>542.62</v>
      </c>
    </row>
    <row r="100" hidden="1" spans="1:9">
      <c r="A100" s="2" t="s">
        <v>24</v>
      </c>
      <c r="B100" s="2" t="s">
        <v>89</v>
      </c>
      <c r="C100" s="2" t="s">
        <v>19</v>
      </c>
      <c r="D100" s="2" t="s">
        <v>57</v>
      </c>
      <c r="E100" s="2">
        <v>826.93</v>
      </c>
      <c r="F100" s="2">
        <v>10</v>
      </c>
      <c r="G100" s="2">
        <v>0.2</v>
      </c>
      <c r="H100" s="3">
        <v>45564</v>
      </c>
      <c r="I100" s="2">
        <v>297.69</v>
      </c>
    </row>
    <row r="101" hidden="1" spans="1:9">
      <c r="A101" s="2" t="s">
        <v>92</v>
      </c>
      <c r="B101" s="2" t="s">
        <v>32</v>
      </c>
      <c r="C101" s="2" t="s">
        <v>50</v>
      </c>
      <c r="D101" s="2" t="s">
        <v>23</v>
      </c>
      <c r="E101" s="2">
        <v>902.19</v>
      </c>
      <c r="F101" s="2">
        <v>12</v>
      </c>
      <c r="G101" s="2">
        <v>0</v>
      </c>
      <c r="H101" s="3">
        <v>45564</v>
      </c>
      <c r="I101" s="2">
        <v>451.1</v>
      </c>
    </row>
    <row r="102" hidden="1" spans="1:9">
      <c r="A102" s="2" t="s">
        <v>99</v>
      </c>
      <c r="B102" s="2" t="s">
        <v>56</v>
      </c>
      <c r="C102" s="2" t="s">
        <v>33</v>
      </c>
      <c r="D102" s="2" t="s">
        <v>20</v>
      </c>
      <c r="E102" s="2">
        <v>585.97</v>
      </c>
      <c r="F102" s="2">
        <v>17</v>
      </c>
      <c r="G102" s="2">
        <v>0.1</v>
      </c>
      <c r="H102" s="3">
        <v>45565</v>
      </c>
      <c r="I102" s="2">
        <v>210.95</v>
      </c>
    </row>
    <row r="103" hidden="1" spans="1:9">
      <c r="A103" s="2" t="s">
        <v>85</v>
      </c>
      <c r="B103" s="2" t="s">
        <v>36</v>
      </c>
      <c r="C103" s="2" t="s">
        <v>33</v>
      </c>
      <c r="D103" s="2" t="s">
        <v>23</v>
      </c>
      <c r="E103" s="2">
        <v>990.19</v>
      </c>
      <c r="F103" s="2">
        <v>8</v>
      </c>
      <c r="G103" s="2">
        <v>0.1</v>
      </c>
      <c r="H103" s="3">
        <v>45565</v>
      </c>
      <c r="I103" s="2">
        <v>445.59</v>
      </c>
    </row>
    <row r="104" spans="1:9">
      <c r="A104" s="2" t="s">
        <v>68</v>
      </c>
      <c r="B104" s="2" t="s">
        <v>81</v>
      </c>
      <c r="C104" s="2" t="s">
        <v>50</v>
      </c>
      <c r="D104" s="2" t="s">
        <v>29</v>
      </c>
      <c r="E104" s="2">
        <v>1014.09</v>
      </c>
      <c r="F104" s="2">
        <v>13</v>
      </c>
      <c r="G104" s="2">
        <v>0.2</v>
      </c>
      <c r="H104" s="3">
        <v>45567</v>
      </c>
      <c r="I104" s="2">
        <v>202.82</v>
      </c>
    </row>
    <row r="105" hidden="1" spans="1:9">
      <c r="A105" s="2" t="s">
        <v>21</v>
      </c>
      <c r="B105" s="2" t="s">
        <v>73</v>
      </c>
      <c r="C105" s="2" t="s">
        <v>33</v>
      </c>
      <c r="D105" s="2" t="s">
        <v>29</v>
      </c>
      <c r="E105" s="2">
        <v>925.29</v>
      </c>
      <c r="F105" s="2">
        <v>17</v>
      </c>
      <c r="G105" s="2">
        <v>0</v>
      </c>
      <c r="H105" s="3">
        <v>45570</v>
      </c>
      <c r="I105" s="2">
        <v>231.32</v>
      </c>
    </row>
    <row r="106" spans="1:9">
      <c r="A106" s="2" t="s">
        <v>79</v>
      </c>
      <c r="B106" s="2" t="s">
        <v>72</v>
      </c>
      <c r="C106" s="2" t="s">
        <v>26</v>
      </c>
      <c r="D106" s="2" t="s">
        <v>37</v>
      </c>
      <c r="E106" s="2">
        <v>1286.54</v>
      </c>
      <c r="F106" s="2">
        <v>8</v>
      </c>
      <c r="G106" s="2">
        <v>0</v>
      </c>
      <c r="H106" s="3">
        <v>45575</v>
      </c>
      <c r="I106" s="2">
        <v>450.29</v>
      </c>
    </row>
    <row r="107" hidden="1" spans="1:9">
      <c r="A107" s="2" t="s">
        <v>55</v>
      </c>
      <c r="B107" s="2" t="s">
        <v>89</v>
      </c>
      <c r="C107" s="2" t="s">
        <v>28</v>
      </c>
      <c r="D107" s="2" t="s">
        <v>20</v>
      </c>
      <c r="E107" s="2">
        <v>961.62</v>
      </c>
      <c r="F107" s="2">
        <v>8</v>
      </c>
      <c r="G107" s="2">
        <v>0.2</v>
      </c>
      <c r="H107" s="3">
        <v>45577</v>
      </c>
      <c r="I107" s="2">
        <v>307.72</v>
      </c>
    </row>
    <row r="108" spans="1:9">
      <c r="A108" s="2" t="s">
        <v>68</v>
      </c>
      <c r="B108" s="2" t="s">
        <v>32</v>
      </c>
      <c r="C108" s="2" t="s">
        <v>26</v>
      </c>
      <c r="D108" s="2" t="s">
        <v>20</v>
      </c>
      <c r="E108" s="2">
        <v>1081.14</v>
      </c>
      <c r="F108" s="2">
        <v>19</v>
      </c>
      <c r="G108" s="2">
        <v>0.15</v>
      </c>
      <c r="H108" s="3">
        <v>45577</v>
      </c>
      <c r="I108" s="2">
        <v>367.59</v>
      </c>
    </row>
    <row r="109" spans="1:9">
      <c r="A109" s="2" t="s">
        <v>83</v>
      </c>
      <c r="B109" s="2" t="s">
        <v>32</v>
      </c>
      <c r="C109" s="2" t="s">
        <v>19</v>
      </c>
      <c r="D109" s="2" t="s">
        <v>23</v>
      </c>
      <c r="E109" s="2">
        <v>1923.66</v>
      </c>
      <c r="F109" s="2">
        <v>9</v>
      </c>
      <c r="G109" s="2">
        <v>0.2</v>
      </c>
      <c r="H109" s="3">
        <v>45580</v>
      </c>
      <c r="I109" s="2">
        <v>769.46</v>
      </c>
    </row>
    <row r="110" hidden="1" spans="1:9">
      <c r="A110" s="2" t="s">
        <v>79</v>
      </c>
      <c r="B110" s="2" t="s">
        <v>91</v>
      </c>
      <c r="C110" s="2" t="s">
        <v>50</v>
      </c>
      <c r="D110" s="2" t="s">
        <v>23</v>
      </c>
      <c r="E110" s="2">
        <v>728.71</v>
      </c>
      <c r="F110" s="2">
        <v>14</v>
      </c>
      <c r="G110" s="2">
        <v>0.1</v>
      </c>
      <c r="H110" s="3">
        <v>45581</v>
      </c>
      <c r="I110" s="2">
        <v>327.92</v>
      </c>
    </row>
    <row r="111" spans="1:9">
      <c r="A111" s="2" t="s">
        <v>17</v>
      </c>
      <c r="B111" s="2" t="s">
        <v>49</v>
      </c>
      <c r="C111" s="2" t="s">
        <v>50</v>
      </c>
      <c r="D111" s="2" t="s">
        <v>23</v>
      </c>
      <c r="E111" s="2">
        <v>1301.89</v>
      </c>
      <c r="F111" s="2">
        <v>7</v>
      </c>
      <c r="G111" s="2">
        <v>0.15</v>
      </c>
      <c r="H111" s="3">
        <v>45581</v>
      </c>
      <c r="I111" s="2">
        <v>553.3</v>
      </c>
    </row>
    <row r="112" hidden="1" spans="1:9">
      <c r="A112" s="2" t="s">
        <v>95</v>
      </c>
      <c r="B112" s="2" t="s">
        <v>91</v>
      </c>
      <c r="C112" s="2" t="s">
        <v>26</v>
      </c>
      <c r="D112" s="2" t="s">
        <v>20</v>
      </c>
      <c r="E112" s="2">
        <v>980.18</v>
      </c>
      <c r="F112" s="2">
        <v>16</v>
      </c>
      <c r="G112" s="2">
        <v>0.1</v>
      </c>
      <c r="H112" s="3">
        <v>45582</v>
      </c>
      <c r="I112" s="2">
        <v>352.86</v>
      </c>
    </row>
    <row r="113" hidden="1" spans="1:9">
      <c r="A113" s="2" t="s">
        <v>99</v>
      </c>
      <c r="B113" s="2" t="s">
        <v>32</v>
      </c>
      <c r="C113" s="2" t="s">
        <v>19</v>
      </c>
      <c r="D113" s="2" t="s">
        <v>23</v>
      </c>
      <c r="E113" s="2">
        <v>697.57</v>
      </c>
      <c r="F113" s="2">
        <v>17</v>
      </c>
      <c r="G113" s="2">
        <v>0.1</v>
      </c>
      <c r="H113" s="3">
        <v>45584</v>
      </c>
      <c r="I113" s="2">
        <v>313.91</v>
      </c>
    </row>
    <row r="114" spans="1:9">
      <c r="A114" s="2" t="s">
        <v>71</v>
      </c>
      <c r="B114" s="2" t="s">
        <v>96</v>
      </c>
      <c r="C114" s="2" t="s">
        <v>19</v>
      </c>
      <c r="D114" s="2" t="s">
        <v>37</v>
      </c>
      <c r="E114" s="2">
        <v>1193.61</v>
      </c>
      <c r="F114" s="2">
        <v>1</v>
      </c>
      <c r="G114" s="2">
        <v>0.15</v>
      </c>
      <c r="H114" s="3">
        <v>45584</v>
      </c>
      <c r="I114" s="2">
        <v>355.1</v>
      </c>
    </row>
    <row r="115" hidden="1" spans="1:9">
      <c r="A115" s="2" t="s">
        <v>48</v>
      </c>
      <c r="B115" s="2" t="s">
        <v>56</v>
      </c>
      <c r="C115" s="2" t="s">
        <v>28</v>
      </c>
      <c r="D115" s="2" t="s">
        <v>29</v>
      </c>
      <c r="E115" s="2">
        <v>771.02</v>
      </c>
      <c r="F115" s="2">
        <v>1</v>
      </c>
      <c r="G115" s="2">
        <v>0</v>
      </c>
      <c r="H115" s="3">
        <v>45585</v>
      </c>
      <c r="I115" s="2">
        <v>192.76</v>
      </c>
    </row>
    <row r="116" hidden="1" spans="1:9">
      <c r="A116" s="2" t="s">
        <v>92</v>
      </c>
      <c r="B116" s="2" t="s">
        <v>94</v>
      </c>
      <c r="C116" s="2" t="s">
        <v>33</v>
      </c>
      <c r="D116" s="2" t="s">
        <v>23</v>
      </c>
      <c r="E116" s="2">
        <v>661.09</v>
      </c>
      <c r="F116" s="2">
        <v>1</v>
      </c>
      <c r="G116" s="2">
        <v>0.2</v>
      </c>
      <c r="H116" s="3">
        <v>45593</v>
      </c>
      <c r="I116" s="2">
        <v>264.44</v>
      </c>
    </row>
    <row r="117" hidden="1" spans="1:9">
      <c r="A117" s="2" t="s">
        <v>21</v>
      </c>
      <c r="B117" s="2" t="s">
        <v>80</v>
      </c>
      <c r="C117" s="2" t="s">
        <v>19</v>
      </c>
      <c r="D117" s="2" t="s">
        <v>29</v>
      </c>
      <c r="E117" s="2">
        <v>688.83</v>
      </c>
      <c r="F117" s="2">
        <v>15</v>
      </c>
      <c r="G117" s="2">
        <v>0</v>
      </c>
      <c r="H117" s="3">
        <v>45595</v>
      </c>
      <c r="I117" s="2">
        <v>172.21</v>
      </c>
    </row>
    <row r="118" spans="1:9">
      <c r="A118" s="2" t="s">
        <v>98</v>
      </c>
      <c r="B118" s="2" t="s">
        <v>40</v>
      </c>
      <c r="C118" s="2" t="s">
        <v>50</v>
      </c>
      <c r="D118" s="2" t="s">
        <v>20</v>
      </c>
      <c r="E118" s="2">
        <v>1249.1</v>
      </c>
      <c r="F118" s="2">
        <v>4</v>
      </c>
      <c r="G118" s="2">
        <v>0.05</v>
      </c>
      <c r="H118" s="3">
        <v>45597</v>
      </c>
      <c r="I118" s="2">
        <v>474.66</v>
      </c>
    </row>
    <row r="119" spans="1:9">
      <c r="A119" s="2" t="s">
        <v>68</v>
      </c>
      <c r="B119" s="2" t="s">
        <v>32</v>
      </c>
      <c r="C119" s="2" t="s">
        <v>26</v>
      </c>
      <c r="D119" s="2" t="s">
        <v>57</v>
      </c>
      <c r="E119" s="2">
        <v>1014.22</v>
      </c>
      <c r="F119" s="2">
        <v>14</v>
      </c>
      <c r="G119" s="2">
        <v>0.05</v>
      </c>
      <c r="H119" s="3">
        <v>45599</v>
      </c>
      <c r="I119" s="2">
        <v>433.58</v>
      </c>
    </row>
    <row r="120" spans="1:9">
      <c r="A120" s="2" t="s">
        <v>79</v>
      </c>
      <c r="B120" s="2" t="s">
        <v>73</v>
      </c>
      <c r="C120" s="2" t="s">
        <v>26</v>
      </c>
      <c r="D120" s="2" t="s">
        <v>20</v>
      </c>
      <c r="E120" s="2">
        <v>1010.58</v>
      </c>
      <c r="F120" s="2">
        <v>2</v>
      </c>
      <c r="G120" s="2">
        <v>0.15</v>
      </c>
      <c r="H120" s="3">
        <v>45605</v>
      </c>
      <c r="I120" s="2">
        <v>343.6</v>
      </c>
    </row>
    <row r="121" hidden="1" spans="1:9">
      <c r="A121" s="2" t="s">
        <v>44</v>
      </c>
      <c r="B121" s="2" t="s">
        <v>84</v>
      </c>
      <c r="C121" s="2" t="s">
        <v>33</v>
      </c>
      <c r="D121" s="2" t="s">
        <v>37</v>
      </c>
      <c r="E121" s="2">
        <v>957.29</v>
      </c>
      <c r="F121" s="2">
        <v>4</v>
      </c>
      <c r="G121" s="2">
        <v>0.05</v>
      </c>
      <c r="H121" s="3">
        <v>45605</v>
      </c>
      <c r="I121" s="2">
        <v>318.3</v>
      </c>
    </row>
    <row r="122" spans="1:9">
      <c r="A122" s="2" t="s">
        <v>39</v>
      </c>
      <c r="B122" s="2" t="s">
        <v>69</v>
      </c>
      <c r="C122" s="2" t="s">
        <v>33</v>
      </c>
      <c r="D122" s="2" t="s">
        <v>37</v>
      </c>
      <c r="E122" s="2">
        <v>1077.92</v>
      </c>
      <c r="F122" s="2">
        <v>3</v>
      </c>
      <c r="G122" s="2">
        <v>0.05</v>
      </c>
      <c r="H122" s="3">
        <v>45608</v>
      </c>
      <c r="I122" s="2">
        <v>358.41</v>
      </c>
    </row>
    <row r="123" spans="1:9">
      <c r="A123" s="2" t="s">
        <v>77</v>
      </c>
      <c r="B123" s="2" t="s">
        <v>75</v>
      </c>
      <c r="C123" s="2" t="s">
        <v>28</v>
      </c>
      <c r="D123" s="2" t="s">
        <v>23</v>
      </c>
      <c r="E123" s="2">
        <v>1163.01</v>
      </c>
      <c r="F123" s="2">
        <v>5</v>
      </c>
      <c r="G123" s="2">
        <v>0</v>
      </c>
      <c r="H123" s="3">
        <v>45611</v>
      </c>
      <c r="I123" s="2">
        <v>581.5</v>
      </c>
    </row>
    <row r="124" spans="1:9">
      <c r="A124" s="2" t="s">
        <v>79</v>
      </c>
      <c r="B124" s="2" t="s">
        <v>69</v>
      </c>
      <c r="C124" s="2" t="s">
        <v>26</v>
      </c>
      <c r="D124" s="2" t="s">
        <v>57</v>
      </c>
      <c r="E124" s="2">
        <v>1014.56</v>
      </c>
      <c r="F124" s="2">
        <v>10</v>
      </c>
      <c r="G124" s="2">
        <v>0.1</v>
      </c>
      <c r="H124" s="3">
        <v>45612</v>
      </c>
      <c r="I124" s="2">
        <v>410.9</v>
      </c>
    </row>
    <row r="125" hidden="1" spans="1:9">
      <c r="A125" s="2" t="s">
        <v>17</v>
      </c>
      <c r="B125" s="2" t="s">
        <v>25</v>
      </c>
      <c r="C125" s="2" t="s">
        <v>28</v>
      </c>
      <c r="D125" s="2" t="s">
        <v>29</v>
      </c>
      <c r="E125" s="2">
        <v>718.04</v>
      </c>
      <c r="F125" s="2">
        <v>14</v>
      </c>
      <c r="G125" s="2">
        <v>0</v>
      </c>
      <c r="H125" s="3">
        <v>45613</v>
      </c>
      <c r="I125" s="2">
        <v>179.51</v>
      </c>
    </row>
    <row r="126" spans="1:9">
      <c r="A126" s="2" t="s">
        <v>97</v>
      </c>
      <c r="B126" s="2" t="s">
        <v>25</v>
      </c>
      <c r="C126" s="2" t="s">
        <v>50</v>
      </c>
      <c r="D126" s="2" t="s">
        <v>23</v>
      </c>
      <c r="E126" s="2">
        <v>1277.85</v>
      </c>
      <c r="F126" s="2">
        <v>18</v>
      </c>
      <c r="G126" s="2">
        <v>0.2</v>
      </c>
      <c r="H126" s="3">
        <v>45613</v>
      </c>
      <c r="I126" s="2">
        <v>511.14</v>
      </c>
    </row>
    <row r="127" hidden="1" spans="1:9">
      <c r="A127" s="2" t="s">
        <v>95</v>
      </c>
      <c r="B127" s="2" t="s">
        <v>32</v>
      </c>
      <c r="C127" s="2" t="s">
        <v>33</v>
      </c>
      <c r="D127" s="2" t="s">
        <v>29</v>
      </c>
      <c r="E127" s="2">
        <v>706.73</v>
      </c>
      <c r="F127" s="2">
        <v>1</v>
      </c>
      <c r="G127" s="2">
        <v>0.15</v>
      </c>
      <c r="H127" s="3">
        <v>45613</v>
      </c>
      <c r="I127" s="2">
        <v>150.18</v>
      </c>
    </row>
    <row r="128" spans="1:9">
      <c r="A128" s="2" t="s">
        <v>90</v>
      </c>
      <c r="B128" s="2" t="s">
        <v>75</v>
      </c>
      <c r="C128" s="2" t="s">
        <v>26</v>
      </c>
      <c r="D128" s="2" t="s">
        <v>29</v>
      </c>
      <c r="E128" s="2">
        <v>1410.59</v>
      </c>
      <c r="F128" s="2">
        <v>15</v>
      </c>
      <c r="G128" s="2">
        <v>0</v>
      </c>
      <c r="H128" s="3">
        <v>45615</v>
      </c>
      <c r="I128" s="2">
        <v>352.65</v>
      </c>
    </row>
    <row r="129" spans="1:9">
      <c r="A129" s="2" t="s">
        <v>48</v>
      </c>
      <c r="B129" s="2" t="s">
        <v>86</v>
      </c>
      <c r="C129" s="2" t="s">
        <v>28</v>
      </c>
      <c r="D129" s="2" t="s">
        <v>37</v>
      </c>
      <c r="E129" s="2">
        <v>1350.33</v>
      </c>
      <c r="F129" s="2">
        <v>10</v>
      </c>
      <c r="G129" s="2">
        <v>0</v>
      </c>
      <c r="H129" s="3">
        <v>45615</v>
      </c>
      <c r="I129" s="2">
        <v>472.62</v>
      </c>
    </row>
    <row r="130" hidden="1" spans="1:9">
      <c r="A130" s="2" t="s">
        <v>64</v>
      </c>
      <c r="B130" s="2" t="s">
        <v>69</v>
      </c>
      <c r="C130" s="2" t="s">
        <v>26</v>
      </c>
      <c r="D130" s="2" t="s">
        <v>29</v>
      </c>
      <c r="E130" s="2">
        <v>919.18</v>
      </c>
      <c r="F130" s="2">
        <v>4</v>
      </c>
      <c r="G130" s="2">
        <v>0.15</v>
      </c>
      <c r="H130" s="3">
        <v>45615</v>
      </c>
      <c r="I130" s="2">
        <v>195.33</v>
      </c>
    </row>
    <row r="131" hidden="1" spans="1:9">
      <c r="A131" s="2" t="s">
        <v>99</v>
      </c>
      <c r="B131" s="2" t="s">
        <v>32</v>
      </c>
      <c r="C131" s="2" t="s">
        <v>19</v>
      </c>
      <c r="D131" s="2" t="s">
        <v>29</v>
      </c>
      <c r="E131" s="2">
        <v>258.51</v>
      </c>
      <c r="F131" s="2">
        <v>19</v>
      </c>
      <c r="G131" s="2">
        <v>0</v>
      </c>
      <c r="H131" s="3">
        <v>45616</v>
      </c>
      <c r="I131" s="2">
        <v>64.63</v>
      </c>
    </row>
    <row r="132" spans="1:9">
      <c r="A132" s="2" t="s">
        <v>88</v>
      </c>
      <c r="B132" s="2" t="s">
        <v>86</v>
      </c>
      <c r="C132" s="2" t="s">
        <v>26</v>
      </c>
      <c r="D132" s="2" t="s">
        <v>20</v>
      </c>
      <c r="E132" s="2">
        <v>1213.48</v>
      </c>
      <c r="F132" s="2">
        <v>5</v>
      </c>
      <c r="G132" s="2">
        <v>0.05</v>
      </c>
      <c r="H132" s="3">
        <v>45616</v>
      </c>
      <c r="I132" s="2">
        <v>461.12</v>
      </c>
    </row>
    <row r="133" spans="1:9">
      <c r="A133" s="2" t="s">
        <v>82</v>
      </c>
      <c r="B133" s="2" t="s">
        <v>56</v>
      </c>
      <c r="C133" s="2" t="s">
        <v>50</v>
      </c>
      <c r="D133" s="2" t="s">
        <v>20</v>
      </c>
      <c r="E133" s="2">
        <v>1150.28</v>
      </c>
      <c r="F133" s="2">
        <v>8</v>
      </c>
      <c r="G133" s="2">
        <v>0.05</v>
      </c>
      <c r="H133" s="3">
        <v>45622</v>
      </c>
      <c r="I133" s="2">
        <v>437.11</v>
      </c>
    </row>
    <row r="134" hidden="1" spans="1:9">
      <c r="A134" s="2" t="s">
        <v>55</v>
      </c>
      <c r="B134" s="2" t="s">
        <v>96</v>
      </c>
      <c r="C134" s="2" t="s">
        <v>28</v>
      </c>
      <c r="D134" s="2" t="s">
        <v>37</v>
      </c>
      <c r="E134" s="2">
        <v>853.86</v>
      </c>
      <c r="F134" s="2">
        <v>8</v>
      </c>
      <c r="G134" s="2">
        <v>0.1</v>
      </c>
      <c r="H134" s="3">
        <v>45622</v>
      </c>
      <c r="I134" s="2">
        <v>268.97</v>
      </c>
    </row>
    <row r="135" spans="1:9">
      <c r="A135" s="2" t="s">
        <v>100</v>
      </c>
      <c r="B135" s="2" t="s">
        <v>69</v>
      </c>
      <c r="C135" s="2" t="s">
        <v>28</v>
      </c>
      <c r="D135" s="2" t="s">
        <v>29</v>
      </c>
      <c r="E135" s="2">
        <v>1061.04</v>
      </c>
      <c r="F135" s="2">
        <v>1</v>
      </c>
      <c r="G135" s="2">
        <v>0</v>
      </c>
      <c r="H135" s="3">
        <v>45624</v>
      </c>
      <c r="I135" s="2">
        <v>265.26</v>
      </c>
    </row>
    <row r="136" hidden="1" spans="1:9">
      <c r="A136" s="2" t="s">
        <v>39</v>
      </c>
      <c r="B136" s="2" t="s">
        <v>67</v>
      </c>
      <c r="C136" s="2" t="s">
        <v>19</v>
      </c>
      <c r="D136" s="2" t="s">
        <v>29</v>
      </c>
      <c r="E136" s="2">
        <v>894.55</v>
      </c>
      <c r="F136" s="2">
        <v>19</v>
      </c>
      <c r="G136" s="2">
        <v>0.2</v>
      </c>
      <c r="H136" s="3">
        <v>45625</v>
      </c>
      <c r="I136" s="2">
        <v>178.91</v>
      </c>
    </row>
    <row r="137" hidden="1" spans="1:9">
      <c r="A137" s="2" t="s">
        <v>35</v>
      </c>
      <c r="B137" s="2" t="s">
        <v>56</v>
      </c>
      <c r="C137" s="2" t="s">
        <v>33</v>
      </c>
      <c r="D137" s="2" t="s">
        <v>57</v>
      </c>
      <c r="E137" s="2">
        <v>833.91</v>
      </c>
      <c r="F137" s="2">
        <v>3</v>
      </c>
      <c r="G137" s="2">
        <v>0.05</v>
      </c>
      <c r="H137" s="3">
        <v>45626</v>
      </c>
      <c r="I137" s="2">
        <v>356.5</v>
      </c>
    </row>
    <row r="138" hidden="1" spans="1:9">
      <c r="A138" s="2" t="s">
        <v>83</v>
      </c>
      <c r="B138" s="2" t="s">
        <v>96</v>
      </c>
      <c r="C138" s="2" t="s">
        <v>19</v>
      </c>
      <c r="D138" s="2" t="s">
        <v>37</v>
      </c>
      <c r="E138" s="2">
        <v>820.19</v>
      </c>
      <c r="F138" s="2">
        <v>4</v>
      </c>
      <c r="G138" s="2">
        <v>0.2</v>
      </c>
      <c r="H138" s="3">
        <v>45630</v>
      </c>
      <c r="I138" s="2">
        <v>229.65</v>
      </c>
    </row>
    <row r="139" hidden="1" spans="1:9">
      <c r="A139" s="2" t="s">
        <v>83</v>
      </c>
      <c r="B139" s="2" t="s">
        <v>56</v>
      </c>
      <c r="C139" s="2" t="s">
        <v>50</v>
      </c>
      <c r="D139" s="2" t="s">
        <v>29</v>
      </c>
      <c r="E139" s="2">
        <v>511.74</v>
      </c>
      <c r="F139" s="2">
        <v>8</v>
      </c>
      <c r="G139" s="2">
        <v>0.05</v>
      </c>
      <c r="H139" s="3">
        <v>45631</v>
      </c>
      <c r="I139" s="2">
        <v>121.54</v>
      </c>
    </row>
    <row r="140" hidden="1" spans="1:9">
      <c r="A140" s="2" t="s">
        <v>90</v>
      </c>
      <c r="B140" s="2" t="s">
        <v>86</v>
      </c>
      <c r="C140" s="2" t="s">
        <v>28</v>
      </c>
      <c r="D140" s="2" t="s">
        <v>37</v>
      </c>
      <c r="E140" s="2">
        <v>806.03</v>
      </c>
      <c r="F140" s="2">
        <v>19</v>
      </c>
      <c r="G140" s="2">
        <v>0.05</v>
      </c>
      <c r="H140" s="3">
        <v>45638</v>
      </c>
      <c r="I140" s="2">
        <v>268</v>
      </c>
    </row>
    <row r="141" spans="1:9">
      <c r="A141" s="2" t="s">
        <v>39</v>
      </c>
      <c r="B141" s="2" t="s">
        <v>36</v>
      </c>
      <c r="C141" s="2" t="s">
        <v>50</v>
      </c>
      <c r="D141" s="2" t="s">
        <v>37</v>
      </c>
      <c r="E141" s="2">
        <v>1432.47</v>
      </c>
      <c r="F141" s="2">
        <v>16</v>
      </c>
      <c r="G141" s="2">
        <v>0.15</v>
      </c>
      <c r="H141" s="3">
        <v>45640</v>
      </c>
      <c r="I141" s="2">
        <v>426.16</v>
      </c>
    </row>
    <row r="142" spans="1:9">
      <c r="A142" s="2" t="s">
        <v>99</v>
      </c>
      <c r="B142" s="2" t="s">
        <v>40</v>
      </c>
      <c r="C142" s="2" t="s">
        <v>50</v>
      </c>
      <c r="D142" s="2" t="s">
        <v>29</v>
      </c>
      <c r="E142" s="2">
        <v>1488.58</v>
      </c>
      <c r="F142" s="2">
        <v>10</v>
      </c>
      <c r="G142" s="2">
        <v>0.15</v>
      </c>
      <c r="H142" s="3">
        <v>45640</v>
      </c>
      <c r="I142" s="2">
        <v>316.32</v>
      </c>
    </row>
    <row r="143" spans="1:9">
      <c r="A143" s="2" t="s">
        <v>44</v>
      </c>
      <c r="B143" s="2" t="s">
        <v>91</v>
      </c>
      <c r="C143" s="2" t="s">
        <v>26</v>
      </c>
      <c r="D143" s="2" t="s">
        <v>20</v>
      </c>
      <c r="E143" s="2">
        <v>1231.26</v>
      </c>
      <c r="F143" s="2">
        <v>9</v>
      </c>
      <c r="G143" s="2">
        <v>0</v>
      </c>
      <c r="H143" s="3">
        <v>45646</v>
      </c>
      <c r="I143" s="2">
        <v>492.5</v>
      </c>
    </row>
    <row r="144" spans="1:9">
      <c r="A144" s="2" t="s">
        <v>44</v>
      </c>
      <c r="B144" s="2" t="s">
        <v>67</v>
      </c>
      <c r="C144" s="2" t="s">
        <v>19</v>
      </c>
      <c r="D144" s="2" t="s">
        <v>29</v>
      </c>
      <c r="E144" s="2">
        <v>1161.67</v>
      </c>
      <c r="F144" s="2">
        <v>19</v>
      </c>
      <c r="G144" s="2">
        <v>0.2</v>
      </c>
      <c r="H144" s="3">
        <v>45647</v>
      </c>
      <c r="I144" s="2">
        <v>232.33</v>
      </c>
    </row>
    <row r="145" hidden="1" spans="1:9">
      <c r="A145" s="2" t="s">
        <v>74</v>
      </c>
      <c r="B145" s="2" t="s">
        <v>69</v>
      </c>
      <c r="C145" s="2" t="s">
        <v>50</v>
      </c>
      <c r="D145" s="2" t="s">
        <v>57</v>
      </c>
      <c r="E145" s="2">
        <v>388.23</v>
      </c>
      <c r="F145" s="2">
        <v>16</v>
      </c>
      <c r="G145" s="2">
        <v>0.05</v>
      </c>
      <c r="H145" s="3">
        <v>45650</v>
      </c>
      <c r="I145" s="2">
        <v>165.97</v>
      </c>
    </row>
    <row r="146" spans="1:9">
      <c r="A146" s="2" t="s">
        <v>97</v>
      </c>
      <c r="B146" s="2" t="s">
        <v>45</v>
      </c>
      <c r="C146" s="2" t="s">
        <v>33</v>
      </c>
      <c r="D146" s="2" t="s">
        <v>23</v>
      </c>
      <c r="E146" s="2">
        <v>1589.42</v>
      </c>
      <c r="F146" s="2">
        <v>6</v>
      </c>
      <c r="G146" s="2">
        <v>0.15</v>
      </c>
      <c r="H146" s="3">
        <v>45651</v>
      </c>
      <c r="I146" s="2">
        <v>675.5</v>
      </c>
    </row>
    <row r="147" hidden="1" spans="1:9">
      <c r="A147" s="2" t="s">
        <v>39</v>
      </c>
      <c r="B147" s="2" t="s">
        <v>96</v>
      </c>
      <c r="C147" s="2" t="s">
        <v>33</v>
      </c>
      <c r="D147" s="2" t="s">
        <v>23</v>
      </c>
      <c r="E147" s="2">
        <v>336.66</v>
      </c>
      <c r="F147" s="2">
        <v>13</v>
      </c>
      <c r="G147" s="2">
        <v>0.2</v>
      </c>
      <c r="H147" s="3">
        <v>45651</v>
      </c>
      <c r="I147" s="2">
        <v>134.66</v>
      </c>
    </row>
    <row r="148" spans="1:9">
      <c r="A148" s="2" t="s">
        <v>74</v>
      </c>
      <c r="B148" s="2" t="s">
        <v>32</v>
      </c>
      <c r="C148" s="2" t="s">
        <v>19</v>
      </c>
      <c r="D148" s="2" t="s">
        <v>20</v>
      </c>
      <c r="E148" s="2">
        <v>1353.79</v>
      </c>
      <c r="F148" s="2">
        <v>14</v>
      </c>
      <c r="G148" s="2">
        <v>0.1</v>
      </c>
      <c r="H148" s="3">
        <v>45656</v>
      </c>
      <c r="I148" s="2">
        <v>487.36</v>
      </c>
    </row>
    <row r="149" hidden="1" spans="1:9">
      <c r="A149" s="2" t="s">
        <v>88</v>
      </c>
      <c r="B149" s="2" t="s">
        <v>94</v>
      </c>
      <c r="C149" s="2" t="s">
        <v>50</v>
      </c>
      <c r="D149" s="2" t="s">
        <v>23</v>
      </c>
      <c r="E149" s="2">
        <v>662.61</v>
      </c>
      <c r="F149" s="2">
        <v>11</v>
      </c>
      <c r="G149" s="2">
        <v>0.05</v>
      </c>
      <c r="H149" s="3">
        <v>45658</v>
      </c>
      <c r="I149" s="2">
        <v>314.74</v>
      </c>
    </row>
    <row r="150" hidden="1" spans="1:9">
      <c r="A150" s="2" t="s">
        <v>77</v>
      </c>
      <c r="B150" s="2" t="s">
        <v>73</v>
      </c>
      <c r="C150" s="2" t="s">
        <v>33</v>
      </c>
      <c r="D150" s="2" t="s">
        <v>57</v>
      </c>
      <c r="E150" s="2">
        <v>309.42</v>
      </c>
      <c r="F150" s="2">
        <v>1</v>
      </c>
      <c r="G150" s="2">
        <v>0.2</v>
      </c>
      <c r="H150" s="3">
        <v>45658</v>
      </c>
      <c r="I150" s="2">
        <v>111.39</v>
      </c>
    </row>
    <row r="151" hidden="1" spans="1:9">
      <c r="A151" s="2" t="s">
        <v>88</v>
      </c>
      <c r="B151" s="2" t="s">
        <v>40</v>
      </c>
      <c r="C151" s="2" t="s">
        <v>33</v>
      </c>
      <c r="D151" s="2" t="s">
        <v>20</v>
      </c>
      <c r="E151" s="2">
        <v>884.63</v>
      </c>
      <c r="F151" s="2">
        <v>18</v>
      </c>
      <c r="G151" s="2">
        <v>0.1</v>
      </c>
      <c r="H151" s="3">
        <v>45659</v>
      </c>
      <c r="I151" s="2">
        <v>318.47</v>
      </c>
    </row>
    <row r="152" hidden="1" spans="1:9">
      <c r="A152" s="2" t="s">
        <v>77</v>
      </c>
      <c r="B152" s="2" t="s">
        <v>32</v>
      </c>
      <c r="C152" s="2" t="s">
        <v>50</v>
      </c>
      <c r="D152" s="2" t="s">
        <v>57</v>
      </c>
      <c r="E152" s="2">
        <v>745.05</v>
      </c>
      <c r="F152" s="2">
        <v>10</v>
      </c>
      <c r="G152" s="2">
        <v>0.1</v>
      </c>
      <c r="H152" s="3">
        <v>45660</v>
      </c>
      <c r="I152" s="2">
        <v>301.75</v>
      </c>
    </row>
    <row r="153" hidden="1" spans="1:9">
      <c r="A153" s="2" t="s">
        <v>85</v>
      </c>
      <c r="B153" s="2" t="s">
        <v>25</v>
      </c>
      <c r="C153" s="2" t="s">
        <v>28</v>
      </c>
      <c r="D153" s="2" t="s">
        <v>23</v>
      </c>
      <c r="E153" s="2">
        <v>870.23</v>
      </c>
      <c r="F153" s="2">
        <v>5</v>
      </c>
      <c r="G153" s="2">
        <v>0.05</v>
      </c>
      <c r="H153" s="3">
        <v>45660</v>
      </c>
      <c r="I153" s="2">
        <v>413.36</v>
      </c>
    </row>
    <row r="154" hidden="1" spans="1:9">
      <c r="A154" s="2" t="s">
        <v>52</v>
      </c>
      <c r="B154" s="2" t="s">
        <v>40</v>
      </c>
      <c r="C154" s="2" t="s">
        <v>19</v>
      </c>
      <c r="D154" s="2" t="s">
        <v>37</v>
      </c>
      <c r="E154" s="2">
        <v>862.19</v>
      </c>
      <c r="F154" s="2">
        <v>18</v>
      </c>
      <c r="G154" s="2">
        <v>0.05</v>
      </c>
      <c r="H154" s="3">
        <v>45663</v>
      </c>
      <c r="I154" s="2">
        <v>286.68</v>
      </c>
    </row>
    <row r="155" spans="1:9">
      <c r="A155" s="2" t="s">
        <v>98</v>
      </c>
      <c r="B155" s="2" t="s">
        <v>84</v>
      </c>
      <c r="C155" s="2" t="s">
        <v>33</v>
      </c>
      <c r="D155" s="2" t="s">
        <v>23</v>
      </c>
      <c r="E155" s="2">
        <v>1171.18</v>
      </c>
      <c r="F155" s="2">
        <v>19</v>
      </c>
      <c r="G155" s="2">
        <v>0.05</v>
      </c>
      <c r="H155" s="3">
        <v>45667</v>
      </c>
      <c r="I155" s="2">
        <v>556.31</v>
      </c>
    </row>
    <row r="156" spans="1:9">
      <c r="A156" s="2" t="s">
        <v>83</v>
      </c>
      <c r="B156" s="2" t="s">
        <v>22</v>
      </c>
      <c r="C156" s="2" t="s">
        <v>28</v>
      </c>
      <c r="D156" s="2" t="s">
        <v>37</v>
      </c>
      <c r="E156" s="2">
        <v>1054.56</v>
      </c>
      <c r="F156" s="2">
        <v>11</v>
      </c>
      <c r="G156" s="2">
        <v>0.1</v>
      </c>
      <c r="H156" s="3">
        <v>45669</v>
      </c>
      <c r="I156" s="2">
        <v>332.19</v>
      </c>
    </row>
    <row r="157" spans="1:9">
      <c r="A157" s="2" t="s">
        <v>83</v>
      </c>
      <c r="B157" s="2" t="s">
        <v>32</v>
      </c>
      <c r="C157" s="2" t="s">
        <v>33</v>
      </c>
      <c r="D157" s="2" t="s">
        <v>29</v>
      </c>
      <c r="E157" s="2">
        <v>1681.21</v>
      </c>
      <c r="F157" s="2">
        <v>5</v>
      </c>
      <c r="G157" s="2">
        <v>0.2</v>
      </c>
      <c r="H157" s="3">
        <v>45670</v>
      </c>
      <c r="I157" s="2">
        <v>336.24</v>
      </c>
    </row>
    <row r="158" hidden="1" spans="1:9">
      <c r="A158" s="2" t="s">
        <v>83</v>
      </c>
      <c r="B158" s="2" t="s">
        <v>53</v>
      </c>
      <c r="C158" s="2" t="s">
        <v>19</v>
      </c>
      <c r="D158" s="2" t="s">
        <v>23</v>
      </c>
      <c r="E158" s="2">
        <v>379.77</v>
      </c>
      <c r="F158" s="2">
        <v>9</v>
      </c>
      <c r="G158" s="2">
        <v>0.05</v>
      </c>
      <c r="H158" s="3">
        <v>45673</v>
      </c>
      <c r="I158" s="2">
        <v>180.39</v>
      </c>
    </row>
    <row r="159" spans="1:9">
      <c r="A159" s="2" t="s">
        <v>68</v>
      </c>
      <c r="B159" s="2" t="s">
        <v>69</v>
      </c>
      <c r="C159" s="2" t="s">
        <v>50</v>
      </c>
      <c r="D159" s="2" t="s">
        <v>23</v>
      </c>
      <c r="E159" s="2">
        <v>1076.33</v>
      </c>
      <c r="F159" s="2">
        <v>2</v>
      </c>
      <c r="G159" s="2">
        <v>0.1</v>
      </c>
      <c r="H159" s="3">
        <v>45674</v>
      </c>
      <c r="I159" s="2">
        <v>484.35</v>
      </c>
    </row>
    <row r="160" spans="1:9">
      <c r="A160" s="2" t="s">
        <v>68</v>
      </c>
      <c r="B160" s="2" t="s">
        <v>45</v>
      </c>
      <c r="C160" s="2" t="s">
        <v>50</v>
      </c>
      <c r="D160" s="2" t="s">
        <v>57</v>
      </c>
      <c r="E160" s="2">
        <v>1250.71</v>
      </c>
      <c r="F160" s="2">
        <v>7</v>
      </c>
      <c r="G160" s="2">
        <v>0</v>
      </c>
      <c r="H160" s="3">
        <v>45674</v>
      </c>
      <c r="I160" s="2">
        <v>562.82</v>
      </c>
    </row>
    <row r="161" spans="1:9">
      <c r="A161" s="2" t="s">
        <v>62</v>
      </c>
      <c r="B161" s="2" t="s">
        <v>25</v>
      </c>
      <c r="C161" s="2" t="s">
        <v>28</v>
      </c>
      <c r="D161" s="2" t="s">
        <v>23</v>
      </c>
      <c r="E161" s="2">
        <v>1118.34</v>
      </c>
      <c r="F161" s="2">
        <v>6</v>
      </c>
      <c r="G161" s="2">
        <v>0.2</v>
      </c>
      <c r="H161" s="3">
        <v>45674</v>
      </c>
      <c r="I161" s="2">
        <v>447.34</v>
      </c>
    </row>
    <row r="162" spans="1:9">
      <c r="A162" s="2" t="s">
        <v>95</v>
      </c>
      <c r="B162" s="2" t="s">
        <v>78</v>
      </c>
      <c r="C162" s="2" t="s">
        <v>33</v>
      </c>
      <c r="D162" s="2" t="s">
        <v>23</v>
      </c>
      <c r="E162" s="2">
        <v>1622.62</v>
      </c>
      <c r="F162" s="2">
        <v>12</v>
      </c>
      <c r="G162" s="2">
        <v>0.2</v>
      </c>
      <c r="H162" s="3">
        <v>45677</v>
      </c>
      <c r="I162" s="2">
        <v>649.05</v>
      </c>
    </row>
    <row r="163" hidden="1" spans="1:9">
      <c r="A163" s="2" t="s">
        <v>100</v>
      </c>
      <c r="B163" s="2" t="s">
        <v>73</v>
      </c>
      <c r="C163" s="2" t="s">
        <v>33</v>
      </c>
      <c r="D163" s="2" t="s">
        <v>20</v>
      </c>
      <c r="E163" s="2">
        <v>640.64</v>
      </c>
      <c r="F163" s="2">
        <v>11</v>
      </c>
      <c r="G163" s="2">
        <v>0.2</v>
      </c>
      <c r="H163" s="3">
        <v>45678</v>
      </c>
      <c r="I163" s="2">
        <v>205</v>
      </c>
    </row>
    <row r="164" hidden="1" spans="1:9">
      <c r="A164" s="2" t="s">
        <v>31</v>
      </c>
      <c r="B164" s="2" t="s">
        <v>67</v>
      </c>
      <c r="C164" s="2" t="s">
        <v>19</v>
      </c>
      <c r="D164" s="2" t="s">
        <v>23</v>
      </c>
      <c r="E164" s="2">
        <v>585.16</v>
      </c>
      <c r="F164" s="2">
        <v>17</v>
      </c>
      <c r="G164" s="2">
        <v>0.1</v>
      </c>
      <c r="H164" s="3">
        <v>45684</v>
      </c>
      <c r="I164" s="2">
        <v>263.32</v>
      </c>
    </row>
    <row r="165" spans="1:9">
      <c r="A165" s="2" t="s">
        <v>31</v>
      </c>
      <c r="B165" s="2" t="s">
        <v>45</v>
      </c>
      <c r="C165" s="2" t="s">
        <v>26</v>
      </c>
      <c r="D165" s="2" t="s">
        <v>23</v>
      </c>
      <c r="E165" s="2">
        <v>1109.98</v>
      </c>
      <c r="F165" s="2">
        <v>5</v>
      </c>
      <c r="G165" s="2">
        <v>0.2</v>
      </c>
      <c r="H165" s="3">
        <v>45690</v>
      </c>
      <c r="I165" s="2">
        <v>443.99</v>
      </c>
    </row>
    <row r="166" spans="1:9">
      <c r="A166" s="2" t="s">
        <v>83</v>
      </c>
      <c r="B166" s="2" t="s">
        <v>69</v>
      </c>
      <c r="C166" s="2" t="s">
        <v>26</v>
      </c>
      <c r="D166" s="2" t="s">
        <v>20</v>
      </c>
      <c r="E166" s="2">
        <v>1098.08</v>
      </c>
      <c r="F166" s="2">
        <v>9</v>
      </c>
      <c r="G166" s="2">
        <v>0.1</v>
      </c>
      <c r="H166" s="3">
        <v>45692</v>
      </c>
      <c r="I166" s="2">
        <v>395.31</v>
      </c>
    </row>
    <row r="167" hidden="1" spans="1:9">
      <c r="A167" s="2" t="s">
        <v>90</v>
      </c>
      <c r="B167" s="2" t="s">
        <v>73</v>
      </c>
      <c r="C167" s="2" t="s">
        <v>19</v>
      </c>
      <c r="D167" s="2" t="s">
        <v>57</v>
      </c>
      <c r="E167" s="2">
        <v>827.25</v>
      </c>
      <c r="F167" s="2">
        <v>7</v>
      </c>
      <c r="G167" s="2">
        <v>0.1</v>
      </c>
      <c r="H167" s="3">
        <v>45693</v>
      </c>
      <c r="I167" s="2">
        <v>335.04</v>
      </c>
    </row>
    <row r="168" hidden="1" spans="1:9">
      <c r="A168" s="2" t="s">
        <v>95</v>
      </c>
      <c r="B168" s="2" t="s">
        <v>40</v>
      </c>
      <c r="C168" s="2" t="s">
        <v>50</v>
      </c>
      <c r="D168" s="2" t="s">
        <v>23</v>
      </c>
      <c r="E168" s="2">
        <v>741.88</v>
      </c>
      <c r="F168" s="2">
        <v>16</v>
      </c>
      <c r="G168" s="2">
        <v>0.1</v>
      </c>
      <c r="H168" s="3">
        <v>45695</v>
      </c>
      <c r="I168" s="2">
        <v>333.85</v>
      </c>
    </row>
    <row r="169" spans="1:9">
      <c r="A169" s="2" t="s">
        <v>97</v>
      </c>
      <c r="B169" s="2" t="s">
        <v>18</v>
      </c>
      <c r="C169" s="2" t="s">
        <v>26</v>
      </c>
      <c r="D169" s="2" t="s">
        <v>57</v>
      </c>
      <c r="E169" s="2">
        <v>1311.26</v>
      </c>
      <c r="F169" s="2">
        <v>6</v>
      </c>
      <c r="G169" s="2">
        <v>0.1</v>
      </c>
      <c r="H169" s="3">
        <v>45698</v>
      </c>
      <c r="I169" s="2">
        <v>531.06</v>
      </c>
    </row>
    <row r="170" hidden="1" spans="1:9">
      <c r="A170" s="2" t="s">
        <v>97</v>
      </c>
      <c r="B170" s="2" t="s">
        <v>45</v>
      </c>
      <c r="C170" s="2" t="s">
        <v>28</v>
      </c>
      <c r="D170" s="2" t="s">
        <v>57</v>
      </c>
      <c r="E170" s="2">
        <v>573.32</v>
      </c>
      <c r="F170" s="2">
        <v>19</v>
      </c>
      <c r="G170" s="2">
        <v>0.1</v>
      </c>
      <c r="H170" s="3">
        <v>45703</v>
      </c>
      <c r="I170" s="2">
        <v>232.19</v>
      </c>
    </row>
    <row r="171" spans="1:9">
      <c r="A171" s="2" t="s">
        <v>77</v>
      </c>
      <c r="B171" s="2" t="s">
        <v>32</v>
      </c>
      <c r="C171" s="2" t="s">
        <v>19</v>
      </c>
      <c r="D171" s="2" t="s">
        <v>29</v>
      </c>
      <c r="E171" s="2">
        <v>1115.22</v>
      </c>
      <c r="F171" s="2">
        <v>14</v>
      </c>
      <c r="G171" s="2">
        <v>0.2</v>
      </c>
      <c r="H171" s="3">
        <v>45705</v>
      </c>
      <c r="I171" s="2">
        <v>223.04</v>
      </c>
    </row>
    <row r="172" hidden="1" spans="1:9">
      <c r="A172" s="2" t="s">
        <v>21</v>
      </c>
      <c r="B172" s="2" t="s">
        <v>69</v>
      </c>
      <c r="C172" s="2" t="s">
        <v>33</v>
      </c>
      <c r="D172" s="2" t="s">
        <v>23</v>
      </c>
      <c r="E172" s="2">
        <v>845.84</v>
      </c>
      <c r="F172" s="2">
        <v>4</v>
      </c>
      <c r="G172" s="2">
        <v>0</v>
      </c>
      <c r="H172" s="3">
        <v>45707</v>
      </c>
      <c r="I172" s="2">
        <v>422.92</v>
      </c>
    </row>
    <row r="173" spans="1:9">
      <c r="A173" s="2" t="s">
        <v>44</v>
      </c>
      <c r="B173" s="2" t="s">
        <v>80</v>
      </c>
      <c r="C173" s="2" t="s">
        <v>19</v>
      </c>
      <c r="D173" s="2" t="s">
        <v>29</v>
      </c>
      <c r="E173" s="2">
        <v>1029.8</v>
      </c>
      <c r="F173" s="2">
        <v>3</v>
      </c>
      <c r="G173" s="2">
        <v>0</v>
      </c>
      <c r="H173" s="3">
        <v>45708</v>
      </c>
      <c r="I173" s="2">
        <v>257.45</v>
      </c>
    </row>
    <row r="174" spans="1:9">
      <c r="A174" s="2" t="s">
        <v>48</v>
      </c>
      <c r="B174" s="2" t="s">
        <v>45</v>
      </c>
      <c r="C174" s="2" t="s">
        <v>33</v>
      </c>
      <c r="D174" s="2" t="s">
        <v>20</v>
      </c>
      <c r="E174" s="2">
        <v>1189.83</v>
      </c>
      <c r="F174" s="2">
        <v>2</v>
      </c>
      <c r="G174" s="2">
        <v>0.2</v>
      </c>
      <c r="H174" s="3">
        <v>45709</v>
      </c>
      <c r="I174" s="2">
        <v>380.75</v>
      </c>
    </row>
    <row r="175" hidden="1" spans="1:9">
      <c r="A175" s="2" t="s">
        <v>92</v>
      </c>
      <c r="B175" s="2" t="s">
        <v>67</v>
      </c>
      <c r="C175" s="2" t="s">
        <v>28</v>
      </c>
      <c r="D175" s="2" t="s">
        <v>20</v>
      </c>
      <c r="E175" s="2">
        <v>704.28</v>
      </c>
      <c r="F175" s="2">
        <v>15</v>
      </c>
      <c r="G175" s="2">
        <v>0.2</v>
      </c>
      <c r="H175" s="3">
        <v>45712</v>
      </c>
      <c r="I175" s="2">
        <v>225.37</v>
      </c>
    </row>
    <row r="176" spans="1:9">
      <c r="A176" s="2" t="s">
        <v>90</v>
      </c>
      <c r="B176" s="2" t="s">
        <v>72</v>
      </c>
      <c r="C176" s="2" t="s">
        <v>50</v>
      </c>
      <c r="D176" s="2" t="s">
        <v>57</v>
      </c>
      <c r="E176" s="2">
        <v>1618.22</v>
      </c>
      <c r="F176" s="2">
        <v>12</v>
      </c>
      <c r="G176" s="2">
        <v>0.2</v>
      </c>
      <c r="H176" s="3">
        <v>45712</v>
      </c>
      <c r="I176" s="2">
        <v>582.56</v>
      </c>
    </row>
    <row r="177" spans="1:9">
      <c r="A177" s="2" t="s">
        <v>98</v>
      </c>
      <c r="B177" s="2" t="s">
        <v>78</v>
      </c>
      <c r="C177" s="2" t="s">
        <v>50</v>
      </c>
      <c r="D177" s="2" t="s">
        <v>20</v>
      </c>
      <c r="E177" s="2">
        <v>1014.43</v>
      </c>
      <c r="F177" s="2">
        <v>2</v>
      </c>
      <c r="G177" s="2">
        <v>0.15</v>
      </c>
      <c r="H177" s="3">
        <v>45713</v>
      </c>
      <c r="I177" s="2">
        <v>344.91</v>
      </c>
    </row>
    <row r="178" hidden="1" spans="1:9">
      <c r="A178" s="2" t="s">
        <v>100</v>
      </c>
      <c r="B178" s="2" t="s">
        <v>45</v>
      </c>
      <c r="C178" s="2" t="s">
        <v>50</v>
      </c>
      <c r="D178" s="2" t="s">
        <v>23</v>
      </c>
      <c r="E178" s="2">
        <v>826.97</v>
      </c>
      <c r="F178" s="2">
        <v>18</v>
      </c>
      <c r="G178" s="2">
        <v>0.2</v>
      </c>
      <c r="H178" s="3">
        <v>45715</v>
      </c>
      <c r="I178" s="2">
        <v>330.79</v>
      </c>
    </row>
    <row r="179" spans="1:9">
      <c r="A179" s="2" t="s">
        <v>24</v>
      </c>
      <c r="B179" s="2" t="s">
        <v>45</v>
      </c>
      <c r="C179" s="2" t="s">
        <v>50</v>
      </c>
      <c r="D179" s="2" t="s">
        <v>23</v>
      </c>
      <c r="E179" s="2">
        <v>1022.23</v>
      </c>
      <c r="F179" s="2">
        <v>8</v>
      </c>
      <c r="G179" s="2">
        <v>0.1</v>
      </c>
      <c r="H179" s="3">
        <v>45717</v>
      </c>
      <c r="I179" s="2">
        <v>460</v>
      </c>
    </row>
    <row r="180" spans="1:9">
      <c r="A180" s="2" t="s">
        <v>97</v>
      </c>
      <c r="B180" s="2" t="s">
        <v>40</v>
      </c>
      <c r="C180" s="2" t="s">
        <v>26</v>
      </c>
      <c r="D180" s="2" t="s">
        <v>20</v>
      </c>
      <c r="E180" s="2">
        <v>1099.69</v>
      </c>
      <c r="F180" s="2">
        <v>6</v>
      </c>
      <c r="G180" s="2">
        <v>0</v>
      </c>
      <c r="H180" s="3">
        <v>45718</v>
      </c>
      <c r="I180" s="2">
        <v>439.88</v>
      </c>
    </row>
    <row r="181" hidden="1" spans="1:9">
      <c r="A181" s="2" t="s">
        <v>77</v>
      </c>
      <c r="B181" s="2" t="s">
        <v>89</v>
      </c>
      <c r="C181" s="2" t="s">
        <v>33</v>
      </c>
      <c r="D181" s="2" t="s">
        <v>20</v>
      </c>
      <c r="E181" s="2">
        <v>710.52</v>
      </c>
      <c r="F181" s="2">
        <v>8</v>
      </c>
      <c r="G181" s="2">
        <v>0.1</v>
      </c>
      <c r="H181" s="3">
        <v>45721</v>
      </c>
      <c r="I181" s="2">
        <v>255.79</v>
      </c>
    </row>
    <row r="182" hidden="1" spans="1:9">
      <c r="A182" s="2" t="s">
        <v>77</v>
      </c>
      <c r="B182" s="2" t="s">
        <v>84</v>
      </c>
      <c r="C182" s="2" t="s">
        <v>33</v>
      </c>
      <c r="D182" s="2" t="s">
        <v>20</v>
      </c>
      <c r="E182" s="2">
        <v>499.18</v>
      </c>
      <c r="F182" s="2">
        <v>15</v>
      </c>
      <c r="G182" s="2">
        <v>0.2</v>
      </c>
      <c r="H182" s="3">
        <v>45724</v>
      </c>
      <c r="I182" s="2">
        <v>159.74</v>
      </c>
    </row>
    <row r="183" spans="1:9">
      <c r="A183" s="2" t="s">
        <v>55</v>
      </c>
      <c r="B183" s="2" t="s">
        <v>56</v>
      </c>
      <c r="C183" s="2" t="s">
        <v>28</v>
      </c>
      <c r="D183" s="2" t="s">
        <v>20</v>
      </c>
      <c r="E183" s="2">
        <v>1064.19</v>
      </c>
      <c r="F183" s="2">
        <v>18</v>
      </c>
      <c r="G183" s="2">
        <v>0.05</v>
      </c>
      <c r="H183" s="3">
        <v>45725</v>
      </c>
      <c r="I183" s="2">
        <v>404.39</v>
      </c>
    </row>
    <row r="184" hidden="1" spans="1:9">
      <c r="A184" s="2" t="s">
        <v>92</v>
      </c>
      <c r="B184" s="2" t="s">
        <v>56</v>
      </c>
      <c r="C184" s="2" t="s">
        <v>26</v>
      </c>
      <c r="D184" s="2" t="s">
        <v>57</v>
      </c>
      <c r="E184" s="2">
        <v>438.76</v>
      </c>
      <c r="F184" s="2">
        <v>18</v>
      </c>
      <c r="G184" s="2">
        <v>0.05</v>
      </c>
      <c r="H184" s="3">
        <v>45726</v>
      </c>
      <c r="I184" s="2">
        <v>187.57</v>
      </c>
    </row>
    <row r="185" hidden="1" spans="1:9">
      <c r="A185" s="2" t="s">
        <v>64</v>
      </c>
      <c r="B185" s="2" t="s">
        <v>80</v>
      </c>
      <c r="C185" s="2" t="s">
        <v>19</v>
      </c>
      <c r="D185" s="2" t="s">
        <v>23</v>
      </c>
      <c r="E185" s="2">
        <v>864.98</v>
      </c>
      <c r="F185" s="2">
        <v>2</v>
      </c>
      <c r="G185" s="2">
        <v>0.05</v>
      </c>
      <c r="H185" s="3">
        <v>45727</v>
      </c>
      <c r="I185" s="2">
        <v>410.87</v>
      </c>
    </row>
    <row r="186" hidden="1" spans="1:9">
      <c r="A186" s="2" t="s">
        <v>82</v>
      </c>
      <c r="B186" s="2" t="s">
        <v>80</v>
      </c>
      <c r="C186" s="2" t="s">
        <v>19</v>
      </c>
      <c r="D186" s="2" t="s">
        <v>37</v>
      </c>
      <c r="E186" s="2">
        <v>984.93</v>
      </c>
      <c r="F186" s="2">
        <v>14</v>
      </c>
      <c r="G186" s="2">
        <v>0.2</v>
      </c>
      <c r="H186" s="3">
        <v>45733</v>
      </c>
      <c r="I186" s="2">
        <v>275.78</v>
      </c>
    </row>
    <row r="187" spans="1:9">
      <c r="A187" s="2" t="s">
        <v>35</v>
      </c>
      <c r="B187" s="2" t="s">
        <v>80</v>
      </c>
      <c r="C187" s="2" t="s">
        <v>19</v>
      </c>
      <c r="D187" s="2" t="s">
        <v>23</v>
      </c>
      <c r="E187" s="2">
        <v>1493.49</v>
      </c>
      <c r="F187" s="2">
        <v>18</v>
      </c>
      <c r="G187" s="2">
        <v>0</v>
      </c>
      <c r="H187" s="3">
        <v>45734</v>
      </c>
      <c r="I187" s="2">
        <v>746.74</v>
      </c>
    </row>
    <row r="188" hidden="1" spans="1:9">
      <c r="A188" s="2" t="s">
        <v>48</v>
      </c>
      <c r="B188" s="2" t="s">
        <v>78</v>
      </c>
      <c r="C188" s="2" t="s">
        <v>28</v>
      </c>
      <c r="D188" s="2" t="s">
        <v>23</v>
      </c>
      <c r="E188" s="2">
        <v>689.43</v>
      </c>
      <c r="F188" s="2">
        <v>9</v>
      </c>
      <c r="G188" s="2">
        <v>0.1</v>
      </c>
      <c r="H188" s="3">
        <v>45736</v>
      </c>
      <c r="I188" s="2">
        <v>310.24</v>
      </c>
    </row>
    <row r="189" hidden="1" spans="1:9">
      <c r="A189" s="2" t="s">
        <v>62</v>
      </c>
      <c r="B189" s="2" t="s">
        <v>84</v>
      </c>
      <c r="C189" s="2" t="s">
        <v>28</v>
      </c>
      <c r="D189" s="2" t="s">
        <v>23</v>
      </c>
      <c r="E189" s="2">
        <v>682.24</v>
      </c>
      <c r="F189" s="2">
        <v>1</v>
      </c>
      <c r="G189" s="2">
        <v>0</v>
      </c>
      <c r="H189" s="3">
        <v>45738</v>
      </c>
      <c r="I189" s="2">
        <v>341.12</v>
      </c>
    </row>
    <row r="190" hidden="1" spans="1:9">
      <c r="A190" s="2" t="s">
        <v>64</v>
      </c>
      <c r="B190" s="2" t="s">
        <v>36</v>
      </c>
      <c r="C190" s="2" t="s">
        <v>33</v>
      </c>
      <c r="D190" s="2" t="s">
        <v>29</v>
      </c>
      <c r="E190" s="2">
        <v>458.54</v>
      </c>
      <c r="F190" s="2">
        <v>15</v>
      </c>
      <c r="G190" s="2">
        <v>0.2</v>
      </c>
      <c r="H190" s="3">
        <v>45741</v>
      </c>
      <c r="I190" s="2">
        <v>91.71</v>
      </c>
    </row>
    <row r="191" spans="1:9">
      <c r="A191" s="2" t="s">
        <v>48</v>
      </c>
      <c r="B191" s="2" t="s">
        <v>36</v>
      </c>
      <c r="C191" s="2" t="s">
        <v>28</v>
      </c>
      <c r="D191" s="2" t="s">
        <v>37</v>
      </c>
      <c r="E191" s="2">
        <v>1184.25</v>
      </c>
      <c r="F191" s="2">
        <v>11</v>
      </c>
      <c r="G191" s="2">
        <v>0.2</v>
      </c>
      <c r="H191" s="3">
        <v>45742</v>
      </c>
      <c r="I191" s="2">
        <v>331.59</v>
      </c>
    </row>
    <row r="192" hidden="1" spans="1:9">
      <c r="A192" s="2" t="s">
        <v>35</v>
      </c>
      <c r="B192" s="2" t="s">
        <v>18</v>
      </c>
      <c r="C192" s="2" t="s">
        <v>28</v>
      </c>
      <c r="D192" s="2" t="s">
        <v>23</v>
      </c>
      <c r="E192" s="2">
        <v>762.14</v>
      </c>
      <c r="F192" s="2">
        <v>9</v>
      </c>
      <c r="G192" s="2">
        <v>0</v>
      </c>
      <c r="H192" s="3">
        <v>45743</v>
      </c>
      <c r="I192" s="2">
        <v>381.07</v>
      </c>
    </row>
    <row r="193" hidden="1" spans="1:9">
      <c r="A193" s="2" t="s">
        <v>31</v>
      </c>
      <c r="B193" s="2" t="s">
        <v>78</v>
      </c>
      <c r="C193" s="2" t="s">
        <v>33</v>
      </c>
      <c r="D193" s="2" t="s">
        <v>20</v>
      </c>
      <c r="E193" s="2">
        <v>750.71</v>
      </c>
      <c r="F193" s="2">
        <v>10</v>
      </c>
      <c r="G193" s="2">
        <v>0.15</v>
      </c>
      <c r="H193" s="3">
        <v>45743</v>
      </c>
      <c r="I193" s="2">
        <v>255.24</v>
      </c>
    </row>
    <row r="194" spans="1:9">
      <c r="A194" s="2" t="s">
        <v>100</v>
      </c>
      <c r="B194" s="2" t="s">
        <v>96</v>
      </c>
      <c r="C194" s="2" t="s">
        <v>50</v>
      </c>
      <c r="D194" s="2" t="s">
        <v>23</v>
      </c>
      <c r="E194" s="2">
        <v>1456.94</v>
      </c>
      <c r="F194" s="2">
        <v>14</v>
      </c>
      <c r="G194" s="2">
        <v>0.05</v>
      </c>
      <c r="H194" s="3">
        <v>45745</v>
      </c>
      <c r="I194" s="2">
        <v>692.05</v>
      </c>
    </row>
    <row r="195" spans="1:9">
      <c r="A195" s="2" t="s">
        <v>68</v>
      </c>
      <c r="B195" s="2" t="s">
        <v>86</v>
      </c>
      <c r="C195" s="2" t="s">
        <v>26</v>
      </c>
      <c r="D195" s="2" t="s">
        <v>37</v>
      </c>
      <c r="E195" s="2">
        <v>1093.38</v>
      </c>
      <c r="F195" s="2">
        <v>17</v>
      </c>
      <c r="G195" s="2">
        <v>0.1</v>
      </c>
      <c r="H195" s="3">
        <v>45745</v>
      </c>
      <c r="I195" s="2">
        <v>344.41</v>
      </c>
    </row>
    <row r="196" hidden="1" spans="1:9">
      <c r="A196" s="2" t="s">
        <v>55</v>
      </c>
      <c r="B196" s="2" t="s">
        <v>67</v>
      </c>
      <c r="C196" s="2" t="s">
        <v>19</v>
      </c>
      <c r="D196" s="2" t="s">
        <v>23</v>
      </c>
      <c r="E196" s="2">
        <v>934.27</v>
      </c>
      <c r="F196" s="2">
        <v>8</v>
      </c>
      <c r="G196" s="2">
        <v>0.15</v>
      </c>
      <c r="H196" s="3">
        <v>45746</v>
      </c>
      <c r="I196" s="2">
        <v>397.06</v>
      </c>
    </row>
    <row r="197" spans="1:9">
      <c r="A197" s="2" t="s">
        <v>95</v>
      </c>
      <c r="B197" s="2" t="s">
        <v>53</v>
      </c>
      <c r="C197" s="2" t="s">
        <v>50</v>
      </c>
      <c r="D197" s="2" t="s">
        <v>23</v>
      </c>
      <c r="E197" s="2">
        <v>1465.35</v>
      </c>
      <c r="F197" s="2">
        <v>8</v>
      </c>
      <c r="G197" s="2">
        <v>0.2</v>
      </c>
      <c r="H197" s="3">
        <v>45746</v>
      </c>
      <c r="I197" s="2">
        <v>586.14</v>
      </c>
    </row>
    <row r="198" hidden="1" spans="1:9">
      <c r="A198" s="2" t="s">
        <v>77</v>
      </c>
      <c r="B198" s="2" t="s">
        <v>22</v>
      </c>
      <c r="C198" s="2" t="s">
        <v>28</v>
      </c>
      <c r="D198" s="2" t="s">
        <v>57</v>
      </c>
      <c r="E198" s="2">
        <v>740.8</v>
      </c>
      <c r="F198" s="2">
        <v>3</v>
      </c>
      <c r="G198" s="2">
        <v>0</v>
      </c>
      <c r="H198" s="3">
        <v>45749</v>
      </c>
      <c r="I198" s="2">
        <v>333.36</v>
      </c>
    </row>
    <row r="199" hidden="1" spans="1:9">
      <c r="A199" s="2" t="s">
        <v>83</v>
      </c>
      <c r="B199" s="2" t="s">
        <v>67</v>
      </c>
      <c r="C199" s="2" t="s">
        <v>19</v>
      </c>
      <c r="D199" s="2" t="s">
        <v>57</v>
      </c>
      <c r="E199" s="2">
        <v>545.44</v>
      </c>
      <c r="F199" s="2">
        <v>17</v>
      </c>
      <c r="G199" s="2">
        <v>0</v>
      </c>
      <c r="H199" s="3">
        <v>45752</v>
      </c>
      <c r="I199" s="2">
        <v>245.45</v>
      </c>
    </row>
    <row r="200" hidden="1" spans="1:9">
      <c r="A200" s="2" t="s">
        <v>52</v>
      </c>
      <c r="B200" s="2" t="s">
        <v>53</v>
      </c>
      <c r="C200" s="2" t="s">
        <v>26</v>
      </c>
      <c r="D200" s="2" t="s">
        <v>20</v>
      </c>
      <c r="E200" s="2">
        <v>997.61</v>
      </c>
      <c r="F200" s="2">
        <v>8</v>
      </c>
      <c r="G200" s="2">
        <v>0.05</v>
      </c>
      <c r="H200" s="3">
        <v>45752</v>
      </c>
      <c r="I200" s="2">
        <v>379.09</v>
      </c>
    </row>
    <row r="201" hidden="1" spans="1:9">
      <c r="A201" s="2" t="s">
        <v>85</v>
      </c>
      <c r="B201" s="2" t="s">
        <v>53</v>
      </c>
      <c r="C201" s="2" t="s">
        <v>28</v>
      </c>
      <c r="D201" s="2" t="s">
        <v>23</v>
      </c>
      <c r="E201" s="2">
        <v>928.32</v>
      </c>
      <c r="F201" s="2">
        <v>2</v>
      </c>
      <c r="G201" s="2">
        <v>0.05</v>
      </c>
      <c r="H201" s="3">
        <v>45754</v>
      </c>
      <c r="I201" s="2">
        <v>440.95</v>
      </c>
    </row>
  </sheetData>
  <conditionalFormatting sqref="B2">
    <cfRule type="top10" dxfId="15" priority="6" stopIfTrue="1" rank="10"/>
  </conditionalFormatting>
  <conditionalFormatting sqref="B2:B201">
    <cfRule type="top10" dxfId="15" priority="7" stopIfTrue="1" rank="10"/>
    <cfRule type="top10" dxfId="16" priority="2" stopIfTrue="1" rank="10"/>
    <cfRule type="top10" dxfId="17" priority="1" rank="10"/>
  </conditionalFormatting>
  <conditionalFormatting sqref="E2:E201">
    <cfRule type="top10" dxfId="15" priority="5" rank="10"/>
  </conditionalFormatting>
  <conditionalFormatting sqref="B2:E201">
    <cfRule type="top10" dxfId="15" priority="4" stopIfTrue="1" rank="10"/>
    <cfRule type="top10" dxfId="18" priority="3" rank="10"/>
  </conditionalFormatting>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zoomScale="111" zoomScaleNormal="111" workbookViewId="0">
      <selection activeCell="B3" sqref="B3"/>
    </sheetView>
  </sheetViews>
  <sheetFormatPr defaultColWidth="8.88888888888889" defaultRowHeight="18" outlineLevelCol="1"/>
  <cols>
    <col min="1" max="1" width="11.6666666666667"/>
    <col min="2" max="2" width="12.6666666666667"/>
    <col min="3" max="6" width="19.1111111111111"/>
    <col min="7" max="7" width="11.4444444444444"/>
  </cols>
  <sheetData>
    <row r="3" spans="1:2">
      <c r="A3" t="s">
        <v>4</v>
      </c>
      <c r="B3" t="s">
        <v>63</v>
      </c>
    </row>
    <row r="4" spans="1:2">
      <c r="A4" t="s">
        <v>50</v>
      </c>
      <c r="B4">
        <v>7685.16</v>
      </c>
    </row>
    <row r="5" spans="1:2">
      <c r="A5" t="s">
        <v>26</v>
      </c>
      <c r="B5">
        <v>4646.71</v>
      </c>
    </row>
    <row r="6" spans="1:2">
      <c r="A6" t="s">
        <v>33</v>
      </c>
      <c r="B6">
        <v>7820.03</v>
      </c>
    </row>
    <row r="7" spans="1:2">
      <c r="A7" t="s">
        <v>28</v>
      </c>
      <c r="B7">
        <v>11392.59</v>
      </c>
    </row>
    <row r="8" spans="1:2">
      <c r="A8" t="s">
        <v>19</v>
      </c>
      <c r="B8">
        <v>9176.52</v>
      </c>
    </row>
    <row r="9" spans="1:2">
      <c r="A9" t="s">
        <v>101</v>
      </c>
      <c r="B9">
        <v>40721.01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zoomScale="111" zoomScaleNormal="111" workbookViewId="0">
      <selection activeCell="B9" sqref="A3:B9"/>
    </sheetView>
  </sheetViews>
  <sheetFormatPr defaultColWidth="8.88888888888889" defaultRowHeight="18" outlineLevelCol="1"/>
  <cols>
    <col min="1" max="1" width="19.7777777777778"/>
    <col min="2" max="3" width="12.6666666666667"/>
    <col min="4" max="6" width="19.1111111111111"/>
    <col min="7" max="7" width="11.4444444444444"/>
  </cols>
  <sheetData>
    <row r="3" spans="1:2">
      <c r="A3" t="s">
        <v>5</v>
      </c>
      <c r="B3" t="s">
        <v>63</v>
      </c>
    </row>
    <row r="4" spans="1:2">
      <c r="A4" t="s">
        <v>20</v>
      </c>
      <c r="B4">
        <v>5157.04</v>
      </c>
    </row>
    <row r="5" spans="1:2">
      <c r="A5" t="s">
        <v>23</v>
      </c>
      <c r="B5">
        <v>2586.98</v>
      </c>
    </row>
    <row r="6" spans="1:2">
      <c r="A6" t="s">
        <v>29</v>
      </c>
      <c r="B6">
        <v>4214.03</v>
      </c>
    </row>
    <row r="7" spans="1:2">
      <c r="A7" t="s">
        <v>37</v>
      </c>
      <c r="B7">
        <v>4420.07</v>
      </c>
    </row>
    <row r="8" spans="1:2">
      <c r="A8" t="s">
        <v>57</v>
      </c>
      <c r="B8">
        <v>3809.39</v>
      </c>
    </row>
    <row r="9" spans="1:2">
      <c r="A9" t="s">
        <v>101</v>
      </c>
      <c r="B9">
        <v>20187.51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28"/>
  <sheetViews>
    <sheetView zoomScale="111" zoomScaleNormal="111" workbookViewId="0">
      <selection activeCell="B15" sqref="B5 B7 B9 B11 B13 B15 B17 B19 B21 B23 B25 B27"/>
      <pivotSelection pane="bottomRight" showHeader="1" extendable="1" axis="axisRow" activeRow="14" activeCol="1" previousRow="14" previousCol="1" click="1" r:id="rId1">
        <pivotArea dataOnly="0" labelOnly="1" fieldPosition="0">
          <references count="1">
            <reference field="9" count="0"/>
          </references>
        </pivotArea>
      </pivotSelection>
    </sheetView>
  </sheetViews>
  <sheetFormatPr defaultColWidth="8.88888888888889" defaultRowHeight="18" outlineLevelCol="2"/>
  <cols>
    <col min="1" max="2" width="23.2222222222222"/>
    <col min="3" max="3" width="13.1111111111111"/>
    <col min="4" max="13" width="14.1111111111111"/>
    <col min="14" max="14" width="11.4444444444444"/>
    <col min="15" max="15" width="9.22222222222222"/>
    <col min="16" max="18" width="9.66666666666667"/>
    <col min="19" max="19" width="9.44444444444444"/>
    <col min="20" max="20" width="9.66666666666667"/>
    <col min="21" max="21" width="9"/>
    <col min="22" max="22" width="9.66666666666667"/>
    <col min="23" max="23" width="9.22222222222222"/>
    <col min="24" max="25" width="9.66666666666667"/>
    <col min="26" max="26" width="11.4444444444444"/>
  </cols>
  <sheetData>
    <row r="3" spans="1:3">
      <c r="A3" t="s">
        <v>10</v>
      </c>
      <c r="B3" t="s">
        <v>11</v>
      </c>
      <c r="C3" t="s">
        <v>102</v>
      </c>
    </row>
    <row r="4" spans="1:3">
      <c r="A4" t="s">
        <v>103</v>
      </c>
      <c r="C4">
        <v>7642.31</v>
      </c>
    </row>
    <row r="5" spans="2:3">
      <c r="B5">
        <v>22242.13</v>
      </c>
      <c r="C5">
        <v>7642.31</v>
      </c>
    </row>
    <row r="6" spans="1:3">
      <c r="A6" t="s">
        <v>104</v>
      </c>
      <c r="C6">
        <v>6121.35</v>
      </c>
    </row>
    <row r="7" spans="2:3">
      <c r="B7">
        <v>18507.34</v>
      </c>
      <c r="C7">
        <v>6121.35</v>
      </c>
    </row>
    <row r="8" spans="1:3">
      <c r="A8" t="s">
        <v>105</v>
      </c>
      <c r="C8">
        <v>6918</v>
      </c>
    </row>
    <row r="9" spans="2:3">
      <c r="B9">
        <v>20187.51</v>
      </c>
      <c r="C9">
        <v>6918</v>
      </c>
    </row>
    <row r="10" spans="1:3">
      <c r="A10" t="s">
        <v>106</v>
      </c>
      <c r="C10">
        <v>3743.85</v>
      </c>
    </row>
    <row r="11" spans="2:3">
      <c r="B11">
        <v>11609.04</v>
      </c>
      <c r="C11">
        <v>3743.85</v>
      </c>
    </row>
    <row r="12" spans="1:3">
      <c r="A12" t="s">
        <v>107</v>
      </c>
      <c r="C12">
        <v>3302.84</v>
      </c>
    </row>
    <row r="13" spans="2:3">
      <c r="B13">
        <v>10091.7</v>
      </c>
      <c r="C13">
        <v>3302.84</v>
      </c>
    </row>
    <row r="14" spans="1:3">
      <c r="A14" t="s">
        <v>108</v>
      </c>
      <c r="C14">
        <v>7457.52</v>
      </c>
    </row>
    <row r="15" spans="2:3">
      <c r="B15">
        <v>20533.5</v>
      </c>
      <c r="C15">
        <v>7457.52</v>
      </c>
    </row>
    <row r="16" spans="1:3">
      <c r="A16" t="s">
        <v>109</v>
      </c>
      <c r="C16">
        <v>4861.7</v>
      </c>
    </row>
    <row r="17" spans="2:3">
      <c r="B17">
        <v>14215.24</v>
      </c>
      <c r="C17">
        <v>4861.7</v>
      </c>
    </row>
    <row r="18" spans="1:3">
      <c r="A18" t="s">
        <v>110</v>
      </c>
      <c r="C18">
        <v>6814.88</v>
      </c>
    </row>
    <row r="19" spans="2:3">
      <c r="B19">
        <v>20135.03</v>
      </c>
      <c r="C19">
        <v>6814.88</v>
      </c>
    </row>
    <row r="20" spans="1:3">
      <c r="A20" t="s">
        <v>111</v>
      </c>
      <c r="C20">
        <v>3549.99</v>
      </c>
    </row>
    <row r="21" spans="2:3">
      <c r="B21">
        <v>11120.04</v>
      </c>
      <c r="C21">
        <v>3549.99</v>
      </c>
    </row>
    <row r="22" spans="1:3">
      <c r="A22" t="s">
        <v>112</v>
      </c>
      <c r="C22">
        <v>5763.4</v>
      </c>
    </row>
    <row r="23" spans="2:3">
      <c r="B23">
        <v>14914.65</v>
      </c>
      <c r="C23">
        <v>5763.4</v>
      </c>
    </row>
    <row r="24" spans="1:3">
      <c r="A24" t="s">
        <v>113</v>
      </c>
      <c r="C24">
        <v>5039.23</v>
      </c>
    </row>
    <row r="25" spans="2:3">
      <c r="B25">
        <v>14006.36</v>
      </c>
      <c r="C25">
        <v>5039.23</v>
      </c>
    </row>
    <row r="26" spans="1:3">
      <c r="A26" t="s">
        <v>114</v>
      </c>
      <c r="C26">
        <v>7071.39</v>
      </c>
    </row>
    <row r="27" spans="2:3">
      <c r="B27">
        <v>17655.22</v>
      </c>
      <c r="C27">
        <v>7071.39</v>
      </c>
    </row>
    <row r="28" spans="1:3">
      <c r="A28" t="s">
        <v>101</v>
      </c>
      <c r="C28">
        <v>68286.46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Project Instructions</vt:lpstr>
      <vt:lpstr>Dashboard</vt:lpstr>
      <vt:lpstr>Dataset</vt:lpstr>
      <vt:lpstr>Filter</vt:lpstr>
      <vt:lpstr> Sales by region</vt:lpstr>
      <vt:lpstr>Sales by product</vt:lpstr>
      <vt:lpstr>Monthly sales and profit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2025-11-06T11:51:00Z</dcterms:created>
  <dcterms:modified xsi:type="dcterms:W3CDTF">2025-11-11T04:27:11Z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2ADE33554F1D4B668F3A79E35555C911_13</vt:lpwstr>
  </property>
  <property fmtid="{D5CDD505-2E9C-101B-9397-08002B2CF9AE}" pid="3" name="KSOProductBuildVer">
    <vt:lpwstr>1033-12.2.0.23155</vt:lpwstr>
  </property>
</Properties>
</file>