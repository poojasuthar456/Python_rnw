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75"/>
  </bookViews>
  <sheets>
    <sheet name="SUMIFS, COUNTIFS" sheetId="1" r:id="rId1"/>
    <sheet name="Sheet1" sheetId="2" r:id="rId2"/>
  </sheets>
  <definedNames>
    <definedName name="_xlnm._FilterDatabase" localSheetId="0" hidden="1">'SUMIFS, COUNTIFS'!$B$3:$F$1082</definedName>
    <definedName name="Month">'SUMIFS, COUNTIFS'!$B$4:$B$1082</definedName>
    <definedName name="Net_Sales">'SUMIFS, COUNTIFS'!$F$4:$F$1082</definedName>
    <definedName name="Product">'SUMIFS, COUNTIFS'!$E$4:$E$1082</definedName>
    <definedName name="Region">'SUMIFS, COUNTIFS'!$D$4:$D$1082</definedName>
    <definedName name="Salesman">'SUMIFS, COUNTIFS'!$C$4:$C$1082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<sst xmlns="http://schemas.openxmlformats.org/spreadsheetml/2006/main" count="3267" uniqueCount="25">
  <si>
    <t>SUMIFS, COUNTIFS, AVERAGEIFS Functions</t>
  </si>
  <si>
    <t>Month</t>
  </si>
  <si>
    <t>Salesman</t>
  </si>
  <si>
    <t>Region</t>
  </si>
  <si>
    <t>Product</t>
  </si>
  <si>
    <t>Net Sales</t>
  </si>
  <si>
    <t>SUMIFS Formula Example 1</t>
  </si>
  <si>
    <t>Salim</t>
  </si>
  <si>
    <t>North</t>
  </si>
  <si>
    <t>FastCar</t>
  </si>
  <si>
    <t>Conditions</t>
  </si>
  <si>
    <t>RapidZoo</t>
  </si>
  <si>
    <t>Rahim</t>
  </si>
  <si>
    <t>West</t>
  </si>
  <si>
    <t>SuperGlue</t>
  </si>
  <si>
    <t>Middle</t>
  </si>
  <si>
    <t xml:space="preserve"> </t>
  </si>
  <si>
    <t>Result</t>
  </si>
  <si>
    <t>SUMIFS Formula Example 2</t>
  </si>
  <si>
    <t>Maria</t>
  </si>
  <si>
    <t>COUNTIFS Formula Example 1</t>
  </si>
  <si>
    <t>Matt</t>
  </si>
  <si>
    <t>Example Formula</t>
  </si>
  <si>
    <t>AVERAGEIFS Formula Example 2</t>
  </si>
  <si>
    <t>&gt; "1/1/2008"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</si>
</sst>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dd\,mmmm\ d\,yyyy;@"/>
    <numFmt numFmtId="181" formatCode="dd/mm/yyyy"/>
    <numFmt numFmtId="182" formatCode="m/d/yyyy;@"/>
    <numFmt numFmtId="183" formatCode="0.00_);[Red]\(0.00\)"/>
    <numFmt numFmtId="184" formatCode="dd/mm/yyyy\ hh:mm"/>
    <numFmt numFmtId="185" formatCode="mmm\ yy"/>
    <numFmt numFmtId="186" formatCode="_(&quot;$&quot;* #,##0_);_(&quot;$&quot;* \(#,##0\);_(&quot;$&quot;* &quot;-&quot;??_);_(@_)"/>
    <numFmt numFmtId="187" formatCode="_(* #,##0_);_(* \(#,##0\);_(* &quot;-&quot;??_);_(@_)"/>
  </numFmts>
  <fonts count="24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Verdan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ck">
        <color theme="0"/>
      </bottom>
      <diagonal/>
    </border>
    <border>
      <left/>
      <right style="thin">
        <color theme="0"/>
      </right>
      <top style="thin">
        <color auto="1"/>
      </top>
      <bottom style="thick">
        <color theme="0"/>
      </bottom>
      <diagonal/>
    </border>
    <border>
      <left/>
      <right style="thin">
        <color auto="1"/>
      </right>
      <top style="thin">
        <color auto="1"/>
      </top>
      <bottom style="thick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3" applyNumberFormat="0" applyAlignment="0" applyProtection="0">
      <alignment vertical="center"/>
    </xf>
    <xf numFmtId="0" fontId="14" fillId="11" borderId="24" applyNumberFormat="0" applyAlignment="0" applyProtection="0">
      <alignment vertical="center"/>
    </xf>
    <xf numFmtId="0" fontId="15" fillId="11" borderId="23" applyNumberFormat="0" applyAlignment="0" applyProtection="0">
      <alignment vertical="center"/>
    </xf>
    <xf numFmtId="0" fontId="16" fillId="12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4" fillId="8" borderId="0" applyNumberFormat="0" applyBorder="0" applyAlignment="0" applyProtection="0"/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3" fillId="0" borderId="0"/>
  </cellStyleXfs>
  <cellXfs count="50">
    <xf numFmtId="0" fontId="0" fillId="0" borderId="0" xfId="0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right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 vertical="center"/>
    </xf>
    <xf numFmtId="185" fontId="0" fillId="5" borderId="7" xfId="0" applyNumberFormat="1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8" xfId="0" applyFill="1" applyBorder="1"/>
    <xf numFmtId="186" fontId="0" fillId="5" borderId="9" xfId="2" applyNumberFormat="1" applyFont="1" applyFill="1" applyBorder="1" applyAlignment="1">
      <alignment horizontal="right"/>
    </xf>
    <xf numFmtId="0" fontId="3" fillId="6" borderId="10" xfId="0" applyFont="1" applyFill="1" applyBorder="1"/>
    <xf numFmtId="185" fontId="0" fillId="7" borderId="7" xfId="0" applyNumberFormat="1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8" xfId="0" applyFill="1" applyBorder="1"/>
    <xf numFmtId="187" fontId="0" fillId="7" borderId="9" xfId="1" applyNumberFormat="1" applyFont="1" applyFill="1" applyBorder="1" applyAlignment="1">
      <alignment horizontal="right"/>
    </xf>
    <xf numFmtId="0" fontId="0" fillId="0" borderId="10" xfId="0" applyBorder="1" applyAlignment="1">
      <alignment horizontal="left" indent="1"/>
    </xf>
    <xf numFmtId="187" fontId="0" fillId="5" borderId="9" xfId="1" applyNumberFormat="1" applyFont="1" applyFill="1" applyBorder="1" applyAlignment="1">
      <alignment horizontal="right"/>
    </xf>
    <xf numFmtId="0" fontId="0" fillId="0" borderId="10" xfId="0" applyBorder="1" applyAlignment="1">
      <alignment horizontal="left" vertical="top" wrapText="1"/>
    </xf>
    <xf numFmtId="0" fontId="4" fillId="8" borderId="11" xfId="22" applyBorder="1" applyAlignment="1">
      <alignment horizontal="left" vertical="center" wrapText="1" indent="1"/>
    </xf>
    <xf numFmtId="187" fontId="0" fillId="0" borderId="0" xfId="0" applyNumberFormat="1"/>
    <xf numFmtId="181" fontId="0" fillId="0" borderId="10" xfId="0" applyNumberFormat="1" applyBorder="1" applyAlignment="1">
      <alignment horizontal="left" indent="1"/>
    </xf>
    <xf numFmtId="0" fontId="4" fillId="8" borderId="11" xfId="22" applyBorder="1" applyAlignment="1">
      <alignment horizontal="left" wrapText="1" indent="1"/>
    </xf>
    <xf numFmtId="187" fontId="4" fillId="8" borderId="11" xfId="1" applyNumberFormat="1" applyFont="1" applyFill="1" applyBorder="1" applyAlignment="1">
      <alignment horizontal="left" wrapText="1" indent="1"/>
    </xf>
    <xf numFmtId="0" fontId="1" fillId="2" borderId="12" xfId="0" applyFont="1" applyFill="1" applyBorder="1" applyAlignment="1">
      <alignment horizontal="left" vertical="center" wrapText="1" indent="1"/>
    </xf>
    <xf numFmtId="0" fontId="2" fillId="4" borderId="13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/>
    </xf>
    <xf numFmtId="0" fontId="0" fillId="6" borderId="0" xfId="0" applyFill="1"/>
    <xf numFmtId="0" fontId="0" fillId="6" borderId="15" xfId="0" applyFill="1" applyBorder="1"/>
    <xf numFmtId="0" fontId="0" fillId="0" borderId="15" xfId="0" applyBorder="1"/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4" fillId="8" borderId="16" xfId="22" applyBorder="1" applyAlignment="1">
      <alignment horizontal="left" vertical="center" wrapText="1" indent="1"/>
    </xf>
    <xf numFmtId="0" fontId="4" fillId="8" borderId="17" xfId="22" applyBorder="1" applyAlignment="1">
      <alignment horizontal="left" vertical="center" wrapText="1" indent="1"/>
    </xf>
    <xf numFmtId="0" fontId="4" fillId="8" borderId="16" xfId="22" applyBorder="1" applyAlignment="1">
      <alignment horizontal="left" wrapText="1" indent="1"/>
    </xf>
    <xf numFmtId="0" fontId="4" fillId="8" borderId="17" xfId="22" applyBorder="1" applyAlignment="1">
      <alignment horizontal="left" wrapText="1" indent="1"/>
    </xf>
    <xf numFmtId="187" fontId="4" fillId="8" borderId="16" xfId="1" applyNumberFormat="1" applyFont="1" applyFill="1" applyBorder="1" applyAlignment="1">
      <alignment horizontal="left" wrapText="1" indent="1"/>
    </xf>
    <xf numFmtId="187" fontId="4" fillId="8" borderId="17" xfId="1" applyNumberFormat="1" applyFont="1" applyFill="1" applyBorder="1" applyAlignment="1">
      <alignment horizontal="left" wrapText="1" indent="1"/>
    </xf>
    <xf numFmtId="185" fontId="0" fillId="5" borderId="18" xfId="0" applyNumberFormat="1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5" borderId="19" xfId="0" applyFill="1" applyBorder="1"/>
    <xf numFmtId="187" fontId="0" fillId="5" borderId="17" xfId="1" applyNumberFormat="1" applyFont="1" applyFill="1" applyBorder="1" applyAlignment="1">
      <alignment horizontal="righ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84"/>
  <sheetViews>
    <sheetView showGridLines="0" tabSelected="1" zoomScale="68" zoomScaleNormal="68" topLeftCell="D1" workbookViewId="0">
      <pane ySplit="1" topLeftCell="A2" activePane="bottomLeft" state="frozen"/>
      <selection/>
      <selection pane="bottomLeft" activeCell="H48" sqref="H48:J48"/>
    </sheetView>
  </sheetViews>
  <sheetFormatPr defaultColWidth="9" defaultRowHeight="14.4"/>
  <cols>
    <col min="1" max="1" width="1.28703703703704" customWidth="1"/>
    <col min="2" max="2" width="10.9444444444444" customWidth="1"/>
    <col min="3" max="3" width="12.6203703703704" style="7" customWidth="1"/>
    <col min="4" max="4" width="11.1018518518519" customWidth="1"/>
    <col min="5" max="5" width="11.5833333333333" customWidth="1"/>
    <col min="6" max="6" width="12.462962962963" customWidth="1"/>
    <col min="7" max="7" width="1.28703703703704" customWidth="1"/>
    <col min="8" max="8" width="25.712962962963" customWidth="1"/>
    <col min="10" max="10" width="10" customWidth="1"/>
  </cols>
  <sheetData>
    <row r="1" s="6" customFormat="1" ht="34.5" customHeight="1" spans="2:12">
      <c r="B1" s="8" t="s">
        <v>0</v>
      </c>
      <c r="C1" s="9"/>
      <c r="D1" s="9"/>
      <c r="E1" s="9"/>
      <c r="F1" s="9"/>
      <c r="G1" s="9"/>
      <c r="H1" s="9"/>
      <c r="I1" s="9"/>
      <c r="J1" s="32"/>
      <c r="K1"/>
      <c r="L1"/>
    </row>
    <row r="2" ht="9.75" customHeight="1" spans="2:6">
      <c r="B2" s="7"/>
      <c r="F2" s="10"/>
    </row>
    <row r="3" ht="15.15" spans="2:10">
      <c r="B3" s="11" t="s">
        <v>1</v>
      </c>
      <c r="C3" s="12" t="s">
        <v>2</v>
      </c>
      <c r="D3" s="12" t="s">
        <v>3</v>
      </c>
      <c r="E3" s="12" t="s">
        <v>4</v>
      </c>
      <c r="F3" s="13" t="s">
        <v>5</v>
      </c>
      <c r="H3" s="14" t="s">
        <v>6</v>
      </c>
      <c r="I3" s="33"/>
      <c r="J3" s="34"/>
    </row>
    <row r="4" ht="15.15" spans="2:10">
      <c r="B4" s="15">
        <v>39083</v>
      </c>
      <c r="C4" s="16" t="s">
        <v>7</v>
      </c>
      <c r="D4" s="17" t="s">
        <v>8</v>
      </c>
      <c r="E4" s="17" t="s">
        <v>9</v>
      </c>
      <c r="F4" s="18">
        <v>1592</v>
      </c>
      <c r="H4" s="19" t="s">
        <v>10</v>
      </c>
      <c r="I4" s="35"/>
      <c r="J4" s="36"/>
    </row>
    <row r="5" spans="2:10">
      <c r="B5" s="20">
        <v>39083</v>
      </c>
      <c r="C5" s="21" t="s">
        <v>7</v>
      </c>
      <c r="D5" s="22" t="s">
        <v>8</v>
      </c>
      <c r="E5" s="22" t="s">
        <v>11</v>
      </c>
      <c r="F5" s="23">
        <v>1088</v>
      </c>
      <c r="H5" s="24" t="s">
        <v>12</v>
      </c>
      <c r="J5" s="37"/>
    </row>
    <row r="6" spans="2:10">
      <c r="B6" s="15">
        <v>39083</v>
      </c>
      <c r="C6" s="16" t="s">
        <v>7</v>
      </c>
      <c r="D6" s="17" t="s">
        <v>13</v>
      </c>
      <c r="E6" s="17" t="s">
        <v>14</v>
      </c>
      <c r="F6" s="25">
        <v>1680</v>
      </c>
      <c r="H6" s="24" t="s">
        <v>13</v>
      </c>
      <c r="J6" s="37"/>
    </row>
    <row r="7" spans="2:10">
      <c r="B7" s="20">
        <v>39083</v>
      </c>
      <c r="C7" s="21" t="s">
        <v>7</v>
      </c>
      <c r="D7" s="22" t="s">
        <v>13</v>
      </c>
      <c r="E7" s="22" t="s">
        <v>9</v>
      </c>
      <c r="F7" s="23">
        <v>2133</v>
      </c>
      <c r="H7" s="24"/>
      <c r="J7" s="37"/>
    </row>
    <row r="8" spans="2:10">
      <c r="B8" s="15">
        <v>39083</v>
      </c>
      <c r="C8" s="16" t="s">
        <v>7</v>
      </c>
      <c r="D8" s="17" t="s">
        <v>13</v>
      </c>
      <c r="E8" s="17" t="s">
        <v>11</v>
      </c>
      <c r="F8" s="25">
        <v>1610</v>
      </c>
      <c r="H8" s="19"/>
      <c r="I8" s="35"/>
      <c r="J8" s="36"/>
    </row>
    <row r="9" spans="2:10">
      <c r="B9" s="20">
        <v>39083</v>
      </c>
      <c r="C9" s="21" t="s">
        <v>7</v>
      </c>
      <c r="D9" s="22" t="s">
        <v>15</v>
      </c>
      <c r="E9" s="22" t="s">
        <v>14</v>
      </c>
      <c r="F9" s="23">
        <v>1540</v>
      </c>
      <c r="H9" s="26"/>
      <c r="I9" s="38"/>
      <c r="J9" s="39"/>
    </row>
    <row r="10" spans="2:12">
      <c r="B10" s="15">
        <v>39083</v>
      </c>
      <c r="C10" s="16" t="s">
        <v>7</v>
      </c>
      <c r="D10" s="17" t="s">
        <v>15</v>
      </c>
      <c r="E10" s="17" t="s">
        <v>9</v>
      </c>
      <c r="F10" s="25">
        <v>1316</v>
      </c>
      <c r="H10" s="26"/>
      <c r="I10" s="38"/>
      <c r="J10" s="39"/>
      <c r="L10" t="s">
        <v>16</v>
      </c>
    </row>
    <row r="11" spans="2:10">
      <c r="B11" s="20">
        <v>39083</v>
      </c>
      <c r="C11" s="21" t="s">
        <v>7</v>
      </c>
      <c r="D11" s="22" t="s">
        <v>15</v>
      </c>
      <c r="E11" s="22" t="s">
        <v>11</v>
      </c>
      <c r="F11" s="23">
        <v>1799</v>
      </c>
      <c r="H11" s="19" t="s">
        <v>17</v>
      </c>
      <c r="I11" s="35"/>
      <c r="J11" s="36"/>
    </row>
    <row r="12" spans="2:10">
      <c r="B12" s="15">
        <v>39083</v>
      </c>
      <c r="C12" s="16" t="s">
        <v>12</v>
      </c>
      <c r="D12" s="17" t="s">
        <v>8</v>
      </c>
      <c r="E12" s="17" t="s">
        <v>14</v>
      </c>
      <c r="F12" s="25">
        <v>1624</v>
      </c>
      <c r="H12" s="27" cm="1">
        <f t="array" ref="H12">SUMIFS(Net_Sales,Salesman,"Rahim",Region,"West")</f>
        <v>137654</v>
      </c>
      <c r="I12" s="40"/>
      <c r="J12" s="41"/>
    </row>
    <row r="13" spans="2:6">
      <c r="B13" s="20">
        <v>39083</v>
      </c>
      <c r="C13" s="21" t="s">
        <v>12</v>
      </c>
      <c r="D13" s="22" t="s">
        <v>8</v>
      </c>
      <c r="E13" s="22" t="s">
        <v>9</v>
      </c>
      <c r="F13" s="23">
        <v>726</v>
      </c>
    </row>
    <row r="14" spans="2:10">
      <c r="B14" s="15">
        <v>39083</v>
      </c>
      <c r="C14" s="16" t="s">
        <v>12</v>
      </c>
      <c r="D14" s="17" t="s">
        <v>8</v>
      </c>
      <c r="E14" s="17" t="s">
        <v>11</v>
      </c>
      <c r="F14" s="25">
        <v>2277</v>
      </c>
      <c r="H14" s="14" t="s">
        <v>18</v>
      </c>
      <c r="I14" s="33"/>
      <c r="J14" s="34"/>
    </row>
    <row r="15" spans="2:10">
      <c r="B15" s="20">
        <v>39083</v>
      </c>
      <c r="C15" s="21" t="s">
        <v>12</v>
      </c>
      <c r="D15" s="22" t="s">
        <v>13</v>
      </c>
      <c r="E15" s="22" t="s">
        <v>14</v>
      </c>
      <c r="F15" s="23">
        <v>714</v>
      </c>
      <c r="G15" s="28"/>
      <c r="H15" s="19" t="s">
        <v>10</v>
      </c>
      <c r="I15" s="35"/>
      <c r="J15" s="36"/>
    </row>
    <row r="16" spans="2:10">
      <c r="B16" s="15">
        <v>39083</v>
      </c>
      <c r="C16" s="16" t="s">
        <v>12</v>
      </c>
      <c r="D16" s="17" t="s">
        <v>13</v>
      </c>
      <c r="E16" s="17" t="s">
        <v>9</v>
      </c>
      <c r="F16" s="25">
        <v>2682</v>
      </c>
      <c r="H16" s="24" t="s">
        <v>12</v>
      </c>
      <c r="J16" s="37"/>
    </row>
    <row r="17" spans="2:10">
      <c r="B17" s="20">
        <v>39083</v>
      </c>
      <c r="C17" s="21" t="s">
        <v>12</v>
      </c>
      <c r="D17" s="22" t="s">
        <v>13</v>
      </c>
      <c r="E17" s="22" t="s">
        <v>11</v>
      </c>
      <c r="F17" s="23">
        <v>1500</v>
      </c>
      <c r="H17" s="24" t="s">
        <v>13</v>
      </c>
      <c r="J17" s="37"/>
    </row>
    <row r="18" spans="2:10">
      <c r="B18" s="15">
        <v>39083</v>
      </c>
      <c r="C18" s="16" t="s">
        <v>12</v>
      </c>
      <c r="D18" s="17" t="s">
        <v>15</v>
      </c>
      <c r="E18" s="17" t="s">
        <v>14</v>
      </c>
      <c r="F18" s="25">
        <v>917</v>
      </c>
      <c r="H18" s="29">
        <v>39083</v>
      </c>
      <c r="J18" s="37"/>
    </row>
    <row r="19" spans="2:10">
      <c r="B19" s="20">
        <v>39083</v>
      </c>
      <c r="C19" s="21" t="s">
        <v>12</v>
      </c>
      <c r="D19" s="22" t="s">
        <v>15</v>
      </c>
      <c r="E19" s="22" t="s">
        <v>9</v>
      </c>
      <c r="F19" s="23">
        <v>1939</v>
      </c>
      <c r="H19" s="24"/>
      <c r="J19" s="37"/>
    </row>
    <row r="20" spans="2:10">
      <c r="B20" s="15">
        <v>39083</v>
      </c>
      <c r="C20" s="16" t="s">
        <v>12</v>
      </c>
      <c r="D20" s="17" t="s">
        <v>15</v>
      </c>
      <c r="E20" s="17" t="s">
        <v>11</v>
      </c>
      <c r="F20" s="25">
        <v>984</v>
      </c>
      <c r="H20" s="19"/>
      <c r="I20" s="35"/>
      <c r="J20" s="36"/>
    </row>
    <row r="21" spans="2:10">
      <c r="B21" s="20">
        <v>39083</v>
      </c>
      <c r="C21" s="21" t="s">
        <v>19</v>
      </c>
      <c r="D21" s="22" t="s">
        <v>8</v>
      </c>
      <c r="E21" s="22" t="s">
        <v>14</v>
      </c>
      <c r="F21" s="23">
        <v>981</v>
      </c>
      <c r="H21" s="26"/>
      <c r="I21" s="38"/>
      <c r="J21" s="39"/>
    </row>
    <row r="22" spans="2:10">
      <c r="B22" s="15">
        <v>39083</v>
      </c>
      <c r="C22" s="16" t="s">
        <v>19</v>
      </c>
      <c r="D22" s="17" t="s">
        <v>8</v>
      </c>
      <c r="E22" s="17" t="s">
        <v>9</v>
      </c>
      <c r="F22" s="25">
        <v>1520</v>
      </c>
      <c r="H22" s="26"/>
      <c r="I22" s="38"/>
      <c r="J22" s="39"/>
    </row>
    <row r="23" spans="2:10">
      <c r="B23" s="20">
        <v>39083</v>
      </c>
      <c r="C23" s="21" t="s">
        <v>19</v>
      </c>
      <c r="D23" s="22" t="s">
        <v>8</v>
      </c>
      <c r="E23" s="22" t="s">
        <v>11</v>
      </c>
      <c r="F23" s="23">
        <v>966</v>
      </c>
      <c r="H23" s="19" t="s">
        <v>17</v>
      </c>
      <c r="I23" s="35"/>
      <c r="J23" s="36"/>
    </row>
    <row r="24" spans="2:10">
      <c r="B24" s="15">
        <v>39083</v>
      </c>
      <c r="C24" s="16" t="s">
        <v>19</v>
      </c>
      <c r="D24" s="17" t="s">
        <v>13</v>
      </c>
      <c r="E24" s="17" t="s">
        <v>14</v>
      </c>
      <c r="F24" s="25">
        <v>2800</v>
      </c>
      <c r="H24" s="30">
        <f>SUMIFS(Net_Sales,Salesman,"Rahim",Region,"West",Month,"1/1/2007")</f>
        <v>4896</v>
      </c>
      <c r="I24" s="42"/>
      <c r="J24" s="43"/>
    </row>
    <row r="25" spans="2:6">
      <c r="B25" s="20">
        <v>39083</v>
      </c>
      <c r="C25" s="21" t="s">
        <v>19</v>
      </c>
      <c r="D25" s="22" t="s">
        <v>13</v>
      </c>
      <c r="E25" s="22" t="s">
        <v>9</v>
      </c>
      <c r="F25" s="23">
        <v>1536</v>
      </c>
    </row>
    <row r="26" spans="2:10">
      <c r="B26" s="15">
        <v>39083</v>
      </c>
      <c r="C26" s="16" t="s">
        <v>19</v>
      </c>
      <c r="D26" s="17" t="s">
        <v>13</v>
      </c>
      <c r="E26" s="17" t="s">
        <v>11</v>
      </c>
      <c r="F26" s="25">
        <v>816</v>
      </c>
      <c r="H26" s="14" t="s">
        <v>20</v>
      </c>
      <c r="I26" s="33"/>
      <c r="J26" s="34"/>
    </row>
    <row r="27" spans="2:10">
      <c r="B27" s="20">
        <v>39083</v>
      </c>
      <c r="C27" s="21" t="s">
        <v>19</v>
      </c>
      <c r="D27" s="22" t="s">
        <v>15</v>
      </c>
      <c r="E27" s="22" t="s">
        <v>14</v>
      </c>
      <c r="F27" s="23">
        <v>2547</v>
      </c>
      <c r="H27" s="19" t="s">
        <v>10</v>
      </c>
      <c r="I27" s="35"/>
      <c r="J27" s="36"/>
    </row>
    <row r="28" spans="2:10">
      <c r="B28" s="15">
        <v>39083</v>
      </c>
      <c r="C28" s="16" t="s">
        <v>19</v>
      </c>
      <c r="D28" s="17" t="s">
        <v>15</v>
      </c>
      <c r="E28" s="17" t="s">
        <v>9</v>
      </c>
      <c r="F28" s="25">
        <v>1810</v>
      </c>
      <c r="H28" s="24" t="s">
        <v>12</v>
      </c>
      <c r="J28" s="37"/>
    </row>
    <row r="29" spans="2:10">
      <c r="B29" s="20">
        <v>39083</v>
      </c>
      <c r="C29" s="21" t="s">
        <v>19</v>
      </c>
      <c r="D29" s="22" t="s">
        <v>15</v>
      </c>
      <c r="E29" s="22" t="s">
        <v>11</v>
      </c>
      <c r="F29" s="23">
        <v>2223</v>
      </c>
      <c r="H29" s="24" t="s">
        <v>13</v>
      </c>
      <c r="J29" s="37"/>
    </row>
    <row r="30" spans="2:10">
      <c r="B30" s="15">
        <v>39083</v>
      </c>
      <c r="C30" s="16" t="s">
        <v>21</v>
      </c>
      <c r="D30" s="17" t="s">
        <v>8</v>
      </c>
      <c r="E30" s="17" t="s">
        <v>14</v>
      </c>
      <c r="F30" s="25">
        <v>1377</v>
      </c>
      <c r="H30" s="24" t="str">
        <f>"1/1/2007"</f>
        <v>1/1/2007</v>
      </c>
      <c r="J30" s="37"/>
    </row>
    <row r="31" spans="2:10">
      <c r="B31" s="20">
        <v>39083</v>
      </c>
      <c r="C31" s="21" t="s">
        <v>21</v>
      </c>
      <c r="D31" s="22" t="s">
        <v>8</v>
      </c>
      <c r="E31" s="22" t="s">
        <v>9</v>
      </c>
      <c r="F31" s="23">
        <v>903</v>
      </c>
      <c r="H31" s="24"/>
      <c r="J31" s="37"/>
    </row>
    <row r="32" spans="2:10">
      <c r="B32" s="15">
        <v>39083</v>
      </c>
      <c r="C32" s="16" t="s">
        <v>21</v>
      </c>
      <c r="D32" s="17" t="s">
        <v>8</v>
      </c>
      <c r="E32" s="17" t="s">
        <v>11</v>
      </c>
      <c r="F32" s="25">
        <v>2232</v>
      </c>
      <c r="H32" s="19" t="s">
        <v>22</v>
      </c>
      <c r="I32" s="35"/>
      <c r="J32" s="36"/>
    </row>
    <row r="33" spans="2:10">
      <c r="B33" s="20">
        <v>39083</v>
      </c>
      <c r="C33" s="21" t="s">
        <v>21</v>
      </c>
      <c r="D33" s="22" t="s">
        <v>13</v>
      </c>
      <c r="E33" s="22" t="s">
        <v>14</v>
      </c>
      <c r="F33" s="23">
        <v>2070</v>
      </c>
      <c r="H33" s="26"/>
      <c r="I33" s="38"/>
      <c r="J33" s="39"/>
    </row>
    <row r="34" spans="2:10">
      <c r="B34" s="15">
        <v>39083</v>
      </c>
      <c r="C34" s="16" t="s">
        <v>21</v>
      </c>
      <c r="D34" s="17" t="s">
        <v>13</v>
      </c>
      <c r="E34" s="17" t="s">
        <v>9</v>
      </c>
      <c r="F34" s="25">
        <v>2170</v>
      </c>
      <c r="H34" s="26"/>
      <c r="I34" s="38"/>
      <c r="J34" s="39"/>
    </row>
    <row r="35" spans="2:10">
      <c r="B35" s="20">
        <v>39083</v>
      </c>
      <c r="C35" s="21" t="s">
        <v>21</v>
      </c>
      <c r="D35" s="22" t="s">
        <v>13</v>
      </c>
      <c r="E35" s="22" t="s">
        <v>11</v>
      </c>
      <c r="F35" s="23">
        <v>2610</v>
      </c>
      <c r="H35" s="19" t="s">
        <v>17</v>
      </c>
      <c r="I35" s="35"/>
      <c r="J35" s="36"/>
    </row>
    <row r="36" spans="2:10">
      <c r="B36" s="15">
        <v>39083</v>
      </c>
      <c r="C36" s="16" t="s">
        <v>21</v>
      </c>
      <c r="D36" s="17" t="s">
        <v>15</v>
      </c>
      <c r="E36" s="17" t="s">
        <v>14</v>
      </c>
      <c r="F36" s="25">
        <v>2312</v>
      </c>
      <c r="H36" s="30">
        <f>COUNTIFS(Salesman,"Rahim",Region,"West",Month,"1/1/2007")</f>
        <v>3</v>
      </c>
      <c r="I36" s="42"/>
      <c r="J36" s="43"/>
    </row>
    <row r="37" spans="2:6">
      <c r="B37" s="20">
        <v>39083</v>
      </c>
      <c r="C37" s="21" t="s">
        <v>21</v>
      </c>
      <c r="D37" s="22" t="s">
        <v>15</v>
      </c>
      <c r="E37" s="22" t="s">
        <v>9</v>
      </c>
      <c r="F37" s="23">
        <v>1020</v>
      </c>
    </row>
    <row r="38" spans="2:10">
      <c r="B38" s="15">
        <v>39083</v>
      </c>
      <c r="C38" s="16" t="s">
        <v>21</v>
      </c>
      <c r="D38" s="17" t="s">
        <v>15</v>
      </c>
      <c r="E38" s="17" t="s">
        <v>11</v>
      </c>
      <c r="F38" s="25">
        <v>872</v>
      </c>
      <c r="H38" s="14" t="s">
        <v>23</v>
      </c>
      <c r="I38" s="33"/>
      <c r="J38" s="34"/>
    </row>
    <row r="39" spans="2:10">
      <c r="B39" s="20">
        <v>39114</v>
      </c>
      <c r="C39" s="21" t="s">
        <v>7</v>
      </c>
      <c r="D39" s="22" t="s">
        <v>8</v>
      </c>
      <c r="E39" s="22" t="s">
        <v>14</v>
      </c>
      <c r="F39" s="23">
        <v>2030</v>
      </c>
      <c r="H39" s="19" t="s">
        <v>10</v>
      </c>
      <c r="I39" s="35"/>
      <c r="J39" s="36"/>
    </row>
    <row r="40" spans="2:10">
      <c r="B40" s="15">
        <v>39114</v>
      </c>
      <c r="C40" s="16" t="s">
        <v>7</v>
      </c>
      <c r="D40" s="17" t="s">
        <v>8</v>
      </c>
      <c r="E40" s="17" t="s">
        <v>9</v>
      </c>
      <c r="F40" s="25">
        <v>966</v>
      </c>
      <c r="H40" s="24" t="s">
        <v>12</v>
      </c>
      <c r="J40" s="37"/>
    </row>
    <row r="41" spans="2:10">
      <c r="B41" s="20">
        <v>39114</v>
      </c>
      <c r="C41" s="21" t="s">
        <v>7</v>
      </c>
      <c r="D41" s="22" t="s">
        <v>8</v>
      </c>
      <c r="E41" s="22" t="s">
        <v>11</v>
      </c>
      <c r="F41" s="23">
        <v>1608</v>
      </c>
      <c r="H41" s="24" t="s">
        <v>13</v>
      </c>
      <c r="J41" s="37"/>
    </row>
    <row r="42" spans="2:10">
      <c r="B42" s="15">
        <v>39114</v>
      </c>
      <c r="C42" s="16" t="s">
        <v>7</v>
      </c>
      <c r="D42" s="17" t="s">
        <v>13</v>
      </c>
      <c r="E42" s="17" t="s">
        <v>14</v>
      </c>
      <c r="F42" s="25">
        <v>2136</v>
      </c>
      <c r="H42" s="24" t="s">
        <v>24</v>
      </c>
      <c r="J42" s="37"/>
    </row>
    <row r="43" spans="2:10">
      <c r="B43" s="20">
        <v>39114</v>
      </c>
      <c r="C43" s="21" t="s">
        <v>7</v>
      </c>
      <c r="D43" s="22" t="s">
        <v>13</v>
      </c>
      <c r="E43" s="22" t="s">
        <v>9</v>
      </c>
      <c r="F43" s="23">
        <v>1561</v>
      </c>
      <c r="H43" s="24"/>
      <c r="J43" s="37"/>
    </row>
    <row r="44" spans="2:10">
      <c r="B44" s="15">
        <v>39114</v>
      </c>
      <c r="C44" s="16" t="s">
        <v>7</v>
      </c>
      <c r="D44" s="17" t="s">
        <v>13</v>
      </c>
      <c r="E44" s="17" t="s">
        <v>11</v>
      </c>
      <c r="F44" s="25">
        <v>1869</v>
      </c>
      <c r="H44" s="19" t="s">
        <v>22</v>
      </c>
      <c r="I44" s="35"/>
      <c r="J44" s="36"/>
    </row>
    <row r="45" spans="2:10">
      <c r="B45" s="20">
        <v>39114</v>
      </c>
      <c r="C45" s="21" t="s">
        <v>7</v>
      </c>
      <c r="D45" s="22" t="s">
        <v>15</v>
      </c>
      <c r="E45" s="22" t="s">
        <v>14</v>
      </c>
      <c r="F45" s="23">
        <v>1352</v>
      </c>
      <c r="H45" s="26"/>
      <c r="I45" s="38"/>
      <c r="J45" s="39"/>
    </row>
    <row r="46" spans="2:10">
      <c r="B46" s="15">
        <v>39114</v>
      </c>
      <c r="C46" s="16" t="s">
        <v>7</v>
      </c>
      <c r="D46" s="17" t="s">
        <v>15</v>
      </c>
      <c r="E46" s="17" t="s">
        <v>9</v>
      </c>
      <c r="F46" s="25">
        <v>1820</v>
      </c>
      <c r="H46" s="26"/>
      <c r="I46" s="38"/>
      <c r="J46" s="39"/>
    </row>
    <row r="47" spans="2:10">
      <c r="B47" s="20">
        <v>39114</v>
      </c>
      <c r="C47" s="21" t="s">
        <v>7</v>
      </c>
      <c r="D47" s="22" t="s">
        <v>15</v>
      </c>
      <c r="E47" s="22" t="s">
        <v>11</v>
      </c>
      <c r="F47" s="23">
        <v>756</v>
      </c>
      <c r="H47" s="19" t="s">
        <v>17</v>
      </c>
      <c r="I47" s="35"/>
      <c r="J47" s="36"/>
    </row>
    <row r="48" spans="2:10">
      <c r="B48" s="15">
        <v>39114</v>
      </c>
      <c r="C48" s="16" t="s">
        <v>12</v>
      </c>
      <c r="D48" s="17" t="s">
        <v>8</v>
      </c>
      <c r="E48" s="17" t="s">
        <v>14</v>
      </c>
      <c r="F48" s="25">
        <v>1463</v>
      </c>
      <c r="H48" s="31">
        <f>AVERAGEIFS(Net_Sales,Salesman,"Rahim",Region,"West",Month,"&gt;1/1/2008")</f>
        <v>1462.41176470588</v>
      </c>
      <c r="I48" s="44"/>
      <c r="J48" s="45"/>
    </row>
    <row r="49" spans="2:6">
      <c r="B49" s="20">
        <v>39114</v>
      </c>
      <c r="C49" s="21" t="s">
        <v>12</v>
      </c>
      <c r="D49" s="22" t="s">
        <v>8</v>
      </c>
      <c r="E49" s="22" t="s">
        <v>9</v>
      </c>
      <c r="F49" s="23">
        <v>1536</v>
      </c>
    </row>
    <row r="50" spans="2:6">
      <c r="B50" s="15">
        <v>39114</v>
      </c>
      <c r="C50" s="16" t="s">
        <v>12</v>
      </c>
      <c r="D50" s="17" t="s">
        <v>8</v>
      </c>
      <c r="E50" s="17" t="s">
        <v>11</v>
      </c>
      <c r="F50" s="25">
        <v>1220</v>
      </c>
    </row>
    <row r="51" spans="2:6">
      <c r="B51" s="20">
        <v>39114</v>
      </c>
      <c r="C51" s="21" t="s">
        <v>12</v>
      </c>
      <c r="D51" s="22" t="s">
        <v>13</v>
      </c>
      <c r="E51" s="22" t="s">
        <v>14</v>
      </c>
      <c r="F51" s="23">
        <v>1264</v>
      </c>
    </row>
    <row r="52" spans="2:6">
      <c r="B52" s="15">
        <v>39114</v>
      </c>
      <c r="C52" s="16" t="s">
        <v>12</v>
      </c>
      <c r="D52" s="17" t="s">
        <v>13</v>
      </c>
      <c r="E52" s="17" t="s">
        <v>9</v>
      </c>
      <c r="F52" s="25">
        <v>2980</v>
      </c>
    </row>
    <row r="53" spans="2:6">
      <c r="B53" s="20">
        <v>39114</v>
      </c>
      <c r="C53" s="21" t="s">
        <v>12</v>
      </c>
      <c r="D53" s="22" t="s">
        <v>13</v>
      </c>
      <c r="E53" s="22" t="s">
        <v>11</v>
      </c>
      <c r="F53" s="23">
        <v>996</v>
      </c>
    </row>
    <row r="54" spans="2:6">
      <c r="B54" s="15">
        <v>39114</v>
      </c>
      <c r="C54" s="16" t="s">
        <v>12</v>
      </c>
      <c r="D54" s="17" t="s">
        <v>15</v>
      </c>
      <c r="E54" s="17" t="s">
        <v>14</v>
      </c>
      <c r="F54" s="25">
        <v>1386</v>
      </c>
    </row>
    <row r="55" spans="2:6">
      <c r="B55" s="20">
        <v>39114</v>
      </c>
      <c r="C55" s="21" t="s">
        <v>12</v>
      </c>
      <c r="D55" s="22" t="s">
        <v>15</v>
      </c>
      <c r="E55" s="22" t="s">
        <v>9</v>
      </c>
      <c r="F55" s="23">
        <v>1608</v>
      </c>
    </row>
    <row r="56" spans="2:6">
      <c r="B56" s="15">
        <v>39114</v>
      </c>
      <c r="C56" s="16" t="s">
        <v>12</v>
      </c>
      <c r="D56" s="17" t="s">
        <v>15</v>
      </c>
      <c r="E56" s="17" t="s">
        <v>11</v>
      </c>
      <c r="F56" s="25">
        <v>931</v>
      </c>
    </row>
    <row r="57" spans="2:6">
      <c r="B57" s="20">
        <v>39114</v>
      </c>
      <c r="C57" s="21" t="s">
        <v>19</v>
      </c>
      <c r="D57" s="22" t="s">
        <v>8</v>
      </c>
      <c r="E57" s="22" t="s">
        <v>14</v>
      </c>
      <c r="F57" s="23">
        <v>1344</v>
      </c>
    </row>
    <row r="58" spans="2:6">
      <c r="B58" s="15">
        <v>39114</v>
      </c>
      <c r="C58" s="16" t="s">
        <v>19</v>
      </c>
      <c r="D58" s="17" t="s">
        <v>8</v>
      </c>
      <c r="E58" s="17" t="s">
        <v>9</v>
      </c>
      <c r="F58" s="25">
        <v>2538</v>
      </c>
    </row>
    <row r="59" spans="2:6">
      <c r="B59" s="20">
        <v>39114</v>
      </c>
      <c r="C59" s="21" t="s">
        <v>19</v>
      </c>
      <c r="D59" s="22" t="s">
        <v>8</v>
      </c>
      <c r="E59" s="22" t="s">
        <v>11</v>
      </c>
      <c r="F59" s="23">
        <v>828</v>
      </c>
    </row>
    <row r="60" spans="2:6">
      <c r="B60" s="15">
        <v>39114</v>
      </c>
      <c r="C60" s="16" t="s">
        <v>19</v>
      </c>
      <c r="D60" s="17" t="s">
        <v>13</v>
      </c>
      <c r="E60" s="17" t="s">
        <v>14</v>
      </c>
      <c r="F60" s="25">
        <v>2820</v>
      </c>
    </row>
    <row r="61" spans="2:6">
      <c r="B61" s="20">
        <v>39114</v>
      </c>
      <c r="C61" s="21" t="s">
        <v>19</v>
      </c>
      <c r="D61" s="22" t="s">
        <v>13</v>
      </c>
      <c r="E61" s="22" t="s">
        <v>9</v>
      </c>
      <c r="F61" s="23">
        <v>1491</v>
      </c>
    </row>
    <row r="62" spans="2:6">
      <c r="B62" s="15">
        <v>39114</v>
      </c>
      <c r="C62" s="16" t="s">
        <v>19</v>
      </c>
      <c r="D62" s="17" t="s">
        <v>13</v>
      </c>
      <c r="E62" s="17" t="s">
        <v>11</v>
      </c>
      <c r="F62" s="25">
        <v>1904</v>
      </c>
    </row>
    <row r="63" spans="2:6">
      <c r="B63" s="20">
        <v>39114</v>
      </c>
      <c r="C63" s="21" t="s">
        <v>19</v>
      </c>
      <c r="D63" s="22" t="s">
        <v>15</v>
      </c>
      <c r="E63" s="22" t="s">
        <v>14</v>
      </c>
      <c r="F63" s="23">
        <v>968</v>
      </c>
    </row>
    <row r="64" spans="2:6">
      <c r="B64" s="15">
        <v>39114</v>
      </c>
      <c r="C64" s="16" t="s">
        <v>19</v>
      </c>
      <c r="D64" s="17" t="s">
        <v>15</v>
      </c>
      <c r="E64" s="17" t="s">
        <v>9</v>
      </c>
      <c r="F64" s="25">
        <v>1080</v>
      </c>
    </row>
    <row r="65" spans="2:6">
      <c r="B65" s="20">
        <v>39114</v>
      </c>
      <c r="C65" s="21" t="s">
        <v>19</v>
      </c>
      <c r="D65" s="22" t="s">
        <v>15</v>
      </c>
      <c r="E65" s="22" t="s">
        <v>11</v>
      </c>
      <c r="F65" s="23">
        <v>936</v>
      </c>
    </row>
    <row r="66" spans="2:6">
      <c r="B66" s="15">
        <v>39114</v>
      </c>
      <c r="C66" s="16" t="s">
        <v>21</v>
      </c>
      <c r="D66" s="17" t="s">
        <v>8</v>
      </c>
      <c r="E66" s="17" t="s">
        <v>14</v>
      </c>
      <c r="F66" s="25">
        <v>2120</v>
      </c>
    </row>
    <row r="67" spans="2:6">
      <c r="B67" s="20">
        <v>39114</v>
      </c>
      <c r="C67" s="21" t="s">
        <v>21</v>
      </c>
      <c r="D67" s="22" t="s">
        <v>8</v>
      </c>
      <c r="E67" s="22" t="s">
        <v>9</v>
      </c>
      <c r="F67" s="23">
        <v>1740</v>
      </c>
    </row>
    <row r="68" spans="2:6">
      <c r="B68" s="15">
        <v>39114</v>
      </c>
      <c r="C68" s="16" t="s">
        <v>21</v>
      </c>
      <c r="D68" s="17" t="s">
        <v>8</v>
      </c>
      <c r="E68" s="17" t="s">
        <v>11</v>
      </c>
      <c r="F68" s="25">
        <v>1470</v>
      </c>
    </row>
    <row r="69" spans="2:6">
      <c r="B69" s="20">
        <v>39114</v>
      </c>
      <c r="C69" s="21" t="s">
        <v>21</v>
      </c>
      <c r="D69" s="22" t="s">
        <v>13</v>
      </c>
      <c r="E69" s="22" t="s">
        <v>14</v>
      </c>
      <c r="F69" s="23">
        <v>1683</v>
      </c>
    </row>
    <row r="70" spans="2:6">
      <c r="B70" s="15">
        <v>39114</v>
      </c>
      <c r="C70" s="16" t="s">
        <v>21</v>
      </c>
      <c r="D70" s="17" t="s">
        <v>13</v>
      </c>
      <c r="E70" s="17" t="s">
        <v>9</v>
      </c>
      <c r="F70" s="25">
        <v>1890</v>
      </c>
    </row>
    <row r="71" spans="2:6">
      <c r="B71" s="20">
        <v>39114</v>
      </c>
      <c r="C71" s="21" t="s">
        <v>21</v>
      </c>
      <c r="D71" s="22" t="s">
        <v>13</v>
      </c>
      <c r="E71" s="22" t="s">
        <v>11</v>
      </c>
      <c r="F71" s="23">
        <v>1704</v>
      </c>
    </row>
    <row r="72" spans="2:6">
      <c r="B72" s="15">
        <v>39114</v>
      </c>
      <c r="C72" s="16" t="s">
        <v>21</v>
      </c>
      <c r="D72" s="17" t="s">
        <v>15</v>
      </c>
      <c r="E72" s="17" t="s">
        <v>14</v>
      </c>
      <c r="F72" s="25">
        <v>1644</v>
      </c>
    </row>
    <row r="73" spans="2:6">
      <c r="B73" s="20">
        <v>39114</v>
      </c>
      <c r="C73" s="21" t="s">
        <v>21</v>
      </c>
      <c r="D73" s="22" t="s">
        <v>15</v>
      </c>
      <c r="E73" s="22" t="s">
        <v>9</v>
      </c>
      <c r="F73" s="23">
        <v>2457</v>
      </c>
    </row>
    <row r="74" spans="2:6">
      <c r="B74" s="15">
        <v>39114</v>
      </c>
      <c r="C74" s="16" t="s">
        <v>21</v>
      </c>
      <c r="D74" s="17" t="s">
        <v>15</v>
      </c>
      <c r="E74" s="17" t="s">
        <v>11</v>
      </c>
      <c r="F74" s="25">
        <v>1785</v>
      </c>
    </row>
    <row r="75" spans="2:6">
      <c r="B75" s="20">
        <v>39142</v>
      </c>
      <c r="C75" s="21" t="s">
        <v>7</v>
      </c>
      <c r="D75" s="22" t="s">
        <v>8</v>
      </c>
      <c r="E75" s="22" t="s">
        <v>14</v>
      </c>
      <c r="F75" s="23">
        <v>973</v>
      </c>
    </row>
    <row r="76" spans="2:6">
      <c r="B76" s="15">
        <v>39142</v>
      </c>
      <c r="C76" s="16" t="s">
        <v>7</v>
      </c>
      <c r="D76" s="17" t="s">
        <v>8</v>
      </c>
      <c r="E76" s="17" t="s">
        <v>9</v>
      </c>
      <c r="F76" s="25">
        <v>1644</v>
      </c>
    </row>
    <row r="77" spans="2:6">
      <c r="B77" s="20">
        <v>39142</v>
      </c>
      <c r="C77" s="21" t="s">
        <v>7</v>
      </c>
      <c r="D77" s="22" t="s">
        <v>8</v>
      </c>
      <c r="E77" s="22" t="s">
        <v>11</v>
      </c>
      <c r="F77" s="23">
        <v>2110</v>
      </c>
    </row>
    <row r="78" spans="2:6">
      <c r="B78" s="15">
        <v>39142</v>
      </c>
      <c r="C78" s="16" t="s">
        <v>7</v>
      </c>
      <c r="D78" s="17" t="s">
        <v>13</v>
      </c>
      <c r="E78" s="17" t="s">
        <v>14</v>
      </c>
      <c r="F78" s="25">
        <v>1179</v>
      </c>
    </row>
    <row r="79" spans="2:6">
      <c r="B79" s="20">
        <v>39142</v>
      </c>
      <c r="C79" s="21" t="s">
        <v>7</v>
      </c>
      <c r="D79" s="22" t="s">
        <v>13</v>
      </c>
      <c r="E79" s="22" t="s">
        <v>9</v>
      </c>
      <c r="F79" s="23">
        <v>1340</v>
      </c>
    </row>
    <row r="80" spans="2:6">
      <c r="B80" s="15">
        <v>39142</v>
      </c>
      <c r="C80" s="16" t="s">
        <v>7</v>
      </c>
      <c r="D80" s="17" t="s">
        <v>13</v>
      </c>
      <c r="E80" s="17" t="s">
        <v>11</v>
      </c>
      <c r="F80" s="25">
        <v>984</v>
      </c>
    </row>
    <row r="81" spans="2:6">
      <c r="B81" s="20">
        <v>39142</v>
      </c>
      <c r="C81" s="21" t="s">
        <v>7</v>
      </c>
      <c r="D81" s="22" t="s">
        <v>15</v>
      </c>
      <c r="E81" s="22" t="s">
        <v>14</v>
      </c>
      <c r="F81" s="23">
        <v>1971</v>
      </c>
    </row>
    <row r="82" spans="2:6">
      <c r="B82" s="15">
        <v>39142</v>
      </c>
      <c r="C82" s="16" t="s">
        <v>7</v>
      </c>
      <c r="D82" s="17" t="s">
        <v>15</v>
      </c>
      <c r="E82" s="17" t="s">
        <v>9</v>
      </c>
      <c r="F82" s="25">
        <v>1392</v>
      </c>
    </row>
    <row r="83" spans="2:6">
      <c r="B83" s="20">
        <v>39142</v>
      </c>
      <c r="C83" s="21" t="s">
        <v>7</v>
      </c>
      <c r="D83" s="22" t="s">
        <v>15</v>
      </c>
      <c r="E83" s="22" t="s">
        <v>11</v>
      </c>
      <c r="F83" s="23">
        <v>1099</v>
      </c>
    </row>
    <row r="84" spans="2:6">
      <c r="B84" s="15">
        <v>39142</v>
      </c>
      <c r="C84" s="16" t="s">
        <v>12</v>
      </c>
      <c r="D84" s="17" t="s">
        <v>8</v>
      </c>
      <c r="E84" s="17" t="s">
        <v>14</v>
      </c>
      <c r="F84" s="25">
        <v>1836</v>
      </c>
    </row>
    <row r="85" spans="2:6">
      <c r="B85" s="20">
        <v>39142</v>
      </c>
      <c r="C85" s="21" t="s">
        <v>12</v>
      </c>
      <c r="D85" s="22" t="s">
        <v>8</v>
      </c>
      <c r="E85" s="22" t="s">
        <v>9</v>
      </c>
      <c r="F85" s="23">
        <v>732</v>
      </c>
    </row>
    <row r="86" spans="2:6">
      <c r="B86" s="15">
        <v>39142</v>
      </c>
      <c r="C86" s="16" t="s">
        <v>12</v>
      </c>
      <c r="D86" s="17" t="s">
        <v>8</v>
      </c>
      <c r="E86" s="17" t="s">
        <v>11</v>
      </c>
      <c r="F86" s="25">
        <v>2637</v>
      </c>
    </row>
    <row r="87" spans="2:6">
      <c r="B87" s="20">
        <v>39142</v>
      </c>
      <c r="C87" s="21" t="s">
        <v>12</v>
      </c>
      <c r="D87" s="22" t="s">
        <v>13</v>
      </c>
      <c r="E87" s="22" t="s">
        <v>14</v>
      </c>
      <c r="F87" s="23">
        <v>1134</v>
      </c>
    </row>
    <row r="88" spans="2:6">
      <c r="B88" s="15">
        <v>39142</v>
      </c>
      <c r="C88" s="16" t="s">
        <v>12</v>
      </c>
      <c r="D88" s="17" t="s">
        <v>13</v>
      </c>
      <c r="E88" s="17" t="s">
        <v>9</v>
      </c>
      <c r="F88" s="25">
        <v>1062</v>
      </c>
    </row>
    <row r="89" spans="2:6">
      <c r="B89" s="20">
        <v>39142</v>
      </c>
      <c r="C89" s="21" t="s">
        <v>12</v>
      </c>
      <c r="D89" s="22" t="s">
        <v>13</v>
      </c>
      <c r="E89" s="22" t="s">
        <v>11</v>
      </c>
      <c r="F89" s="23">
        <v>1320</v>
      </c>
    </row>
    <row r="90" spans="2:6">
      <c r="B90" s="15">
        <v>39142</v>
      </c>
      <c r="C90" s="16" t="s">
        <v>12</v>
      </c>
      <c r="D90" s="17" t="s">
        <v>15</v>
      </c>
      <c r="E90" s="17" t="s">
        <v>14</v>
      </c>
      <c r="F90" s="25">
        <v>1140</v>
      </c>
    </row>
    <row r="91" spans="2:6">
      <c r="B91" s="20">
        <v>39142</v>
      </c>
      <c r="C91" s="21" t="s">
        <v>12</v>
      </c>
      <c r="D91" s="22" t="s">
        <v>15</v>
      </c>
      <c r="E91" s="22" t="s">
        <v>9</v>
      </c>
      <c r="F91" s="23">
        <v>2205</v>
      </c>
    </row>
    <row r="92" spans="2:6">
      <c r="B92" s="15">
        <v>39142</v>
      </c>
      <c r="C92" s="16" t="s">
        <v>12</v>
      </c>
      <c r="D92" s="17" t="s">
        <v>15</v>
      </c>
      <c r="E92" s="17" t="s">
        <v>11</v>
      </c>
      <c r="F92" s="25">
        <v>2583</v>
      </c>
    </row>
    <row r="93" spans="2:6">
      <c r="B93" s="20">
        <v>39142</v>
      </c>
      <c r="C93" s="21" t="s">
        <v>19</v>
      </c>
      <c r="D93" s="22" t="s">
        <v>8</v>
      </c>
      <c r="E93" s="22" t="s">
        <v>14</v>
      </c>
      <c r="F93" s="23">
        <v>1827</v>
      </c>
    </row>
    <row r="94" spans="2:6">
      <c r="B94" s="15">
        <v>39142</v>
      </c>
      <c r="C94" s="16" t="s">
        <v>19</v>
      </c>
      <c r="D94" s="17" t="s">
        <v>8</v>
      </c>
      <c r="E94" s="17" t="s">
        <v>9</v>
      </c>
      <c r="F94" s="25">
        <v>1488</v>
      </c>
    </row>
    <row r="95" spans="2:6">
      <c r="B95" s="20">
        <v>39142</v>
      </c>
      <c r="C95" s="21" t="s">
        <v>19</v>
      </c>
      <c r="D95" s="22" t="s">
        <v>8</v>
      </c>
      <c r="E95" s="22" t="s">
        <v>11</v>
      </c>
      <c r="F95" s="23">
        <v>1260</v>
      </c>
    </row>
    <row r="96" spans="2:6">
      <c r="B96" s="15">
        <v>39142</v>
      </c>
      <c r="C96" s="16" t="s">
        <v>19</v>
      </c>
      <c r="D96" s="17" t="s">
        <v>13</v>
      </c>
      <c r="E96" s="17" t="s">
        <v>14</v>
      </c>
      <c r="F96" s="25">
        <v>931</v>
      </c>
    </row>
    <row r="97" spans="2:6">
      <c r="B97" s="20">
        <v>39142</v>
      </c>
      <c r="C97" s="21" t="s">
        <v>19</v>
      </c>
      <c r="D97" s="22" t="s">
        <v>13</v>
      </c>
      <c r="E97" s="22" t="s">
        <v>9</v>
      </c>
      <c r="F97" s="23">
        <v>742</v>
      </c>
    </row>
    <row r="98" spans="2:6">
      <c r="B98" s="15">
        <v>39142</v>
      </c>
      <c r="C98" s="16" t="s">
        <v>19</v>
      </c>
      <c r="D98" s="17" t="s">
        <v>13</v>
      </c>
      <c r="E98" s="17" t="s">
        <v>11</v>
      </c>
      <c r="F98" s="25">
        <v>1110</v>
      </c>
    </row>
    <row r="99" spans="2:6">
      <c r="B99" s="20">
        <v>39142</v>
      </c>
      <c r="C99" s="21" t="s">
        <v>19</v>
      </c>
      <c r="D99" s="22" t="s">
        <v>15</v>
      </c>
      <c r="E99" s="22" t="s">
        <v>14</v>
      </c>
      <c r="F99" s="23">
        <v>1980</v>
      </c>
    </row>
    <row r="100" spans="2:6">
      <c r="B100" s="15">
        <v>39142</v>
      </c>
      <c r="C100" s="16" t="s">
        <v>19</v>
      </c>
      <c r="D100" s="17" t="s">
        <v>15</v>
      </c>
      <c r="E100" s="17" t="s">
        <v>9</v>
      </c>
      <c r="F100" s="25">
        <v>2180</v>
      </c>
    </row>
    <row r="101" spans="2:6">
      <c r="B101" s="20">
        <v>39142</v>
      </c>
      <c r="C101" s="21" t="s">
        <v>19</v>
      </c>
      <c r="D101" s="22" t="s">
        <v>15</v>
      </c>
      <c r="E101" s="22" t="s">
        <v>11</v>
      </c>
      <c r="F101" s="23">
        <v>1215</v>
      </c>
    </row>
    <row r="102" spans="2:6">
      <c r="B102" s="15">
        <v>39142</v>
      </c>
      <c r="C102" s="16" t="s">
        <v>21</v>
      </c>
      <c r="D102" s="17" t="s">
        <v>8</v>
      </c>
      <c r="E102" s="17" t="s">
        <v>14</v>
      </c>
      <c r="F102" s="25">
        <v>1832</v>
      </c>
    </row>
    <row r="103" spans="2:6">
      <c r="B103" s="20">
        <v>39142</v>
      </c>
      <c r="C103" s="21" t="s">
        <v>21</v>
      </c>
      <c r="D103" s="22" t="s">
        <v>8</v>
      </c>
      <c r="E103" s="22" t="s">
        <v>9</v>
      </c>
      <c r="F103" s="23">
        <v>1176</v>
      </c>
    </row>
    <row r="104" spans="2:6">
      <c r="B104" s="15">
        <v>39142</v>
      </c>
      <c r="C104" s="16" t="s">
        <v>21</v>
      </c>
      <c r="D104" s="17" t="s">
        <v>8</v>
      </c>
      <c r="E104" s="17" t="s">
        <v>11</v>
      </c>
      <c r="F104" s="25">
        <v>1044</v>
      </c>
    </row>
    <row r="105" spans="2:6">
      <c r="B105" s="20">
        <v>39142</v>
      </c>
      <c r="C105" s="21" t="s">
        <v>21</v>
      </c>
      <c r="D105" s="22" t="s">
        <v>13</v>
      </c>
      <c r="E105" s="22" t="s">
        <v>14</v>
      </c>
      <c r="F105" s="23">
        <v>981</v>
      </c>
    </row>
    <row r="106" spans="2:6">
      <c r="B106" s="15">
        <v>39142</v>
      </c>
      <c r="C106" s="16" t="s">
        <v>21</v>
      </c>
      <c r="D106" s="17" t="s">
        <v>13</v>
      </c>
      <c r="E106" s="17" t="s">
        <v>9</v>
      </c>
      <c r="F106" s="25">
        <v>1350</v>
      </c>
    </row>
    <row r="107" spans="2:6">
      <c r="B107" s="20">
        <v>39142</v>
      </c>
      <c r="C107" s="21" t="s">
        <v>21</v>
      </c>
      <c r="D107" s="22" t="s">
        <v>13</v>
      </c>
      <c r="E107" s="22" t="s">
        <v>11</v>
      </c>
      <c r="F107" s="23">
        <v>1926</v>
      </c>
    </row>
    <row r="108" spans="2:6">
      <c r="B108" s="15">
        <v>39142</v>
      </c>
      <c r="C108" s="16" t="s">
        <v>21</v>
      </c>
      <c r="D108" s="17" t="s">
        <v>15</v>
      </c>
      <c r="E108" s="17" t="s">
        <v>14</v>
      </c>
      <c r="F108" s="25">
        <v>1260</v>
      </c>
    </row>
    <row r="109" spans="2:6">
      <c r="B109" s="20">
        <v>39142</v>
      </c>
      <c r="C109" s="21" t="s">
        <v>21</v>
      </c>
      <c r="D109" s="22" t="s">
        <v>15</v>
      </c>
      <c r="E109" s="22" t="s">
        <v>9</v>
      </c>
      <c r="F109" s="23">
        <v>888</v>
      </c>
    </row>
    <row r="110" spans="2:6">
      <c r="B110" s="15">
        <v>39142</v>
      </c>
      <c r="C110" s="16" t="s">
        <v>21</v>
      </c>
      <c r="D110" s="17" t="s">
        <v>15</v>
      </c>
      <c r="E110" s="17" t="s">
        <v>11</v>
      </c>
      <c r="F110" s="25">
        <v>1090</v>
      </c>
    </row>
    <row r="111" spans="2:6">
      <c r="B111" s="20">
        <v>39173</v>
      </c>
      <c r="C111" s="21" t="s">
        <v>7</v>
      </c>
      <c r="D111" s="22" t="s">
        <v>8</v>
      </c>
      <c r="E111" s="22" t="s">
        <v>14</v>
      </c>
      <c r="F111" s="23">
        <v>2940</v>
      </c>
    </row>
    <row r="112" spans="2:6">
      <c r="B112" s="15">
        <v>39173</v>
      </c>
      <c r="C112" s="16" t="s">
        <v>7</v>
      </c>
      <c r="D112" s="17" t="s">
        <v>8</v>
      </c>
      <c r="E112" s="17" t="s">
        <v>9</v>
      </c>
      <c r="F112" s="25">
        <v>1336</v>
      </c>
    </row>
    <row r="113" spans="2:6">
      <c r="B113" s="20">
        <v>39173</v>
      </c>
      <c r="C113" s="21" t="s">
        <v>7</v>
      </c>
      <c r="D113" s="22" t="s">
        <v>8</v>
      </c>
      <c r="E113" s="22" t="s">
        <v>11</v>
      </c>
      <c r="F113" s="23">
        <v>1392</v>
      </c>
    </row>
    <row r="114" spans="2:6">
      <c r="B114" s="15">
        <v>39173</v>
      </c>
      <c r="C114" s="16" t="s">
        <v>7</v>
      </c>
      <c r="D114" s="17" t="s">
        <v>13</v>
      </c>
      <c r="E114" s="17" t="s">
        <v>14</v>
      </c>
      <c r="F114" s="25">
        <v>1090</v>
      </c>
    </row>
    <row r="115" spans="2:6">
      <c r="B115" s="20">
        <v>39173</v>
      </c>
      <c r="C115" s="21" t="s">
        <v>7</v>
      </c>
      <c r="D115" s="22" t="s">
        <v>13</v>
      </c>
      <c r="E115" s="22" t="s">
        <v>9</v>
      </c>
      <c r="F115" s="23">
        <v>1350</v>
      </c>
    </row>
    <row r="116" spans="2:6">
      <c r="B116" s="15">
        <v>39173</v>
      </c>
      <c r="C116" s="16" t="s">
        <v>7</v>
      </c>
      <c r="D116" s="17" t="s">
        <v>13</v>
      </c>
      <c r="E116" s="17" t="s">
        <v>11</v>
      </c>
      <c r="F116" s="25">
        <v>1568</v>
      </c>
    </row>
    <row r="117" spans="2:6">
      <c r="B117" s="20">
        <v>39173</v>
      </c>
      <c r="C117" s="21" t="s">
        <v>7</v>
      </c>
      <c r="D117" s="22" t="s">
        <v>15</v>
      </c>
      <c r="E117" s="22" t="s">
        <v>14</v>
      </c>
      <c r="F117" s="23">
        <v>1925</v>
      </c>
    </row>
    <row r="118" spans="2:6">
      <c r="B118" s="15">
        <v>39173</v>
      </c>
      <c r="C118" s="16" t="s">
        <v>7</v>
      </c>
      <c r="D118" s="17" t="s">
        <v>15</v>
      </c>
      <c r="E118" s="17" t="s">
        <v>9</v>
      </c>
      <c r="F118" s="25">
        <v>1358</v>
      </c>
    </row>
    <row r="119" spans="2:6">
      <c r="B119" s="20">
        <v>39173</v>
      </c>
      <c r="C119" s="21" t="s">
        <v>7</v>
      </c>
      <c r="D119" s="22" t="s">
        <v>15</v>
      </c>
      <c r="E119" s="22" t="s">
        <v>11</v>
      </c>
      <c r="F119" s="23">
        <v>888</v>
      </c>
    </row>
    <row r="120" spans="2:6">
      <c r="B120" s="15">
        <v>39173</v>
      </c>
      <c r="C120" s="16" t="s">
        <v>12</v>
      </c>
      <c r="D120" s="17" t="s">
        <v>8</v>
      </c>
      <c r="E120" s="17" t="s">
        <v>14</v>
      </c>
      <c r="F120" s="25">
        <v>1845</v>
      </c>
    </row>
    <row r="121" spans="2:6">
      <c r="B121" s="20">
        <v>39173</v>
      </c>
      <c r="C121" s="21" t="s">
        <v>12</v>
      </c>
      <c r="D121" s="22" t="s">
        <v>8</v>
      </c>
      <c r="E121" s="22" t="s">
        <v>9</v>
      </c>
      <c r="F121" s="23">
        <v>1232</v>
      </c>
    </row>
    <row r="122" spans="2:6">
      <c r="B122" s="15">
        <v>39173</v>
      </c>
      <c r="C122" s="16" t="s">
        <v>12</v>
      </c>
      <c r="D122" s="17" t="s">
        <v>8</v>
      </c>
      <c r="E122" s="17" t="s">
        <v>11</v>
      </c>
      <c r="F122" s="25">
        <v>2232</v>
      </c>
    </row>
    <row r="123" spans="2:6">
      <c r="B123" s="20">
        <v>39173</v>
      </c>
      <c r="C123" s="21" t="s">
        <v>12</v>
      </c>
      <c r="D123" s="22" t="s">
        <v>13</v>
      </c>
      <c r="E123" s="22" t="s">
        <v>14</v>
      </c>
      <c r="F123" s="23">
        <v>2079</v>
      </c>
    </row>
    <row r="124" spans="2:6">
      <c r="B124" s="15">
        <v>39173</v>
      </c>
      <c r="C124" s="16" t="s">
        <v>12</v>
      </c>
      <c r="D124" s="17" t="s">
        <v>13</v>
      </c>
      <c r="E124" s="17" t="s">
        <v>9</v>
      </c>
      <c r="F124" s="25">
        <v>1640</v>
      </c>
    </row>
    <row r="125" spans="2:6">
      <c r="B125" s="20">
        <v>39173</v>
      </c>
      <c r="C125" s="21" t="s">
        <v>12</v>
      </c>
      <c r="D125" s="22" t="s">
        <v>13</v>
      </c>
      <c r="E125" s="22" t="s">
        <v>11</v>
      </c>
      <c r="F125" s="23">
        <v>2890</v>
      </c>
    </row>
    <row r="126" spans="2:6">
      <c r="B126" s="15">
        <v>39173</v>
      </c>
      <c r="C126" s="16" t="s">
        <v>12</v>
      </c>
      <c r="D126" s="17" t="s">
        <v>15</v>
      </c>
      <c r="E126" s="17" t="s">
        <v>14</v>
      </c>
      <c r="F126" s="25">
        <v>800</v>
      </c>
    </row>
    <row r="127" spans="2:6">
      <c r="B127" s="20">
        <v>39173</v>
      </c>
      <c r="C127" s="21" t="s">
        <v>12</v>
      </c>
      <c r="D127" s="22" t="s">
        <v>15</v>
      </c>
      <c r="E127" s="22" t="s">
        <v>9</v>
      </c>
      <c r="F127" s="23">
        <v>2460</v>
      </c>
    </row>
    <row r="128" spans="2:6">
      <c r="B128" s="15">
        <v>39173</v>
      </c>
      <c r="C128" s="16" t="s">
        <v>12</v>
      </c>
      <c r="D128" s="17" t="s">
        <v>15</v>
      </c>
      <c r="E128" s="17" t="s">
        <v>11</v>
      </c>
      <c r="F128" s="25">
        <v>1872</v>
      </c>
    </row>
    <row r="129" spans="2:6">
      <c r="B129" s="20">
        <v>39173</v>
      </c>
      <c r="C129" s="21" t="s">
        <v>19</v>
      </c>
      <c r="D129" s="22" t="s">
        <v>8</v>
      </c>
      <c r="E129" s="22" t="s">
        <v>14</v>
      </c>
      <c r="F129" s="23">
        <v>833</v>
      </c>
    </row>
    <row r="130" spans="2:6">
      <c r="B130" s="15">
        <v>39173</v>
      </c>
      <c r="C130" s="16" t="s">
        <v>19</v>
      </c>
      <c r="D130" s="17" t="s">
        <v>8</v>
      </c>
      <c r="E130" s="17" t="s">
        <v>9</v>
      </c>
      <c r="F130" s="25">
        <v>728</v>
      </c>
    </row>
    <row r="131" spans="2:6">
      <c r="B131" s="20">
        <v>39173</v>
      </c>
      <c r="C131" s="21" t="s">
        <v>19</v>
      </c>
      <c r="D131" s="22" t="s">
        <v>8</v>
      </c>
      <c r="E131" s="22" t="s">
        <v>11</v>
      </c>
      <c r="F131" s="23">
        <v>2100</v>
      </c>
    </row>
    <row r="132" spans="2:6">
      <c r="B132" s="15">
        <v>39173</v>
      </c>
      <c r="C132" s="16" t="s">
        <v>19</v>
      </c>
      <c r="D132" s="17" t="s">
        <v>13</v>
      </c>
      <c r="E132" s="17" t="s">
        <v>14</v>
      </c>
      <c r="F132" s="25">
        <v>2367</v>
      </c>
    </row>
    <row r="133" spans="2:6">
      <c r="B133" s="20">
        <v>39173</v>
      </c>
      <c r="C133" s="21" t="s">
        <v>19</v>
      </c>
      <c r="D133" s="22" t="s">
        <v>13</v>
      </c>
      <c r="E133" s="22" t="s">
        <v>9</v>
      </c>
      <c r="F133" s="23">
        <v>2110</v>
      </c>
    </row>
    <row r="134" spans="2:6">
      <c r="B134" s="15">
        <v>39173</v>
      </c>
      <c r="C134" s="16" t="s">
        <v>19</v>
      </c>
      <c r="D134" s="17" t="s">
        <v>13</v>
      </c>
      <c r="E134" s="17" t="s">
        <v>11</v>
      </c>
      <c r="F134" s="25">
        <v>2072</v>
      </c>
    </row>
    <row r="135" spans="2:6">
      <c r="B135" s="20">
        <v>39173</v>
      </c>
      <c r="C135" s="21" t="s">
        <v>19</v>
      </c>
      <c r="D135" s="22" t="s">
        <v>15</v>
      </c>
      <c r="E135" s="22" t="s">
        <v>14</v>
      </c>
      <c r="F135" s="23">
        <v>1816</v>
      </c>
    </row>
    <row r="136" spans="2:6">
      <c r="B136" s="15">
        <v>39173</v>
      </c>
      <c r="C136" s="16" t="s">
        <v>19</v>
      </c>
      <c r="D136" s="17" t="s">
        <v>15</v>
      </c>
      <c r="E136" s="17" t="s">
        <v>9</v>
      </c>
      <c r="F136" s="25">
        <v>2152</v>
      </c>
    </row>
    <row r="137" spans="2:6">
      <c r="B137" s="20">
        <v>39173</v>
      </c>
      <c r="C137" s="21" t="s">
        <v>19</v>
      </c>
      <c r="D137" s="22" t="s">
        <v>15</v>
      </c>
      <c r="E137" s="22" t="s">
        <v>11</v>
      </c>
      <c r="F137" s="23">
        <v>1110</v>
      </c>
    </row>
    <row r="138" spans="2:6">
      <c r="B138" s="15">
        <v>39173</v>
      </c>
      <c r="C138" s="16" t="s">
        <v>21</v>
      </c>
      <c r="D138" s="17" t="s">
        <v>8</v>
      </c>
      <c r="E138" s="17" t="s">
        <v>14</v>
      </c>
      <c r="F138" s="25">
        <v>1064</v>
      </c>
    </row>
    <row r="139" spans="2:6">
      <c r="B139" s="20">
        <v>39173</v>
      </c>
      <c r="C139" s="21" t="s">
        <v>21</v>
      </c>
      <c r="D139" s="22" t="s">
        <v>8</v>
      </c>
      <c r="E139" s="22" t="s">
        <v>9</v>
      </c>
      <c r="F139" s="23">
        <v>805</v>
      </c>
    </row>
    <row r="140" spans="2:6">
      <c r="B140" s="15">
        <v>39173</v>
      </c>
      <c r="C140" s="16" t="s">
        <v>21</v>
      </c>
      <c r="D140" s="17" t="s">
        <v>8</v>
      </c>
      <c r="E140" s="17" t="s">
        <v>11</v>
      </c>
      <c r="F140" s="25">
        <v>1192</v>
      </c>
    </row>
    <row r="141" spans="2:6">
      <c r="B141" s="20">
        <v>39173</v>
      </c>
      <c r="C141" s="21" t="s">
        <v>21</v>
      </c>
      <c r="D141" s="22" t="s">
        <v>13</v>
      </c>
      <c r="E141" s="22" t="s">
        <v>14</v>
      </c>
      <c r="F141" s="23">
        <v>1085</v>
      </c>
    </row>
    <row r="142" spans="2:6">
      <c r="B142" s="15">
        <v>39173</v>
      </c>
      <c r="C142" s="16" t="s">
        <v>21</v>
      </c>
      <c r="D142" s="17" t="s">
        <v>13</v>
      </c>
      <c r="E142" s="17" t="s">
        <v>9</v>
      </c>
      <c r="F142" s="25">
        <v>2790</v>
      </c>
    </row>
    <row r="143" spans="2:6">
      <c r="B143" s="20">
        <v>39173</v>
      </c>
      <c r="C143" s="21" t="s">
        <v>21</v>
      </c>
      <c r="D143" s="22" t="s">
        <v>13</v>
      </c>
      <c r="E143" s="22" t="s">
        <v>11</v>
      </c>
      <c r="F143" s="23">
        <v>1026</v>
      </c>
    </row>
    <row r="144" spans="2:6">
      <c r="B144" s="15">
        <v>39173</v>
      </c>
      <c r="C144" s="16" t="s">
        <v>21</v>
      </c>
      <c r="D144" s="17" t="s">
        <v>15</v>
      </c>
      <c r="E144" s="17" t="s">
        <v>14</v>
      </c>
      <c r="F144" s="25">
        <v>2256</v>
      </c>
    </row>
    <row r="145" spans="2:6">
      <c r="B145" s="20">
        <v>39173</v>
      </c>
      <c r="C145" s="21" t="s">
        <v>21</v>
      </c>
      <c r="D145" s="22" t="s">
        <v>15</v>
      </c>
      <c r="E145" s="22" t="s">
        <v>9</v>
      </c>
      <c r="F145" s="23">
        <v>1590</v>
      </c>
    </row>
    <row r="146" spans="2:6">
      <c r="B146" s="15">
        <v>39173</v>
      </c>
      <c r="C146" s="16" t="s">
        <v>21</v>
      </c>
      <c r="D146" s="17" t="s">
        <v>15</v>
      </c>
      <c r="E146" s="17" t="s">
        <v>11</v>
      </c>
      <c r="F146" s="25">
        <v>1788</v>
      </c>
    </row>
    <row r="147" spans="2:6">
      <c r="B147" s="20">
        <v>39203</v>
      </c>
      <c r="C147" s="21" t="s">
        <v>7</v>
      </c>
      <c r="D147" s="22" t="s">
        <v>8</v>
      </c>
      <c r="E147" s="22" t="s">
        <v>14</v>
      </c>
      <c r="F147" s="23">
        <v>2500</v>
      </c>
    </row>
    <row r="148" spans="2:6">
      <c r="B148" s="15">
        <v>39203</v>
      </c>
      <c r="C148" s="16" t="s">
        <v>7</v>
      </c>
      <c r="D148" s="17" t="s">
        <v>8</v>
      </c>
      <c r="E148" s="17" t="s">
        <v>9</v>
      </c>
      <c r="F148" s="25">
        <v>707</v>
      </c>
    </row>
    <row r="149" spans="2:6">
      <c r="B149" s="20">
        <v>39203</v>
      </c>
      <c r="C149" s="21" t="s">
        <v>7</v>
      </c>
      <c r="D149" s="22" t="s">
        <v>8</v>
      </c>
      <c r="E149" s="22" t="s">
        <v>11</v>
      </c>
      <c r="F149" s="23">
        <v>1808</v>
      </c>
    </row>
    <row r="150" spans="2:6">
      <c r="B150" s="15">
        <v>39203</v>
      </c>
      <c r="C150" s="16" t="s">
        <v>7</v>
      </c>
      <c r="D150" s="17" t="s">
        <v>13</v>
      </c>
      <c r="E150" s="17" t="s">
        <v>14</v>
      </c>
      <c r="F150" s="25">
        <v>2322</v>
      </c>
    </row>
    <row r="151" spans="2:6">
      <c r="B151" s="20">
        <v>39203</v>
      </c>
      <c r="C151" s="21" t="s">
        <v>7</v>
      </c>
      <c r="D151" s="22" t="s">
        <v>13</v>
      </c>
      <c r="E151" s="22" t="s">
        <v>9</v>
      </c>
      <c r="F151" s="23">
        <v>1197</v>
      </c>
    </row>
    <row r="152" spans="2:6">
      <c r="B152" s="15">
        <v>39203</v>
      </c>
      <c r="C152" s="16" t="s">
        <v>7</v>
      </c>
      <c r="D152" s="17" t="s">
        <v>13</v>
      </c>
      <c r="E152" s="17" t="s">
        <v>11</v>
      </c>
      <c r="F152" s="25">
        <v>2106</v>
      </c>
    </row>
    <row r="153" spans="2:6">
      <c r="B153" s="20">
        <v>39203</v>
      </c>
      <c r="C153" s="21" t="s">
        <v>7</v>
      </c>
      <c r="D153" s="22" t="s">
        <v>15</v>
      </c>
      <c r="E153" s="22" t="s">
        <v>14</v>
      </c>
      <c r="F153" s="23">
        <v>2610</v>
      </c>
    </row>
    <row r="154" spans="2:6">
      <c r="B154" s="15">
        <v>39203</v>
      </c>
      <c r="C154" s="16" t="s">
        <v>7</v>
      </c>
      <c r="D154" s="17" t="s">
        <v>15</v>
      </c>
      <c r="E154" s="17" t="s">
        <v>9</v>
      </c>
      <c r="F154" s="25">
        <v>1239</v>
      </c>
    </row>
    <row r="155" spans="2:6">
      <c r="B155" s="20">
        <v>39203</v>
      </c>
      <c r="C155" s="21" t="s">
        <v>7</v>
      </c>
      <c r="D155" s="22" t="s">
        <v>15</v>
      </c>
      <c r="E155" s="22" t="s">
        <v>11</v>
      </c>
      <c r="F155" s="23">
        <v>2574</v>
      </c>
    </row>
    <row r="156" spans="2:6">
      <c r="B156" s="15">
        <v>39203</v>
      </c>
      <c r="C156" s="16" t="s">
        <v>12</v>
      </c>
      <c r="D156" s="17" t="s">
        <v>8</v>
      </c>
      <c r="E156" s="17" t="s">
        <v>14</v>
      </c>
      <c r="F156" s="25">
        <v>3000</v>
      </c>
    </row>
    <row r="157" spans="2:6">
      <c r="B157" s="20">
        <v>39203</v>
      </c>
      <c r="C157" s="21" t="s">
        <v>12</v>
      </c>
      <c r="D157" s="22" t="s">
        <v>8</v>
      </c>
      <c r="E157" s="22" t="s">
        <v>9</v>
      </c>
      <c r="F157" s="23">
        <v>1944</v>
      </c>
    </row>
    <row r="158" spans="2:6">
      <c r="B158" s="15">
        <v>39203</v>
      </c>
      <c r="C158" s="16" t="s">
        <v>12</v>
      </c>
      <c r="D158" s="17" t="s">
        <v>8</v>
      </c>
      <c r="E158" s="17" t="s">
        <v>11</v>
      </c>
      <c r="F158" s="25">
        <v>2760</v>
      </c>
    </row>
    <row r="159" spans="2:6">
      <c r="B159" s="20">
        <v>39203</v>
      </c>
      <c r="C159" s="21" t="s">
        <v>12</v>
      </c>
      <c r="D159" s="22" t="s">
        <v>13</v>
      </c>
      <c r="E159" s="22" t="s">
        <v>14</v>
      </c>
      <c r="F159" s="23">
        <v>2610</v>
      </c>
    </row>
    <row r="160" spans="2:6">
      <c r="B160" s="15">
        <v>39203</v>
      </c>
      <c r="C160" s="16" t="s">
        <v>12</v>
      </c>
      <c r="D160" s="17" t="s">
        <v>13</v>
      </c>
      <c r="E160" s="17" t="s">
        <v>9</v>
      </c>
      <c r="F160" s="25">
        <v>1500</v>
      </c>
    </row>
    <row r="161" spans="2:6">
      <c r="B161" s="20">
        <v>39203</v>
      </c>
      <c r="C161" s="21" t="s">
        <v>12</v>
      </c>
      <c r="D161" s="22" t="s">
        <v>13</v>
      </c>
      <c r="E161" s="22" t="s">
        <v>11</v>
      </c>
      <c r="F161" s="23">
        <v>618</v>
      </c>
    </row>
    <row r="162" spans="2:6">
      <c r="B162" s="15">
        <v>39203</v>
      </c>
      <c r="C162" s="16" t="s">
        <v>12</v>
      </c>
      <c r="D162" s="17" t="s">
        <v>15</v>
      </c>
      <c r="E162" s="17" t="s">
        <v>14</v>
      </c>
      <c r="F162" s="25">
        <v>1043</v>
      </c>
    </row>
    <row r="163" spans="2:6">
      <c r="B163" s="20">
        <v>39203</v>
      </c>
      <c r="C163" s="21" t="s">
        <v>12</v>
      </c>
      <c r="D163" s="22" t="s">
        <v>15</v>
      </c>
      <c r="E163" s="22" t="s">
        <v>9</v>
      </c>
      <c r="F163" s="23">
        <v>1896</v>
      </c>
    </row>
    <row r="164" spans="2:6">
      <c r="B164" s="15">
        <v>39203</v>
      </c>
      <c r="C164" s="16" t="s">
        <v>12</v>
      </c>
      <c r="D164" s="17" t="s">
        <v>15</v>
      </c>
      <c r="E164" s="17" t="s">
        <v>11</v>
      </c>
      <c r="F164" s="25">
        <v>1030</v>
      </c>
    </row>
    <row r="165" spans="2:6">
      <c r="B165" s="20">
        <v>39203</v>
      </c>
      <c r="C165" s="21" t="s">
        <v>19</v>
      </c>
      <c r="D165" s="22" t="s">
        <v>8</v>
      </c>
      <c r="E165" s="22" t="s">
        <v>14</v>
      </c>
      <c r="F165" s="23">
        <v>1911</v>
      </c>
    </row>
    <row r="166" spans="2:6">
      <c r="B166" s="15">
        <v>39203</v>
      </c>
      <c r="C166" s="16" t="s">
        <v>19</v>
      </c>
      <c r="D166" s="17" t="s">
        <v>8</v>
      </c>
      <c r="E166" s="17" t="s">
        <v>9</v>
      </c>
      <c r="F166" s="25">
        <v>2547</v>
      </c>
    </row>
    <row r="167" spans="2:6">
      <c r="B167" s="20">
        <v>39203</v>
      </c>
      <c r="C167" s="21" t="s">
        <v>19</v>
      </c>
      <c r="D167" s="22" t="s">
        <v>8</v>
      </c>
      <c r="E167" s="22" t="s">
        <v>11</v>
      </c>
      <c r="F167" s="23">
        <v>780</v>
      </c>
    </row>
    <row r="168" spans="2:6">
      <c r="B168" s="15">
        <v>39203</v>
      </c>
      <c r="C168" s="16" t="s">
        <v>19</v>
      </c>
      <c r="D168" s="17" t="s">
        <v>13</v>
      </c>
      <c r="E168" s="17" t="s">
        <v>14</v>
      </c>
      <c r="F168" s="25">
        <v>1305</v>
      </c>
    </row>
    <row r="169" spans="2:6">
      <c r="B169" s="20">
        <v>39203</v>
      </c>
      <c r="C169" s="21" t="s">
        <v>19</v>
      </c>
      <c r="D169" s="22" t="s">
        <v>13</v>
      </c>
      <c r="E169" s="22" t="s">
        <v>9</v>
      </c>
      <c r="F169" s="23">
        <v>1820</v>
      </c>
    </row>
    <row r="170" spans="2:6">
      <c r="B170" s="15">
        <v>39203</v>
      </c>
      <c r="C170" s="16" t="s">
        <v>19</v>
      </c>
      <c r="D170" s="17" t="s">
        <v>13</v>
      </c>
      <c r="E170" s="17" t="s">
        <v>11</v>
      </c>
      <c r="F170" s="25">
        <v>1904</v>
      </c>
    </row>
    <row r="171" spans="2:6">
      <c r="B171" s="20">
        <v>39203</v>
      </c>
      <c r="C171" s="21" t="s">
        <v>19</v>
      </c>
      <c r="D171" s="22" t="s">
        <v>15</v>
      </c>
      <c r="E171" s="22" t="s">
        <v>14</v>
      </c>
      <c r="F171" s="23">
        <v>1512</v>
      </c>
    </row>
    <row r="172" spans="2:6">
      <c r="B172" s="15">
        <v>39203</v>
      </c>
      <c r="C172" s="16" t="s">
        <v>19</v>
      </c>
      <c r="D172" s="17" t="s">
        <v>15</v>
      </c>
      <c r="E172" s="17" t="s">
        <v>9</v>
      </c>
      <c r="F172" s="25">
        <v>1640</v>
      </c>
    </row>
    <row r="173" spans="2:6">
      <c r="B173" s="20">
        <v>39203</v>
      </c>
      <c r="C173" s="21" t="s">
        <v>19</v>
      </c>
      <c r="D173" s="22" t="s">
        <v>15</v>
      </c>
      <c r="E173" s="22" t="s">
        <v>11</v>
      </c>
      <c r="F173" s="23">
        <v>763</v>
      </c>
    </row>
    <row r="174" spans="2:6">
      <c r="B174" s="15">
        <v>39203</v>
      </c>
      <c r="C174" s="16" t="s">
        <v>21</v>
      </c>
      <c r="D174" s="17" t="s">
        <v>8</v>
      </c>
      <c r="E174" s="17" t="s">
        <v>14</v>
      </c>
      <c r="F174" s="25">
        <v>1120</v>
      </c>
    </row>
    <row r="175" spans="2:6">
      <c r="B175" s="20">
        <v>39203</v>
      </c>
      <c r="C175" s="21" t="s">
        <v>21</v>
      </c>
      <c r="D175" s="22" t="s">
        <v>8</v>
      </c>
      <c r="E175" s="22" t="s">
        <v>9</v>
      </c>
      <c r="F175" s="23">
        <v>1056</v>
      </c>
    </row>
    <row r="176" spans="2:6">
      <c r="B176" s="15">
        <v>39203</v>
      </c>
      <c r="C176" s="16" t="s">
        <v>21</v>
      </c>
      <c r="D176" s="17" t="s">
        <v>8</v>
      </c>
      <c r="E176" s="17" t="s">
        <v>11</v>
      </c>
      <c r="F176" s="25">
        <v>1314</v>
      </c>
    </row>
    <row r="177" spans="2:6">
      <c r="B177" s="20">
        <v>39203</v>
      </c>
      <c r="C177" s="21" t="s">
        <v>21</v>
      </c>
      <c r="D177" s="22" t="s">
        <v>13</v>
      </c>
      <c r="E177" s="22" t="s">
        <v>14</v>
      </c>
      <c r="F177" s="23">
        <v>2410</v>
      </c>
    </row>
    <row r="178" spans="2:6">
      <c r="B178" s="15">
        <v>39203</v>
      </c>
      <c r="C178" s="16" t="s">
        <v>21</v>
      </c>
      <c r="D178" s="17" t="s">
        <v>13</v>
      </c>
      <c r="E178" s="17" t="s">
        <v>9</v>
      </c>
      <c r="F178" s="25">
        <v>1940</v>
      </c>
    </row>
    <row r="179" spans="2:6">
      <c r="B179" s="20">
        <v>39203</v>
      </c>
      <c r="C179" s="21" t="s">
        <v>21</v>
      </c>
      <c r="D179" s="22" t="s">
        <v>13</v>
      </c>
      <c r="E179" s="22" t="s">
        <v>11</v>
      </c>
      <c r="F179" s="23">
        <v>2268</v>
      </c>
    </row>
    <row r="180" spans="2:6">
      <c r="B180" s="15">
        <v>39203</v>
      </c>
      <c r="C180" s="16" t="s">
        <v>21</v>
      </c>
      <c r="D180" s="17" t="s">
        <v>15</v>
      </c>
      <c r="E180" s="17" t="s">
        <v>14</v>
      </c>
      <c r="F180" s="25">
        <v>903</v>
      </c>
    </row>
    <row r="181" spans="2:6">
      <c r="B181" s="20">
        <v>39203</v>
      </c>
      <c r="C181" s="21" t="s">
        <v>21</v>
      </c>
      <c r="D181" s="22" t="s">
        <v>15</v>
      </c>
      <c r="E181" s="22" t="s">
        <v>9</v>
      </c>
      <c r="F181" s="23">
        <v>1596</v>
      </c>
    </row>
    <row r="182" spans="2:6">
      <c r="B182" s="15">
        <v>39203</v>
      </c>
      <c r="C182" s="16" t="s">
        <v>21</v>
      </c>
      <c r="D182" s="17" t="s">
        <v>15</v>
      </c>
      <c r="E182" s="17" t="s">
        <v>11</v>
      </c>
      <c r="F182" s="25">
        <v>2240</v>
      </c>
    </row>
    <row r="183" spans="2:6">
      <c r="B183" s="20">
        <v>39234</v>
      </c>
      <c r="C183" s="21" t="s">
        <v>7</v>
      </c>
      <c r="D183" s="22" t="s">
        <v>8</v>
      </c>
      <c r="E183" s="22" t="s">
        <v>14</v>
      </c>
      <c r="F183" s="23">
        <v>1134</v>
      </c>
    </row>
    <row r="184" spans="2:6">
      <c r="B184" s="15">
        <v>39234</v>
      </c>
      <c r="C184" s="16" t="s">
        <v>7</v>
      </c>
      <c r="D184" s="17" t="s">
        <v>8</v>
      </c>
      <c r="E184" s="17" t="s">
        <v>9</v>
      </c>
      <c r="F184" s="25">
        <v>1600</v>
      </c>
    </row>
    <row r="185" spans="2:6">
      <c r="B185" s="20">
        <v>39234</v>
      </c>
      <c r="C185" s="21" t="s">
        <v>7</v>
      </c>
      <c r="D185" s="22" t="s">
        <v>8</v>
      </c>
      <c r="E185" s="22" t="s">
        <v>11</v>
      </c>
      <c r="F185" s="23">
        <v>2646</v>
      </c>
    </row>
    <row r="186" spans="2:6">
      <c r="B186" s="15">
        <v>39234</v>
      </c>
      <c r="C186" s="16" t="s">
        <v>7</v>
      </c>
      <c r="D186" s="17" t="s">
        <v>13</v>
      </c>
      <c r="E186" s="17" t="s">
        <v>14</v>
      </c>
      <c r="F186" s="25">
        <v>1470</v>
      </c>
    </row>
    <row r="187" spans="2:6">
      <c r="B187" s="20">
        <v>39234</v>
      </c>
      <c r="C187" s="21" t="s">
        <v>7</v>
      </c>
      <c r="D187" s="22" t="s">
        <v>13</v>
      </c>
      <c r="E187" s="22" t="s">
        <v>9</v>
      </c>
      <c r="F187" s="23">
        <v>2960</v>
      </c>
    </row>
    <row r="188" spans="2:6">
      <c r="B188" s="15">
        <v>39234</v>
      </c>
      <c r="C188" s="16" t="s">
        <v>7</v>
      </c>
      <c r="D188" s="17" t="s">
        <v>13</v>
      </c>
      <c r="E188" s="17" t="s">
        <v>11</v>
      </c>
      <c r="F188" s="25">
        <v>1512</v>
      </c>
    </row>
    <row r="189" spans="2:6">
      <c r="B189" s="20">
        <v>39234</v>
      </c>
      <c r="C189" s="21" t="s">
        <v>7</v>
      </c>
      <c r="D189" s="22" t="s">
        <v>15</v>
      </c>
      <c r="E189" s="22" t="s">
        <v>14</v>
      </c>
      <c r="F189" s="23">
        <v>2520</v>
      </c>
    </row>
    <row r="190" spans="2:6">
      <c r="B190" s="15">
        <v>39234</v>
      </c>
      <c r="C190" s="16" t="s">
        <v>7</v>
      </c>
      <c r="D190" s="17" t="s">
        <v>15</v>
      </c>
      <c r="E190" s="17" t="s">
        <v>9</v>
      </c>
      <c r="F190" s="25">
        <v>1026</v>
      </c>
    </row>
    <row r="191" spans="2:6">
      <c r="B191" s="20">
        <v>39234</v>
      </c>
      <c r="C191" s="21" t="s">
        <v>7</v>
      </c>
      <c r="D191" s="22" t="s">
        <v>15</v>
      </c>
      <c r="E191" s="22" t="s">
        <v>11</v>
      </c>
      <c r="F191" s="23">
        <v>1320</v>
      </c>
    </row>
    <row r="192" spans="2:6">
      <c r="B192" s="15">
        <v>39234</v>
      </c>
      <c r="C192" s="16" t="s">
        <v>12</v>
      </c>
      <c r="D192" s="17" t="s">
        <v>8</v>
      </c>
      <c r="E192" s="17" t="s">
        <v>14</v>
      </c>
      <c r="F192" s="25">
        <v>2840</v>
      </c>
    </row>
    <row r="193" spans="2:6">
      <c r="B193" s="20">
        <v>39234</v>
      </c>
      <c r="C193" s="21" t="s">
        <v>12</v>
      </c>
      <c r="D193" s="22" t="s">
        <v>8</v>
      </c>
      <c r="E193" s="22" t="s">
        <v>9</v>
      </c>
      <c r="F193" s="23">
        <v>1280</v>
      </c>
    </row>
    <row r="194" spans="2:6">
      <c r="B194" s="15">
        <v>39234</v>
      </c>
      <c r="C194" s="16" t="s">
        <v>12</v>
      </c>
      <c r="D194" s="17" t="s">
        <v>8</v>
      </c>
      <c r="E194" s="17" t="s">
        <v>11</v>
      </c>
      <c r="F194" s="25">
        <v>1666</v>
      </c>
    </row>
    <row r="195" spans="2:6">
      <c r="B195" s="20">
        <v>39234</v>
      </c>
      <c r="C195" s="21" t="s">
        <v>12</v>
      </c>
      <c r="D195" s="22" t="s">
        <v>13</v>
      </c>
      <c r="E195" s="22" t="s">
        <v>14</v>
      </c>
      <c r="F195" s="23">
        <v>1435</v>
      </c>
    </row>
    <row r="196" spans="2:6">
      <c r="B196" s="15">
        <v>39234</v>
      </c>
      <c r="C196" s="16" t="s">
        <v>12</v>
      </c>
      <c r="D196" s="17" t="s">
        <v>13</v>
      </c>
      <c r="E196" s="17" t="s">
        <v>9</v>
      </c>
      <c r="F196" s="25">
        <v>942</v>
      </c>
    </row>
    <row r="197" spans="2:6">
      <c r="B197" s="20">
        <v>39234</v>
      </c>
      <c r="C197" s="21" t="s">
        <v>12</v>
      </c>
      <c r="D197" s="22" t="s">
        <v>13</v>
      </c>
      <c r="E197" s="22" t="s">
        <v>11</v>
      </c>
      <c r="F197" s="23">
        <v>1764</v>
      </c>
    </row>
    <row r="198" spans="2:6">
      <c r="B198" s="15">
        <v>39234</v>
      </c>
      <c r="C198" s="16" t="s">
        <v>12</v>
      </c>
      <c r="D198" s="17" t="s">
        <v>15</v>
      </c>
      <c r="E198" s="17" t="s">
        <v>14</v>
      </c>
      <c r="F198" s="25">
        <v>2750</v>
      </c>
    </row>
    <row r="199" spans="2:6">
      <c r="B199" s="20">
        <v>39234</v>
      </c>
      <c r="C199" s="21" t="s">
        <v>12</v>
      </c>
      <c r="D199" s="22" t="s">
        <v>15</v>
      </c>
      <c r="E199" s="22" t="s">
        <v>9</v>
      </c>
      <c r="F199" s="23">
        <v>1552</v>
      </c>
    </row>
    <row r="200" spans="2:6">
      <c r="B200" s="15">
        <v>39234</v>
      </c>
      <c r="C200" s="16" t="s">
        <v>12</v>
      </c>
      <c r="D200" s="17" t="s">
        <v>15</v>
      </c>
      <c r="E200" s="17" t="s">
        <v>11</v>
      </c>
      <c r="F200" s="25">
        <v>1740</v>
      </c>
    </row>
    <row r="201" spans="2:6">
      <c r="B201" s="20">
        <v>39234</v>
      </c>
      <c r="C201" s="21" t="s">
        <v>19</v>
      </c>
      <c r="D201" s="22" t="s">
        <v>8</v>
      </c>
      <c r="E201" s="22" t="s">
        <v>14</v>
      </c>
      <c r="F201" s="23">
        <v>868</v>
      </c>
    </row>
    <row r="202" spans="2:6">
      <c r="B202" s="15">
        <v>39234</v>
      </c>
      <c r="C202" s="16" t="s">
        <v>19</v>
      </c>
      <c r="D202" s="17" t="s">
        <v>8</v>
      </c>
      <c r="E202" s="17" t="s">
        <v>9</v>
      </c>
      <c r="F202" s="25">
        <v>2960</v>
      </c>
    </row>
    <row r="203" spans="2:6">
      <c r="B203" s="20">
        <v>39234</v>
      </c>
      <c r="C203" s="21" t="s">
        <v>19</v>
      </c>
      <c r="D203" s="22" t="s">
        <v>8</v>
      </c>
      <c r="E203" s="22" t="s">
        <v>11</v>
      </c>
      <c r="F203" s="23">
        <v>1736</v>
      </c>
    </row>
    <row r="204" spans="2:6">
      <c r="B204" s="15">
        <v>39234</v>
      </c>
      <c r="C204" s="16" t="s">
        <v>19</v>
      </c>
      <c r="D204" s="17" t="s">
        <v>13</v>
      </c>
      <c r="E204" s="17" t="s">
        <v>14</v>
      </c>
      <c r="F204" s="25">
        <v>1200</v>
      </c>
    </row>
    <row r="205" spans="2:6">
      <c r="B205" s="20">
        <v>39234</v>
      </c>
      <c r="C205" s="21" t="s">
        <v>19</v>
      </c>
      <c r="D205" s="22" t="s">
        <v>13</v>
      </c>
      <c r="E205" s="22" t="s">
        <v>9</v>
      </c>
      <c r="F205" s="23">
        <v>1590</v>
      </c>
    </row>
    <row r="206" spans="2:6">
      <c r="B206" s="15">
        <v>39234</v>
      </c>
      <c r="C206" s="16" t="s">
        <v>19</v>
      </c>
      <c r="D206" s="17" t="s">
        <v>13</v>
      </c>
      <c r="E206" s="17" t="s">
        <v>11</v>
      </c>
      <c r="F206" s="25">
        <v>1485</v>
      </c>
    </row>
    <row r="207" spans="2:6">
      <c r="B207" s="20">
        <v>39234</v>
      </c>
      <c r="C207" s="21" t="s">
        <v>19</v>
      </c>
      <c r="D207" s="22" t="s">
        <v>15</v>
      </c>
      <c r="E207" s="22" t="s">
        <v>14</v>
      </c>
      <c r="F207" s="23">
        <v>2080</v>
      </c>
    </row>
    <row r="208" spans="2:6">
      <c r="B208" s="15">
        <v>39234</v>
      </c>
      <c r="C208" s="16" t="s">
        <v>19</v>
      </c>
      <c r="D208" s="17" t="s">
        <v>15</v>
      </c>
      <c r="E208" s="17" t="s">
        <v>9</v>
      </c>
      <c r="F208" s="25">
        <v>2710</v>
      </c>
    </row>
    <row r="209" spans="2:6">
      <c r="B209" s="20">
        <v>39234</v>
      </c>
      <c r="C209" s="21" t="s">
        <v>19</v>
      </c>
      <c r="D209" s="22" t="s">
        <v>15</v>
      </c>
      <c r="E209" s="22" t="s">
        <v>11</v>
      </c>
      <c r="F209" s="23">
        <v>2096</v>
      </c>
    </row>
    <row r="210" spans="2:6">
      <c r="B210" s="15">
        <v>39234</v>
      </c>
      <c r="C210" s="16" t="s">
        <v>21</v>
      </c>
      <c r="D210" s="17" t="s">
        <v>8</v>
      </c>
      <c r="E210" s="17" t="s">
        <v>14</v>
      </c>
      <c r="F210" s="25">
        <v>1070</v>
      </c>
    </row>
    <row r="211" spans="2:6">
      <c r="B211" s="20">
        <v>39234</v>
      </c>
      <c r="C211" s="21" t="s">
        <v>21</v>
      </c>
      <c r="D211" s="22" t="s">
        <v>8</v>
      </c>
      <c r="E211" s="22" t="s">
        <v>9</v>
      </c>
      <c r="F211" s="23">
        <v>2007</v>
      </c>
    </row>
    <row r="212" spans="2:6">
      <c r="B212" s="15">
        <v>39234</v>
      </c>
      <c r="C212" s="16" t="s">
        <v>21</v>
      </c>
      <c r="D212" s="17" t="s">
        <v>8</v>
      </c>
      <c r="E212" s="17" t="s">
        <v>11</v>
      </c>
      <c r="F212" s="25">
        <v>1420</v>
      </c>
    </row>
    <row r="213" spans="2:6">
      <c r="B213" s="20">
        <v>39234</v>
      </c>
      <c r="C213" s="21" t="s">
        <v>21</v>
      </c>
      <c r="D213" s="22" t="s">
        <v>13</v>
      </c>
      <c r="E213" s="22" t="s">
        <v>14</v>
      </c>
      <c r="F213" s="23">
        <v>738</v>
      </c>
    </row>
    <row r="214" spans="2:6">
      <c r="B214" s="15">
        <v>39234</v>
      </c>
      <c r="C214" s="16" t="s">
        <v>21</v>
      </c>
      <c r="D214" s="17" t="s">
        <v>13</v>
      </c>
      <c r="E214" s="17" t="s">
        <v>9</v>
      </c>
      <c r="F214" s="25">
        <v>2007</v>
      </c>
    </row>
    <row r="215" spans="2:6">
      <c r="B215" s="20">
        <v>39234</v>
      </c>
      <c r="C215" s="21" t="s">
        <v>21</v>
      </c>
      <c r="D215" s="22" t="s">
        <v>13</v>
      </c>
      <c r="E215" s="22" t="s">
        <v>11</v>
      </c>
      <c r="F215" s="23">
        <v>1304</v>
      </c>
    </row>
    <row r="216" spans="2:6">
      <c r="B216" s="15">
        <v>39234</v>
      </c>
      <c r="C216" s="16" t="s">
        <v>21</v>
      </c>
      <c r="D216" s="17" t="s">
        <v>15</v>
      </c>
      <c r="E216" s="17" t="s">
        <v>14</v>
      </c>
      <c r="F216" s="25">
        <v>1880</v>
      </c>
    </row>
    <row r="217" spans="2:6">
      <c r="B217" s="20">
        <v>39234</v>
      </c>
      <c r="C217" s="21" t="s">
        <v>21</v>
      </c>
      <c r="D217" s="22" t="s">
        <v>15</v>
      </c>
      <c r="E217" s="22" t="s">
        <v>9</v>
      </c>
      <c r="F217" s="23">
        <v>984</v>
      </c>
    </row>
    <row r="218" spans="2:6">
      <c r="B218" s="15">
        <v>39234</v>
      </c>
      <c r="C218" s="16" t="s">
        <v>21</v>
      </c>
      <c r="D218" s="17" t="s">
        <v>15</v>
      </c>
      <c r="E218" s="17" t="s">
        <v>11</v>
      </c>
      <c r="F218" s="25">
        <v>2065</v>
      </c>
    </row>
    <row r="219" spans="2:6">
      <c r="B219" s="20">
        <v>39264</v>
      </c>
      <c r="C219" s="21" t="s">
        <v>7</v>
      </c>
      <c r="D219" s="22" t="s">
        <v>8</v>
      </c>
      <c r="E219" s="22" t="s">
        <v>14</v>
      </c>
      <c r="F219" s="23">
        <v>1110</v>
      </c>
    </row>
    <row r="220" spans="2:6">
      <c r="B220" s="15">
        <v>39264</v>
      </c>
      <c r="C220" s="16" t="s">
        <v>7</v>
      </c>
      <c r="D220" s="17" t="s">
        <v>8</v>
      </c>
      <c r="E220" s="17" t="s">
        <v>9</v>
      </c>
      <c r="F220" s="25">
        <v>1854</v>
      </c>
    </row>
    <row r="221" spans="2:6">
      <c r="B221" s="20">
        <v>39264</v>
      </c>
      <c r="C221" s="21" t="s">
        <v>7</v>
      </c>
      <c r="D221" s="22" t="s">
        <v>8</v>
      </c>
      <c r="E221" s="22" t="s">
        <v>11</v>
      </c>
      <c r="F221" s="23">
        <v>1870</v>
      </c>
    </row>
    <row r="222" spans="2:6">
      <c r="B222" s="15">
        <v>39264</v>
      </c>
      <c r="C222" s="16" t="s">
        <v>7</v>
      </c>
      <c r="D222" s="17" t="s">
        <v>13</v>
      </c>
      <c r="E222" s="17" t="s">
        <v>14</v>
      </c>
      <c r="F222" s="25">
        <v>1674</v>
      </c>
    </row>
    <row r="223" spans="2:6">
      <c r="B223" s="20">
        <v>39264</v>
      </c>
      <c r="C223" s="21" t="s">
        <v>7</v>
      </c>
      <c r="D223" s="22" t="s">
        <v>13</v>
      </c>
      <c r="E223" s="22" t="s">
        <v>9</v>
      </c>
      <c r="F223" s="23">
        <v>714</v>
      </c>
    </row>
    <row r="224" spans="2:6">
      <c r="B224" s="15">
        <v>39264</v>
      </c>
      <c r="C224" s="16" t="s">
        <v>7</v>
      </c>
      <c r="D224" s="17" t="s">
        <v>13</v>
      </c>
      <c r="E224" s="17" t="s">
        <v>11</v>
      </c>
      <c r="F224" s="25">
        <v>1485</v>
      </c>
    </row>
    <row r="225" spans="2:6">
      <c r="B225" s="20">
        <v>39264</v>
      </c>
      <c r="C225" s="21" t="s">
        <v>7</v>
      </c>
      <c r="D225" s="22" t="s">
        <v>15</v>
      </c>
      <c r="E225" s="22" t="s">
        <v>14</v>
      </c>
      <c r="F225" s="23">
        <v>882</v>
      </c>
    </row>
    <row r="226" spans="2:6">
      <c r="B226" s="15">
        <v>39264</v>
      </c>
      <c r="C226" s="16" t="s">
        <v>7</v>
      </c>
      <c r="D226" s="17" t="s">
        <v>15</v>
      </c>
      <c r="E226" s="17" t="s">
        <v>9</v>
      </c>
      <c r="F226" s="25">
        <v>1960</v>
      </c>
    </row>
    <row r="227" spans="2:6">
      <c r="B227" s="20">
        <v>39264</v>
      </c>
      <c r="C227" s="21" t="s">
        <v>7</v>
      </c>
      <c r="D227" s="22" t="s">
        <v>15</v>
      </c>
      <c r="E227" s="22" t="s">
        <v>11</v>
      </c>
      <c r="F227" s="23">
        <v>1827</v>
      </c>
    </row>
    <row r="228" spans="2:6">
      <c r="B228" s="15">
        <v>39264</v>
      </c>
      <c r="C228" s="16" t="s">
        <v>12</v>
      </c>
      <c r="D228" s="17" t="s">
        <v>8</v>
      </c>
      <c r="E228" s="17" t="s">
        <v>14</v>
      </c>
      <c r="F228" s="25">
        <v>2646</v>
      </c>
    </row>
    <row r="229" spans="2:6">
      <c r="B229" s="20">
        <v>39264</v>
      </c>
      <c r="C229" s="21" t="s">
        <v>12</v>
      </c>
      <c r="D229" s="22" t="s">
        <v>8</v>
      </c>
      <c r="E229" s="22" t="s">
        <v>9</v>
      </c>
      <c r="F229" s="23">
        <v>2088</v>
      </c>
    </row>
    <row r="230" spans="2:6">
      <c r="B230" s="15">
        <v>39264</v>
      </c>
      <c r="C230" s="16" t="s">
        <v>12</v>
      </c>
      <c r="D230" s="17" t="s">
        <v>8</v>
      </c>
      <c r="E230" s="17" t="s">
        <v>11</v>
      </c>
      <c r="F230" s="25">
        <v>2352</v>
      </c>
    </row>
    <row r="231" spans="2:6">
      <c r="B231" s="20">
        <v>39264</v>
      </c>
      <c r="C231" s="21" t="s">
        <v>12</v>
      </c>
      <c r="D231" s="22" t="s">
        <v>13</v>
      </c>
      <c r="E231" s="22" t="s">
        <v>14</v>
      </c>
      <c r="F231" s="23">
        <v>1662</v>
      </c>
    </row>
    <row r="232" spans="2:6">
      <c r="B232" s="15">
        <v>39264</v>
      </c>
      <c r="C232" s="16" t="s">
        <v>12</v>
      </c>
      <c r="D232" s="17" t="s">
        <v>13</v>
      </c>
      <c r="E232" s="17" t="s">
        <v>9</v>
      </c>
      <c r="F232" s="25">
        <v>1350</v>
      </c>
    </row>
    <row r="233" spans="2:6">
      <c r="B233" s="20">
        <v>39264</v>
      </c>
      <c r="C233" s="21" t="s">
        <v>12</v>
      </c>
      <c r="D233" s="22" t="s">
        <v>13</v>
      </c>
      <c r="E233" s="22" t="s">
        <v>11</v>
      </c>
      <c r="F233" s="23">
        <v>1316</v>
      </c>
    </row>
    <row r="234" spans="2:6">
      <c r="B234" s="15">
        <v>39264</v>
      </c>
      <c r="C234" s="16" t="s">
        <v>12</v>
      </c>
      <c r="D234" s="17" t="s">
        <v>15</v>
      </c>
      <c r="E234" s="17" t="s">
        <v>14</v>
      </c>
      <c r="F234" s="25">
        <v>1110</v>
      </c>
    </row>
    <row r="235" spans="2:6">
      <c r="B235" s="20">
        <v>39264</v>
      </c>
      <c r="C235" s="21" t="s">
        <v>12</v>
      </c>
      <c r="D235" s="22" t="s">
        <v>15</v>
      </c>
      <c r="E235" s="22" t="s">
        <v>9</v>
      </c>
      <c r="F235" s="23">
        <v>2020</v>
      </c>
    </row>
    <row r="236" spans="2:6">
      <c r="B236" s="15">
        <v>39264</v>
      </c>
      <c r="C236" s="16" t="s">
        <v>12</v>
      </c>
      <c r="D236" s="17" t="s">
        <v>15</v>
      </c>
      <c r="E236" s="17" t="s">
        <v>11</v>
      </c>
      <c r="F236" s="25">
        <v>1267</v>
      </c>
    </row>
    <row r="237" spans="2:6">
      <c r="B237" s="20">
        <v>39264</v>
      </c>
      <c r="C237" s="21" t="s">
        <v>19</v>
      </c>
      <c r="D237" s="22" t="s">
        <v>8</v>
      </c>
      <c r="E237" s="22" t="s">
        <v>14</v>
      </c>
      <c r="F237" s="23">
        <v>1856</v>
      </c>
    </row>
    <row r="238" spans="2:6">
      <c r="B238" s="15">
        <v>39264</v>
      </c>
      <c r="C238" s="16" t="s">
        <v>19</v>
      </c>
      <c r="D238" s="17" t="s">
        <v>8</v>
      </c>
      <c r="E238" s="17" t="s">
        <v>9</v>
      </c>
      <c r="F238" s="25">
        <v>1176</v>
      </c>
    </row>
    <row r="239" spans="2:6">
      <c r="B239" s="20">
        <v>39264</v>
      </c>
      <c r="C239" s="21" t="s">
        <v>19</v>
      </c>
      <c r="D239" s="22" t="s">
        <v>8</v>
      </c>
      <c r="E239" s="22" t="s">
        <v>11</v>
      </c>
      <c r="F239" s="23">
        <v>1090</v>
      </c>
    </row>
    <row r="240" spans="2:6">
      <c r="B240" s="15">
        <v>39264</v>
      </c>
      <c r="C240" s="16" t="s">
        <v>19</v>
      </c>
      <c r="D240" s="17" t="s">
        <v>13</v>
      </c>
      <c r="E240" s="17" t="s">
        <v>14</v>
      </c>
      <c r="F240" s="25">
        <v>1320</v>
      </c>
    </row>
    <row r="241" spans="2:6">
      <c r="B241" s="20">
        <v>39264</v>
      </c>
      <c r="C241" s="21" t="s">
        <v>19</v>
      </c>
      <c r="D241" s="22" t="s">
        <v>13</v>
      </c>
      <c r="E241" s="22" t="s">
        <v>9</v>
      </c>
      <c r="F241" s="23">
        <v>2280</v>
      </c>
    </row>
    <row r="242" spans="2:6">
      <c r="B242" s="15">
        <v>39264</v>
      </c>
      <c r="C242" s="16" t="s">
        <v>19</v>
      </c>
      <c r="D242" s="17" t="s">
        <v>13</v>
      </c>
      <c r="E242" s="17" t="s">
        <v>11</v>
      </c>
      <c r="F242" s="25">
        <v>777</v>
      </c>
    </row>
    <row r="243" spans="2:6">
      <c r="B243" s="20">
        <v>39264</v>
      </c>
      <c r="C243" s="21" t="s">
        <v>19</v>
      </c>
      <c r="D243" s="22" t="s">
        <v>15</v>
      </c>
      <c r="E243" s="22" t="s">
        <v>14</v>
      </c>
      <c r="F243" s="23">
        <v>1056</v>
      </c>
    </row>
    <row r="244" spans="2:6">
      <c r="B244" s="15">
        <v>39264</v>
      </c>
      <c r="C244" s="16" t="s">
        <v>19</v>
      </c>
      <c r="D244" s="17" t="s">
        <v>15</v>
      </c>
      <c r="E244" s="17" t="s">
        <v>9</v>
      </c>
      <c r="F244" s="25">
        <v>1530</v>
      </c>
    </row>
    <row r="245" spans="2:6">
      <c r="B245" s="20">
        <v>39264</v>
      </c>
      <c r="C245" s="21" t="s">
        <v>19</v>
      </c>
      <c r="D245" s="22" t="s">
        <v>15</v>
      </c>
      <c r="E245" s="22" t="s">
        <v>11</v>
      </c>
      <c r="F245" s="23">
        <v>963</v>
      </c>
    </row>
    <row r="246" spans="2:6">
      <c r="B246" s="15">
        <v>39264</v>
      </c>
      <c r="C246" s="16" t="s">
        <v>21</v>
      </c>
      <c r="D246" s="17" t="s">
        <v>8</v>
      </c>
      <c r="E246" s="17" t="s">
        <v>14</v>
      </c>
      <c r="F246" s="25">
        <v>1926</v>
      </c>
    </row>
    <row r="247" spans="2:6">
      <c r="B247" s="20">
        <v>39264</v>
      </c>
      <c r="C247" s="21" t="s">
        <v>21</v>
      </c>
      <c r="D247" s="22" t="s">
        <v>8</v>
      </c>
      <c r="E247" s="22" t="s">
        <v>9</v>
      </c>
      <c r="F247" s="23">
        <v>2457</v>
      </c>
    </row>
    <row r="248" spans="2:6">
      <c r="B248" s="15">
        <v>39264</v>
      </c>
      <c r="C248" s="16" t="s">
        <v>21</v>
      </c>
      <c r="D248" s="17" t="s">
        <v>8</v>
      </c>
      <c r="E248" s="17" t="s">
        <v>11</v>
      </c>
      <c r="F248" s="25">
        <v>792</v>
      </c>
    </row>
    <row r="249" spans="2:6">
      <c r="B249" s="20">
        <v>39264</v>
      </c>
      <c r="C249" s="21" t="s">
        <v>21</v>
      </c>
      <c r="D249" s="22" t="s">
        <v>13</v>
      </c>
      <c r="E249" s="22" t="s">
        <v>14</v>
      </c>
      <c r="F249" s="23">
        <v>1908</v>
      </c>
    </row>
    <row r="250" spans="2:6">
      <c r="B250" s="15">
        <v>39264</v>
      </c>
      <c r="C250" s="16" t="s">
        <v>21</v>
      </c>
      <c r="D250" s="17" t="s">
        <v>13</v>
      </c>
      <c r="E250" s="17" t="s">
        <v>9</v>
      </c>
      <c r="F250" s="25">
        <v>1308</v>
      </c>
    </row>
    <row r="251" spans="2:6">
      <c r="B251" s="20">
        <v>39264</v>
      </c>
      <c r="C251" s="21" t="s">
        <v>21</v>
      </c>
      <c r="D251" s="22" t="s">
        <v>13</v>
      </c>
      <c r="E251" s="22" t="s">
        <v>11</v>
      </c>
      <c r="F251" s="23">
        <v>2493</v>
      </c>
    </row>
    <row r="252" spans="2:6">
      <c r="B252" s="15">
        <v>39264</v>
      </c>
      <c r="C252" s="16" t="s">
        <v>21</v>
      </c>
      <c r="D252" s="17" t="s">
        <v>15</v>
      </c>
      <c r="E252" s="17" t="s">
        <v>14</v>
      </c>
      <c r="F252" s="25">
        <v>1596</v>
      </c>
    </row>
    <row r="253" spans="2:6">
      <c r="B253" s="20">
        <v>39264</v>
      </c>
      <c r="C253" s="21" t="s">
        <v>21</v>
      </c>
      <c r="D253" s="22" t="s">
        <v>15</v>
      </c>
      <c r="E253" s="22" t="s">
        <v>9</v>
      </c>
      <c r="F253" s="23">
        <v>1032</v>
      </c>
    </row>
    <row r="254" spans="2:6">
      <c r="B254" s="15">
        <v>39264</v>
      </c>
      <c r="C254" s="16" t="s">
        <v>21</v>
      </c>
      <c r="D254" s="17" t="s">
        <v>15</v>
      </c>
      <c r="E254" s="17" t="s">
        <v>11</v>
      </c>
      <c r="F254" s="25">
        <v>1302</v>
      </c>
    </row>
    <row r="255" spans="2:6">
      <c r="B255" s="20">
        <v>39295</v>
      </c>
      <c r="C255" s="21" t="s">
        <v>7</v>
      </c>
      <c r="D255" s="22" t="s">
        <v>8</v>
      </c>
      <c r="E255" s="22" t="s">
        <v>14</v>
      </c>
      <c r="F255" s="23">
        <v>1169</v>
      </c>
    </row>
    <row r="256" spans="2:6">
      <c r="B256" s="15">
        <v>39295</v>
      </c>
      <c r="C256" s="16" t="s">
        <v>7</v>
      </c>
      <c r="D256" s="17" t="s">
        <v>8</v>
      </c>
      <c r="E256" s="17" t="s">
        <v>9</v>
      </c>
      <c r="F256" s="25">
        <v>1332</v>
      </c>
    </row>
    <row r="257" spans="2:6">
      <c r="B257" s="20">
        <v>39295</v>
      </c>
      <c r="C257" s="21" t="s">
        <v>7</v>
      </c>
      <c r="D257" s="22" t="s">
        <v>8</v>
      </c>
      <c r="E257" s="22" t="s">
        <v>11</v>
      </c>
      <c r="F257" s="23">
        <v>1440</v>
      </c>
    </row>
    <row r="258" spans="2:6">
      <c r="B258" s="15">
        <v>39295</v>
      </c>
      <c r="C258" s="16" t="s">
        <v>7</v>
      </c>
      <c r="D258" s="17" t="s">
        <v>13</v>
      </c>
      <c r="E258" s="17" t="s">
        <v>14</v>
      </c>
      <c r="F258" s="25">
        <v>684</v>
      </c>
    </row>
    <row r="259" spans="2:6">
      <c r="B259" s="20">
        <v>39295</v>
      </c>
      <c r="C259" s="21" t="s">
        <v>7</v>
      </c>
      <c r="D259" s="22" t="s">
        <v>13</v>
      </c>
      <c r="E259" s="22" t="s">
        <v>9</v>
      </c>
      <c r="F259" s="23">
        <v>2286</v>
      </c>
    </row>
    <row r="260" spans="2:6">
      <c r="B260" s="15">
        <v>39295</v>
      </c>
      <c r="C260" s="16" t="s">
        <v>7</v>
      </c>
      <c r="D260" s="17" t="s">
        <v>13</v>
      </c>
      <c r="E260" s="17" t="s">
        <v>11</v>
      </c>
      <c r="F260" s="25">
        <v>2520</v>
      </c>
    </row>
    <row r="261" spans="2:6">
      <c r="B261" s="20">
        <v>39295</v>
      </c>
      <c r="C261" s="21" t="s">
        <v>7</v>
      </c>
      <c r="D261" s="22" t="s">
        <v>15</v>
      </c>
      <c r="E261" s="22" t="s">
        <v>14</v>
      </c>
      <c r="F261" s="23">
        <v>1840</v>
      </c>
    </row>
    <row r="262" spans="2:6">
      <c r="B262" s="15">
        <v>39295</v>
      </c>
      <c r="C262" s="16" t="s">
        <v>7</v>
      </c>
      <c r="D262" s="17" t="s">
        <v>15</v>
      </c>
      <c r="E262" s="17" t="s">
        <v>9</v>
      </c>
      <c r="F262" s="25">
        <v>1836</v>
      </c>
    </row>
    <row r="263" spans="2:6">
      <c r="B263" s="20">
        <v>39295</v>
      </c>
      <c r="C263" s="21" t="s">
        <v>7</v>
      </c>
      <c r="D263" s="22" t="s">
        <v>15</v>
      </c>
      <c r="E263" s="22" t="s">
        <v>11</v>
      </c>
      <c r="F263" s="23">
        <v>2232</v>
      </c>
    </row>
    <row r="264" spans="2:6">
      <c r="B264" s="15">
        <v>39295</v>
      </c>
      <c r="C264" s="16" t="s">
        <v>12</v>
      </c>
      <c r="D264" s="17" t="s">
        <v>8</v>
      </c>
      <c r="E264" s="17" t="s">
        <v>14</v>
      </c>
      <c r="F264" s="25">
        <v>2264</v>
      </c>
    </row>
    <row r="265" spans="2:6">
      <c r="B265" s="20">
        <v>39295</v>
      </c>
      <c r="C265" s="21" t="s">
        <v>12</v>
      </c>
      <c r="D265" s="22" t="s">
        <v>8</v>
      </c>
      <c r="E265" s="22" t="s">
        <v>9</v>
      </c>
      <c r="F265" s="23">
        <v>774</v>
      </c>
    </row>
    <row r="266" spans="2:6">
      <c r="B266" s="15">
        <v>39295</v>
      </c>
      <c r="C266" s="16" t="s">
        <v>12</v>
      </c>
      <c r="D266" s="17" t="s">
        <v>8</v>
      </c>
      <c r="E266" s="17" t="s">
        <v>11</v>
      </c>
      <c r="F266" s="25">
        <v>1288</v>
      </c>
    </row>
    <row r="267" spans="2:6">
      <c r="B267" s="20">
        <v>39295</v>
      </c>
      <c r="C267" s="21" t="s">
        <v>12</v>
      </c>
      <c r="D267" s="22" t="s">
        <v>13</v>
      </c>
      <c r="E267" s="22" t="s">
        <v>14</v>
      </c>
      <c r="F267" s="23">
        <v>1500</v>
      </c>
    </row>
    <row r="268" spans="2:6">
      <c r="B268" s="15">
        <v>39295</v>
      </c>
      <c r="C268" s="16" t="s">
        <v>12</v>
      </c>
      <c r="D268" s="17" t="s">
        <v>13</v>
      </c>
      <c r="E268" s="17" t="s">
        <v>9</v>
      </c>
      <c r="F268" s="25">
        <v>906</v>
      </c>
    </row>
    <row r="269" spans="2:6">
      <c r="B269" s="20">
        <v>39295</v>
      </c>
      <c r="C269" s="21" t="s">
        <v>12</v>
      </c>
      <c r="D269" s="22" t="s">
        <v>13</v>
      </c>
      <c r="E269" s="22" t="s">
        <v>11</v>
      </c>
      <c r="F269" s="23">
        <v>786</v>
      </c>
    </row>
    <row r="270" spans="2:6">
      <c r="B270" s="15">
        <v>39295</v>
      </c>
      <c r="C270" s="16" t="s">
        <v>12</v>
      </c>
      <c r="D270" s="17" t="s">
        <v>15</v>
      </c>
      <c r="E270" s="17" t="s">
        <v>14</v>
      </c>
      <c r="F270" s="25">
        <v>2260</v>
      </c>
    </row>
    <row r="271" spans="2:6">
      <c r="B271" s="20">
        <v>39295</v>
      </c>
      <c r="C271" s="21" t="s">
        <v>12</v>
      </c>
      <c r="D271" s="22" t="s">
        <v>15</v>
      </c>
      <c r="E271" s="22" t="s">
        <v>9</v>
      </c>
      <c r="F271" s="23">
        <v>1904</v>
      </c>
    </row>
    <row r="272" spans="2:6">
      <c r="B272" s="15">
        <v>39295</v>
      </c>
      <c r="C272" s="16" t="s">
        <v>12</v>
      </c>
      <c r="D272" s="17" t="s">
        <v>15</v>
      </c>
      <c r="E272" s="17" t="s">
        <v>11</v>
      </c>
      <c r="F272" s="25">
        <v>1968</v>
      </c>
    </row>
    <row r="273" spans="2:6">
      <c r="B273" s="20">
        <v>39295</v>
      </c>
      <c r="C273" s="21" t="s">
        <v>19</v>
      </c>
      <c r="D273" s="22" t="s">
        <v>8</v>
      </c>
      <c r="E273" s="22" t="s">
        <v>14</v>
      </c>
      <c r="F273" s="23">
        <v>1128</v>
      </c>
    </row>
    <row r="274" spans="2:6">
      <c r="B274" s="15">
        <v>39295</v>
      </c>
      <c r="C274" s="16" t="s">
        <v>19</v>
      </c>
      <c r="D274" s="17" t="s">
        <v>8</v>
      </c>
      <c r="E274" s="17" t="s">
        <v>9</v>
      </c>
      <c r="F274" s="25">
        <v>1116</v>
      </c>
    </row>
    <row r="275" spans="2:6">
      <c r="B275" s="20">
        <v>39295</v>
      </c>
      <c r="C275" s="21" t="s">
        <v>19</v>
      </c>
      <c r="D275" s="22" t="s">
        <v>8</v>
      </c>
      <c r="E275" s="22" t="s">
        <v>11</v>
      </c>
      <c r="F275" s="23">
        <v>2720</v>
      </c>
    </row>
    <row r="276" spans="2:6">
      <c r="B276" s="15">
        <v>39295</v>
      </c>
      <c r="C276" s="16" t="s">
        <v>19</v>
      </c>
      <c r="D276" s="17" t="s">
        <v>13</v>
      </c>
      <c r="E276" s="17" t="s">
        <v>14</v>
      </c>
      <c r="F276" s="25">
        <v>1673</v>
      </c>
    </row>
    <row r="277" spans="2:6">
      <c r="B277" s="20">
        <v>39295</v>
      </c>
      <c r="C277" s="21" t="s">
        <v>19</v>
      </c>
      <c r="D277" s="22" t="s">
        <v>13</v>
      </c>
      <c r="E277" s="22" t="s">
        <v>9</v>
      </c>
      <c r="F277" s="23">
        <v>770</v>
      </c>
    </row>
    <row r="278" spans="2:6">
      <c r="B278" s="15">
        <v>39295</v>
      </c>
      <c r="C278" s="16" t="s">
        <v>19</v>
      </c>
      <c r="D278" s="17" t="s">
        <v>13</v>
      </c>
      <c r="E278" s="17" t="s">
        <v>11</v>
      </c>
      <c r="F278" s="25">
        <v>2340</v>
      </c>
    </row>
    <row r="279" spans="2:6">
      <c r="B279" s="20">
        <v>39295</v>
      </c>
      <c r="C279" s="21" t="s">
        <v>19</v>
      </c>
      <c r="D279" s="22" t="s">
        <v>15</v>
      </c>
      <c r="E279" s="22" t="s">
        <v>14</v>
      </c>
      <c r="F279" s="23">
        <v>2740</v>
      </c>
    </row>
    <row r="280" spans="2:6">
      <c r="B280" s="15">
        <v>39295</v>
      </c>
      <c r="C280" s="16" t="s">
        <v>19</v>
      </c>
      <c r="D280" s="17" t="s">
        <v>15</v>
      </c>
      <c r="E280" s="17" t="s">
        <v>9</v>
      </c>
      <c r="F280" s="25">
        <v>721</v>
      </c>
    </row>
    <row r="281" spans="2:6">
      <c r="B281" s="20">
        <v>39295</v>
      </c>
      <c r="C281" s="21" t="s">
        <v>19</v>
      </c>
      <c r="D281" s="22" t="s">
        <v>15</v>
      </c>
      <c r="E281" s="22" t="s">
        <v>11</v>
      </c>
      <c r="F281" s="23">
        <v>1626</v>
      </c>
    </row>
    <row r="282" spans="2:6">
      <c r="B282" s="15">
        <v>39295</v>
      </c>
      <c r="C282" s="16" t="s">
        <v>21</v>
      </c>
      <c r="D282" s="17" t="s">
        <v>8</v>
      </c>
      <c r="E282" s="17" t="s">
        <v>14</v>
      </c>
      <c r="F282" s="25">
        <v>1992</v>
      </c>
    </row>
    <row r="283" spans="2:6">
      <c r="B283" s="20">
        <v>39295</v>
      </c>
      <c r="C283" s="21" t="s">
        <v>21</v>
      </c>
      <c r="D283" s="22" t="s">
        <v>8</v>
      </c>
      <c r="E283" s="22" t="s">
        <v>9</v>
      </c>
      <c r="F283" s="23">
        <v>1840</v>
      </c>
    </row>
    <row r="284" spans="2:6">
      <c r="B284" s="15">
        <v>39295</v>
      </c>
      <c r="C284" s="16" t="s">
        <v>21</v>
      </c>
      <c r="D284" s="17" t="s">
        <v>8</v>
      </c>
      <c r="E284" s="17" t="s">
        <v>11</v>
      </c>
      <c r="F284" s="25">
        <v>918</v>
      </c>
    </row>
    <row r="285" spans="2:6">
      <c r="B285" s="20">
        <v>39295</v>
      </c>
      <c r="C285" s="21" t="s">
        <v>21</v>
      </c>
      <c r="D285" s="22" t="s">
        <v>13</v>
      </c>
      <c r="E285" s="22" t="s">
        <v>14</v>
      </c>
      <c r="F285" s="23">
        <v>1784</v>
      </c>
    </row>
    <row r="286" spans="2:6">
      <c r="B286" s="15">
        <v>39295</v>
      </c>
      <c r="C286" s="16" t="s">
        <v>21</v>
      </c>
      <c r="D286" s="17" t="s">
        <v>13</v>
      </c>
      <c r="E286" s="17" t="s">
        <v>9</v>
      </c>
      <c r="F286" s="25">
        <v>2070</v>
      </c>
    </row>
    <row r="287" spans="2:6">
      <c r="B287" s="20">
        <v>39295</v>
      </c>
      <c r="C287" s="21" t="s">
        <v>21</v>
      </c>
      <c r="D287" s="22" t="s">
        <v>13</v>
      </c>
      <c r="E287" s="22" t="s">
        <v>11</v>
      </c>
      <c r="F287" s="23">
        <v>1477</v>
      </c>
    </row>
    <row r="288" spans="2:6">
      <c r="B288" s="15">
        <v>39295</v>
      </c>
      <c r="C288" s="16" t="s">
        <v>21</v>
      </c>
      <c r="D288" s="17" t="s">
        <v>15</v>
      </c>
      <c r="E288" s="17" t="s">
        <v>14</v>
      </c>
      <c r="F288" s="25">
        <v>1603</v>
      </c>
    </row>
    <row r="289" spans="2:6">
      <c r="B289" s="20">
        <v>39295</v>
      </c>
      <c r="C289" s="21" t="s">
        <v>21</v>
      </c>
      <c r="D289" s="22" t="s">
        <v>15</v>
      </c>
      <c r="E289" s="22" t="s">
        <v>9</v>
      </c>
      <c r="F289" s="23">
        <v>1200</v>
      </c>
    </row>
    <row r="290" spans="2:6">
      <c r="B290" s="15">
        <v>39295</v>
      </c>
      <c r="C290" s="16" t="s">
        <v>21</v>
      </c>
      <c r="D290" s="17" t="s">
        <v>15</v>
      </c>
      <c r="E290" s="17" t="s">
        <v>11</v>
      </c>
      <c r="F290" s="25">
        <v>1712</v>
      </c>
    </row>
    <row r="291" spans="2:6">
      <c r="B291" s="20">
        <v>39326</v>
      </c>
      <c r="C291" s="21" t="s">
        <v>7</v>
      </c>
      <c r="D291" s="22" t="s">
        <v>8</v>
      </c>
      <c r="E291" s="22" t="s">
        <v>14</v>
      </c>
      <c r="F291" s="23">
        <v>1620</v>
      </c>
    </row>
    <row r="292" spans="2:6">
      <c r="B292" s="15">
        <v>39326</v>
      </c>
      <c r="C292" s="16" t="s">
        <v>7</v>
      </c>
      <c r="D292" s="17" t="s">
        <v>8</v>
      </c>
      <c r="E292" s="17" t="s">
        <v>9</v>
      </c>
      <c r="F292" s="25">
        <v>2540</v>
      </c>
    </row>
    <row r="293" spans="2:6">
      <c r="B293" s="20">
        <v>39326</v>
      </c>
      <c r="C293" s="21" t="s">
        <v>7</v>
      </c>
      <c r="D293" s="22" t="s">
        <v>8</v>
      </c>
      <c r="E293" s="22" t="s">
        <v>11</v>
      </c>
      <c r="F293" s="23">
        <v>931</v>
      </c>
    </row>
    <row r="294" spans="2:6">
      <c r="B294" s="15">
        <v>39326</v>
      </c>
      <c r="C294" s="16" t="s">
        <v>7</v>
      </c>
      <c r="D294" s="17" t="s">
        <v>13</v>
      </c>
      <c r="E294" s="17" t="s">
        <v>14</v>
      </c>
      <c r="F294" s="25">
        <v>1140</v>
      </c>
    </row>
    <row r="295" spans="2:6">
      <c r="B295" s="20">
        <v>39326</v>
      </c>
      <c r="C295" s="21" t="s">
        <v>7</v>
      </c>
      <c r="D295" s="22" t="s">
        <v>13</v>
      </c>
      <c r="E295" s="22" t="s">
        <v>9</v>
      </c>
      <c r="F295" s="23">
        <v>1715</v>
      </c>
    </row>
    <row r="296" spans="2:6">
      <c r="B296" s="15">
        <v>39326</v>
      </c>
      <c r="C296" s="16" t="s">
        <v>7</v>
      </c>
      <c r="D296" s="17" t="s">
        <v>13</v>
      </c>
      <c r="E296" s="17" t="s">
        <v>11</v>
      </c>
      <c r="F296" s="25">
        <v>1687</v>
      </c>
    </row>
    <row r="297" spans="2:6">
      <c r="B297" s="20">
        <v>39326</v>
      </c>
      <c r="C297" s="21" t="s">
        <v>7</v>
      </c>
      <c r="D297" s="22" t="s">
        <v>15</v>
      </c>
      <c r="E297" s="22" t="s">
        <v>14</v>
      </c>
      <c r="F297" s="23">
        <v>1476</v>
      </c>
    </row>
    <row r="298" spans="2:6">
      <c r="B298" s="15">
        <v>39326</v>
      </c>
      <c r="C298" s="16" t="s">
        <v>7</v>
      </c>
      <c r="D298" s="17" t="s">
        <v>15</v>
      </c>
      <c r="E298" s="17" t="s">
        <v>9</v>
      </c>
      <c r="F298" s="25">
        <v>1960</v>
      </c>
    </row>
    <row r="299" spans="2:6">
      <c r="B299" s="20">
        <v>39326</v>
      </c>
      <c r="C299" s="21" t="s">
        <v>7</v>
      </c>
      <c r="D299" s="22" t="s">
        <v>15</v>
      </c>
      <c r="E299" s="22" t="s">
        <v>11</v>
      </c>
      <c r="F299" s="23">
        <v>2646</v>
      </c>
    </row>
    <row r="300" spans="2:6">
      <c r="B300" s="15">
        <v>39326</v>
      </c>
      <c r="C300" s="16" t="s">
        <v>12</v>
      </c>
      <c r="D300" s="17" t="s">
        <v>8</v>
      </c>
      <c r="E300" s="17" t="s">
        <v>14</v>
      </c>
      <c r="F300" s="25">
        <v>942</v>
      </c>
    </row>
    <row r="301" spans="2:6">
      <c r="B301" s="20">
        <v>39326</v>
      </c>
      <c r="C301" s="21" t="s">
        <v>12</v>
      </c>
      <c r="D301" s="22" t="s">
        <v>8</v>
      </c>
      <c r="E301" s="22" t="s">
        <v>9</v>
      </c>
      <c r="F301" s="23">
        <v>2619</v>
      </c>
    </row>
    <row r="302" spans="2:6">
      <c r="B302" s="15">
        <v>39326</v>
      </c>
      <c r="C302" s="16" t="s">
        <v>12</v>
      </c>
      <c r="D302" s="17" t="s">
        <v>8</v>
      </c>
      <c r="E302" s="17" t="s">
        <v>11</v>
      </c>
      <c r="F302" s="25">
        <v>1274</v>
      </c>
    </row>
    <row r="303" spans="2:6">
      <c r="B303" s="20">
        <v>39326</v>
      </c>
      <c r="C303" s="21" t="s">
        <v>12</v>
      </c>
      <c r="D303" s="22" t="s">
        <v>13</v>
      </c>
      <c r="E303" s="22" t="s">
        <v>14</v>
      </c>
      <c r="F303" s="23">
        <v>2720</v>
      </c>
    </row>
    <row r="304" spans="2:6">
      <c r="B304" s="15">
        <v>39326</v>
      </c>
      <c r="C304" s="16" t="s">
        <v>12</v>
      </c>
      <c r="D304" s="17" t="s">
        <v>13</v>
      </c>
      <c r="E304" s="17" t="s">
        <v>9</v>
      </c>
      <c r="F304" s="25">
        <v>960</v>
      </c>
    </row>
    <row r="305" spans="2:6">
      <c r="B305" s="20">
        <v>39326</v>
      </c>
      <c r="C305" s="21" t="s">
        <v>12</v>
      </c>
      <c r="D305" s="22" t="s">
        <v>13</v>
      </c>
      <c r="E305" s="22" t="s">
        <v>11</v>
      </c>
      <c r="F305" s="23">
        <v>2421</v>
      </c>
    </row>
    <row r="306" spans="2:6">
      <c r="B306" s="15">
        <v>39326</v>
      </c>
      <c r="C306" s="16" t="s">
        <v>12</v>
      </c>
      <c r="D306" s="17" t="s">
        <v>15</v>
      </c>
      <c r="E306" s="17" t="s">
        <v>14</v>
      </c>
      <c r="F306" s="25">
        <v>810</v>
      </c>
    </row>
    <row r="307" spans="2:6">
      <c r="B307" s="20">
        <v>39326</v>
      </c>
      <c r="C307" s="21" t="s">
        <v>12</v>
      </c>
      <c r="D307" s="22" t="s">
        <v>15</v>
      </c>
      <c r="E307" s="22" t="s">
        <v>9</v>
      </c>
      <c r="F307" s="23">
        <v>1032</v>
      </c>
    </row>
    <row r="308" spans="2:6">
      <c r="B308" s="15">
        <v>39326</v>
      </c>
      <c r="C308" s="16" t="s">
        <v>12</v>
      </c>
      <c r="D308" s="17" t="s">
        <v>15</v>
      </c>
      <c r="E308" s="17" t="s">
        <v>11</v>
      </c>
      <c r="F308" s="25">
        <v>954</v>
      </c>
    </row>
    <row r="309" spans="2:6">
      <c r="B309" s="20">
        <v>39326</v>
      </c>
      <c r="C309" s="21" t="s">
        <v>19</v>
      </c>
      <c r="D309" s="22" t="s">
        <v>8</v>
      </c>
      <c r="E309" s="22" t="s">
        <v>14</v>
      </c>
      <c r="F309" s="23">
        <v>1673</v>
      </c>
    </row>
    <row r="310" spans="2:6">
      <c r="B310" s="15">
        <v>39326</v>
      </c>
      <c r="C310" s="16" t="s">
        <v>19</v>
      </c>
      <c r="D310" s="17" t="s">
        <v>8</v>
      </c>
      <c r="E310" s="17" t="s">
        <v>9</v>
      </c>
      <c r="F310" s="25">
        <v>1404</v>
      </c>
    </row>
    <row r="311" spans="2:6">
      <c r="B311" s="20">
        <v>39326</v>
      </c>
      <c r="C311" s="21" t="s">
        <v>19</v>
      </c>
      <c r="D311" s="22" t="s">
        <v>8</v>
      </c>
      <c r="E311" s="22" t="s">
        <v>11</v>
      </c>
      <c r="F311" s="23">
        <v>2120</v>
      </c>
    </row>
    <row r="312" spans="2:6">
      <c r="B312" s="15">
        <v>39326</v>
      </c>
      <c r="C312" s="16" t="s">
        <v>19</v>
      </c>
      <c r="D312" s="17" t="s">
        <v>13</v>
      </c>
      <c r="E312" s="17" t="s">
        <v>14</v>
      </c>
      <c r="F312" s="25">
        <v>948</v>
      </c>
    </row>
    <row r="313" spans="2:6">
      <c r="B313" s="20">
        <v>39326</v>
      </c>
      <c r="C313" s="21" t="s">
        <v>19</v>
      </c>
      <c r="D313" s="22" t="s">
        <v>13</v>
      </c>
      <c r="E313" s="22" t="s">
        <v>9</v>
      </c>
      <c r="F313" s="23">
        <v>1610</v>
      </c>
    </row>
    <row r="314" spans="2:6">
      <c r="B314" s="15">
        <v>39326</v>
      </c>
      <c r="C314" s="16" t="s">
        <v>19</v>
      </c>
      <c r="D314" s="17" t="s">
        <v>13</v>
      </c>
      <c r="E314" s="17" t="s">
        <v>11</v>
      </c>
      <c r="F314" s="25">
        <v>1035</v>
      </c>
    </row>
    <row r="315" spans="2:6">
      <c r="B315" s="20">
        <v>39326</v>
      </c>
      <c r="C315" s="21" t="s">
        <v>19</v>
      </c>
      <c r="D315" s="22" t="s">
        <v>15</v>
      </c>
      <c r="E315" s="22" t="s">
        <v>14</v>
      </c>
      <c r="F315" s="23">
        <v>1434</v>
      </c>
    </row>
    <row r="316" spans="2:6">
      <c r="B316" s="15">
        <v>39326</v>
      </c>
      <c r="C316" s="16" t="s">
        <v>19</v>
      </c>
      <c r="D316" s="17" t="s">
        <v>15</v>
      </c>
      <c r="E316" s="17" t="s">
        <v>9</v>
      </c>
      <c r="F316" s="25">
        <v>642</v>
      </c>
    </row>
    <row r="317" spans="2:6">
      <c r="B317" s="20">
        <v>39326</v>
      </c>
      <c r="C317" s="21" t="s">
        <v>19</v>
      </c>
      <c r="D317" s="22" t="s">
        <v>15</v>
      </c>
      <c r="E317" s="22" t="s">
        <v>11</v>
      </c>
      <c r="F317" s="23">
        <v>1272</v>
      </c>
    </row>
    <row r="318" spans="2:6">
      <c r="B318" s="15">
        <v>39326</v>
      </c>
      <c r="C318" s="16" t="s">
        <v>21</v>
      </c>
      <c r="D318" s="17" t="s">
        <v>8</v>
      </c>
      <c r="E318" s="17" t="s">
        <v>14</v>
      </c>
      <c r="F318" s="25">
        <v>2619</v>
      </c>
    </row>
    <row r="319" spans="2:6">
      <c r="B319" s="20">
        <v>39326</v>
      </c>
      <c r="C319" s="21" t="s">
        <v>21</v>
      </c>
      <c r="D319" s="22" t="s">
        <v>8</v>
      </c>
      <c r="E319" s="22" t="s">
        <v>9</v>
      </c>
      <c r="F319" s="23">
        <v>1155</v>
      </c>
    </row>
    <row r="320" spans="2:6">
      <c r="B320" s="15">
        <v>39326</v>
      </c>
      <c r="C320" s="16" t="s">
        <v>21</v>
      </c>
      <c r="D320" s="17" t="s">
        <v>8</v>
      </c>
      <c r="E320" s="17" t="s">
        <v>11</v>
      </c>
      <c r="F320" s="25">
        <v>1384</v>
      </c>
    </row>
    <row r="321" spans="2:6">
      <c r="B321" s="20">
        <v>39326</v>
      </c>
      <c r="C321" s="21" t="s">
        <v>21</v>
      </c>
      <c r="D321" s="22" t="s">
        <v>13</v>
      </c>
      <c r="E321" s="22" t="s">
        <v>14</v>
      </c>
      <c r="F321" s="23">
        <v>1848</v>
      </c>
    </row>
    <row r="322" spans="2:6">
      <c r="B322" s="15">
        <v>39326</v>
      </c>
      <c r="C322" s="16" t="s">
        <v>21</v>
      </c>
      <c r="D322" s="17" t="s">
        <v>13</v>
      </c>
      <c r="E322" s="17" t="s">
        <v>9</v>
      </c>
      <c r="F322" s="25">
        <v>1230</v>
      </c>
    </row>
    <row r="323" spans="2:6">
      <c r="B323" s="20">
        <v>39326</v>
      </c>
      <c r="C323" s="21" t="s">
        <v>21</v>
      </c>
      <c r="D323" s="22" t="s">
        <v>13</v>
      </c>
      <c r="E323" s="22" t="s">
        <v>11</v>
      </c>
      <c r="F323" s="23">
        <v>2529</v>
      </c>
    </row>
    <row r="324" spans="2:6">
      <c r="B324" s="15">
        <v>39326</v>
      </c>
      <c r="C324" s="16" t="s">
        <v>21</v>
      </c>
      <c r="D324" s="17" t="s">
        <v>15</v>
      </c>
      <c r="E324" s="17" t="s">
        <v>14</v>
      </c>
      <c r="F324" s="25">
        <v>2336</v>
      </c>
    </row>
    <row r="325" spans="2:6">
      <c r="B325" s="20">
        <v>39326</v>
      </c>
      <c r="C325" s="21" t="s">
        <v>21</v>
      </c>
      <c r="D325" s="22" t="s">
        <v>15</v>
      </c>
      <c r="E325" s="22" t="s">
        <v>9</v>
      </c>
      <c r="F325" s="23">
        <v>1614</v>
      </c>
    </row>
    <row r="326" spans="2:6">
      <c r="B326" s="15">
        <v>39326</v>
      </c>
      <c r="C326" s="16" t="s">
        <v>21</v>
      </c>
      <c r="D326" s="17" t="s">
        <v>15</v>
      </c>
      <c r="E326" s="17" t="s">
        <v>11</v>
      </c>
      <c r="F326" s="25">
        <v>928</v>
      </c>
    </row>
    <row r="327" spans="2:6">
      <c r="B327" s="20">
        <v>39356</v>
      </c>
      <c r="C327" s="21" t="s">
        <v>7</v>
      </c>
      <c r="D327" s="22" t="s">
        <v>8</v>
      </c>
      <c r="E327" s="22" t="s">
        <v>14</v>
      </c>
      <c r="F327" s="23">
        <v>1410</v>
      </c>
    </row>
    <row r="328" spans="2:6">
      <c r="B328" s="15">
        <v>39356</v>
      </c>
      <c r="C328" s="16" t="s">
        <v>7</v>
      </c>
      <c r="D328" s="17" t="s">
        <v>8</v>
      </c>
      <c r="E328" s="17" t="s">
        <v>9</v>
      </c>
      <c r="F328" s="25">
        <v>1521</v>
      </c>
    </row>
    <row r="329" spans="2:6">
      <c r="B329" s="20">
        <v>39356</v>
      </c>
      <c r="C329" s="21" t="s">
        <v>7</v>
      </c>
      <c r="D329" s="22" t="s">
        <v>8</v>
      </c>
      <c r="E329" s="22" t="s">
        <v>11</v>
      </c>
      <c r="F329" s="23">
        <v>1494</v>
      </c>
    </row>
    <row r="330" spans="2:6">
      <c r="B330" s="15">
        <v>39356</v>
      </c>
      <c r="C330" s="16" t="s">
        <v>7</v>
      </c>
      <c r="D330" s="17" t="s">
        <v>13</v>
      </c>
      <c r="E330" s="17" t="s">
        <v>14</v>
      </c>
      <c r="F330" s="25">
        <v>2050</v>
      </c>
    </row>
    <row r="331" spans="2:6">
      <c r="B331" s="20">
        <v>39356</v>
      </c>
      <c r="C331" s="21" t="s">
        <v>7</v>
      </c>
      <c r="D331" s="22" t="s">
        <v>13</v>
      </c>
      <c r="E331" s="22" t="s">
        <v>9</v>
      </c>
      <c r="F331" s="23">
        <v>1448</v>
      </c>
    </row>
    <row r="332" spans="2:6">
      <c r="B332" s="15">
        <v>39356</v>
      </c>
      <c r="C332" s="16" t="s">
        <v>7</v>
      </c>
      <c r="D332" s="17" t="s">
        <v>13</v>
      </c>
      <c r="E332" s="17" t="s">
        <v>11</v>
      </c>
      <c r="F332" s="25">
        <v>1170</v>
      </c>
    </row>
    <row r="333" spans="2:6">
      <c r="B333" s="20">
        <v>39356</v>
      </c>
      <c r="C333" s="21" t="s">
        <v>7</v>
      </c>
      <c r="D333" s="22" t="s">
        <v>15</v>
      </c>
      <c r="E333" s="22" t="s">
        <v>14</v>
      </c>
      <c r="F333" s="23">
        <v>1626</v>
      </c>
    </row>
    <row r="334" spans="2:6">
      <c r="B334" s="15">
        <v>39356</v>
      </c>
      <c r="C334" s="16" t="s">
        <v>7</v>
      </c>
      <c r="D334" s="17" t="s">
        <v>15</v>
      </c>
      <c r="E334" s="17" t="s">
        <v>9</v>
      </c>
      <c r="F334" s="25">
        <v>2295</v>
      </c>
    </row>
    <row r="335" spans="2:6">
      <c r="B335" s="20">
        <v>39356</v>
      </c>
      <c r="C335" s="21" t="s">
        <v>7</v>
      </c>
      <c r="D335" s="22" t="s">
        <v>15</v>
      </c>
      <c r="E335" s="22" t="s">
        <v>11</v>
      </c>
      <c r="F335" s="23">
        <v>2304</v>
      </c>
    </row>
    <row r="336" spans="2:6">
      <c r="B336" s="15">
        <v>39356</v>
      </c>
      <c r="C336" s="16" t="s">
        <v>12</v>
      </c>
      <c r="D336" s="17" t="s">
        <v>8</v>
      </c>
      <c r="E336" s="17" t="s">
        <v>14</v>
      </c>
      <c r="F336" s="25">
        <v>1160</v>
      </c>
    </row>
    <row r="337" spans="2:6">
      <c r="B337" s="20">
        <v>39356</v>
      </c>
      <c r="C337" s="21" t="s">
        <v>12</v>
      </c>
      <c r="D337" s="22" t="s">
        <v>8</v>
      </c>
      <c r="E337" s="22" t="s">
        <v>9</v>
      </c>
      <c r="F337" s="23">
        <v>2470</v>
      </c>
    </row>
    <row r="338" spans="2:6">
      <c r="B338" s="15">
        <v>39356</v>
      </c>
      <c r="C338" s="16" t="s">
        <v>12</v>
      </c>
      <c r="D338" s="17" t="s">
        <v>8</v>
      </c>
      <c r="E338" s="17" t="s">
        <v>11</v>
      </c>
      <c r="F338" s="25">
        <v>2322</v>
      </c>
    </row>
    <row r="339" spans="2:6">
      <c r="B339" s="20">
        <v>39356</v>
      </c>
      <c r="C339" s="21" t="s">
        <v>12</v>
      </c>
      <c r="D339" s="22" t="s">
        <v>13</v>
      </c>
      <c r="E339" s="22" t="s">
        <v>14</v>
      </c>
      <c r="F339" s="23">
        <v>2520</v>
      </c>
    </row>
    <row r="340" spans="2:6">
      <c r="B340" s="15">
        <v>39356</v>
      </c>
      <c r="C340" s="16" t="s">
        <v>12</v>
      </c>
      <c r="D340" s="17" t="s">
        <v>13</v>
      </c>
      <c r="E340" s="17" t="s">
        <v>9</v>
      </c>
      <c r="F340" s="25">
        <v>1130</v>
      </c>
    </row>
    <row r="341" spans="2:6">
      <c r="B341" s="20">
        <v>39356</v>
      </c>
      <c r="C341" s="21" t="s">
        <v>12</v>
      </c>
      <c r="D341" s="22" t="s">
        <v>13</v>
      </c>
      <c r="E341" s="22" t="s">
        <v>11</v>
      </c>
      <c r="F341" s="23">
        <v>1827</v>
      </c>
    </row>
    <row r="342" spans="2:6">
      <c r="B342" s="15">
        <v>39356</v>
      </c>
      <c r="C342" s="16" t="s">
        <v>12</v>
      </c>
      <c r="D342" s="17" t="s">
        <v>15</v>
      </c>
      <c r="E342" s="17" t="s">
        <v>14</v>
      </c>
      <c r="F342" s="25">
        <v>1818</v>
      </c>
    </row>
    <row r="343" spans="2:6">
      <c r="B343" s="20">
        <v>39356</v>
      </c>
      <c r="C343" s="21" t="s">
        <v>12</v>
      </c>
      <c r="D343" s="22" t="s">
        <v>15</v>
      </c>
      <c r="E343" s="22" t="s">
        <v>9</v>
      </c>
      <c r="F343" s="23">
        <v>1645</v>
      </c>
    </row>
    <row r="344" spans="2:6">
      <c r="B344" s="15">
        <v>39356</v>
      </c>
      <c r="C344" s="16" t="s">
        <v>12</v>
      </c>
      <c r="D344" s="17" t="s">
        <v>15</v>
      </c>
      <c r="E344" s="17" t="s">
        <v>11</v>
      </c>
      <c r="F344" s="25">
        <v>1626</v>
      </c>
    </row>
    <row r="345" spans="2:6">
      <c r="B345" s="20">
        <v>39356</v>
      </c>
      <c r="C345" s="21" t="s">
        <v>19</v>
      </c>
      <c r="D345" s="22" t="s">
        <v>8</v>
      </c>
      <c r="E345" s="22" t="s">
        <v>14</v>
      </c>
      <c r="F345" s="23">
        <v>1617</v>
      </c>
    </row>
    <row r="346" spans="2:6">
      <c r="B346" s="15">
        <v>39356</v>
      </c>
      <c r="C346" s="16" t="s">
        <v>19</v>
      </c>
      <c r="D346" s="17" t="s">
        <v>8</v>
      </c>
      <c r="E346" s="17" t="s">
        <v>9</v>
      </c>
      <c r="F346" s="25">
        <v>1344</v>
      </c>
    </row>
    <row r="347" spans="2:6">
      <c r="B347" s="20">
        <v>39356</v>
      </c>
      <c r="C347" s="21" t="s">
        <v>19</v>
      </c>
      <c r="D347" s="22" t="s">
        <v>8</v>
      </c>
      <c r="E347" s="22" t="s">
        <v>11</v>
      </c>
      <c r="F347" s="23">
        <v>2403</v>
      </c>
    </row>
    <row r="348" spans="2:6">
      <c r="B348" s="15">
        <v>39356</v>
      </c>
      <c r="C348" s="16" t="s">
        <v>19</v>
      </c>
      <c r="D348" s="17" t="s">
        <v>13</v>
      </c>
      <c r="E348" s="17" t="s">
        <v>14</v>
      </c>
      <c r="F348" s="25">
        <v>2358</v>
      </c>
    </row>
    <row r="349" spans="2:6">
      <c r="B349" s="20">
        <v>39356</v>
      </c>
      <c r="C349" s="21" t="s">
        <v>19</v>
      </c>
      <c r="D349" s="22" t="s">
        <v>13</v>
      </c>
      <c r="E349" s="22" t="s">
        <v>9</v>
      </c>
      <c r="F349" s="23">
        <v>2223</v>
      </c>
    </row>
    <row r="350" spans="2:6">
      <c r="B350" s="15">
        <v>39356</v>
      </c>
      <c r="C350" s="16" t="s">
        <v>19</v>
      </c>
      <c r="D350" s="17" t="s">
        <v>13</v>
      </c>
      <c r="E350" s="17" t="s">
        <v>11</v>
      </c>
      <c r="F350" s="25">
        <v>774</v>
      </c>
    </row>
    <row r="351" spans="2:6">
      <c r="B351" s="20">
        <v>39356</v>
      </c>
      <c r="C351" s="21" t="s">
        <v>19</v>
      </c>
      <c r="D351" s="22" t="s">
        <v>15</v>
      </c>
      <c r="E351" s="22" t="s">
        <v>14</v>
      </c>
      <c r="F351" s="23">
        <v>918</v>
      </c>
    </row>
    <row r="352" spans="2:6">
      <c r="B352" s="15">
        <v>39356</v>
      </c>
      <c r="C352" s="16" t="s">
        <v>19</v>
      </c>
      <c r="D352" s="17" t="s">
        <v>15</v>
      </c>
      <c r="E352" s="17" t="s">
        <v>9</v>
      </c>
      <c r="F352" s="25">
        <v>624</v>
      </c>
    </row>
    <row r="353" spans="2:6">
      <c r="B353" s="20">
        <v>39356</v>
      </c>
      <c r="C353" s="21" t="s">
        <v>19</v>
      </c>
      <c r="D353" s="22" t="s">
        <v>15</v>
      </c>
      <c r="E353" s="22" t="s">
        <v>11</v>
      </c>
      <c r="F353" s="23">
        <v>1043</v>
      </c>
    </row>
    <row r="354" spans="2:6">
      <c r="B354" s="15">
        <v>39356</v>
      </c>
      <c r="C354" s="16" t="s">
        <v>21</v>
      </c>
      <c r="D354" s="17" t="s">
        <v>8</v>
      </c>
      <c r="E354" s="17" t="s">
        <v>14</v>
      </c>
      <c r="F354" s="25">
        <v>1848</v>
      </c>
    </row>
    <row r="355" spans="2:6">
      <c r="B355" s="20">
        <v>39356</v>
      </c>
      <c r="C355" s="21" t="s">
        <v>21</v>
      </c>
      <c r="D355" s="22" t="s">
        <v>8</v>
      </c>
      <c r="E355" s="22" t="s">
        <v>9</v>
      </c>
      <c r="F355" s="23">
        <v>2910</v>
      </c>
    </row>
    <row r="356" spans="2:6">
      <c r="B356" s="15">
        <v>39356</v>
      </c>
      <c r="C356" s="16" t="s">
        <v>21</v>
      </c>
      <c r="D356" s="17" t="s">
        <v>8</v>
      </c>
      <c r="E356" s="17" t="s">
        <v>11</v>
      </c>
      <c r="F356" s="25">
        <v>1134</v>
      </c>
    </row>
    <row r="357" spans="2:6">
      <c r="B357" s="20">
        <v>39356</v>
      </c>
      <c r="C357" s="21" t="s">
        <v>21</v>
      </c>
      <c r="D357" s="22" t="s">
        <v>13</v>
      </c>
      <c r="E357" s="22" t="s">
        <v>14</v>
      </c>
      <c r="F357" s="23">
        <v>2620</v>
      </c>
    </row>
    <row r="358" spans="2:6">
      <c r="B358" s="15">
        <v>39356</v>
      </c>
      <c r="C358" s="16" t="s">
        <v>21</v>
      </c>
      <c r="D358" s="17" t="s">
        <v>13</v>
      </c>
      <c r="E358" s="17" t="s">
        <v>9</v>
      </c>
      <c r="F358" s="25">
        <v>1216</v>
      </c>
    </row>
    <row r="359" spans="2:6">
      <c r="B359" s="20">
        <v>39356</v>
      </c>
      <c r="C359" s="21" t="s">
        <v>21</v>
      </c>
      <c r="D359" s="22" t="s">
        <v>13</v>
      </c>
      <c r="E359" s="22" t="s">
        <v>11</v>
      </c>
      <c r="F359" s="23">
        <v>1278</v>
      </c>
    </row>
    <row r="360" spans="2:6">
      <c r="B360" s="15">
        <v>39356</v>
      </c>
      <c r="C360" s="16" t="s">
        <v>21</v>
      </c>
      <c r="D360" s="17" t="s">
        <v>15</v>
      </c>
      <c r="E360" s="17" t="s">
        <v>14</v>
      </c>
      <c r="F360" s="25">
        <v>720</v>
      </c>
    </row>
    <row r="361" spans="2:6">
      <c r="B361" s="20">
        <v>39356</v>
      </c>
      <c r="C361" s="21" t="s">
        <v>21</v>
      </c>
      <c r="D361" s="22" t="s">
        <v>15</v>
      </c>
      <c r="E361" s="22" t="s">
        <v>9</v>
      </c>
      <c r="F361" s="23">
        <v>1089</v>
      </c>
    </row>
    <row r="362" spans="2:6">
      <c r="B362" s="15">
        <v>39356</v>
      </c>
      <c r="C362" s="16" t="s">
        <v>21</v>
      </c>
      <c r="D362" s="17" t="s">
        <v>15</v>
      </c>
      <c r="E362" s="17" t="s">
        <v>11</v>
      </c>
      <c r="F362" s="25">
        <v>1552</v>
      </c>
    </row>
    <row r="363" spans="2:6">
      <c r="B363" s="20">
        <v>39387</v>
      </c>
      <c r="C363" s="21" t="s">
        <v>7</v>
      </c>
      <c r="D363" s="22" t="s">
        <v>8</v>
      </c>
      <c r="E363" s="22" t="s">
        <v>14</v>
      </c>
      <c r="F363" s="23">
        <v>1026</v>
      </c>
    </row>
    <row r="364" spans="2:6">
      <c r="B364" s="15">
        <v>39387</v>
      </c>
      <c r="C364" s="16" t="s">
        <v>7</v>
      </c>
      <c r="D364" s="17" t="s">
        <v>8</v>
      </c>
      <c r="E364" s="17" t="s">
        <v>9</v>
      </c>
      <c r="F364" s="25">
        <v>1155</v>
      </c>
    </row>
    <row r="365" spans="2:6">
      <c r="B365" s="20">
        <v>39387</v>
      </c>
      <c r="C365" s="21" t="s">
        <v>7</v>
      </c>
      <c r="D365" s="22" t="s">
        <v>8</v>
      </c>
      <c r="E365" s="22" t="s">
        <v>11</v>
      </c>
      <c r="F365" s="23">
        <v>1935</v>
      </c>
    </row>
    <row r="366" spans="2:6">
      <c r="B366" s="15">
        <v>39387</v>
      </c>
      <c r="C366" s="16" t="s">
        <v>7</v>
      </c>
      <c r="D366" s="17" t="s">
        <v>13</v>
      </c>
      <c r="E366" s="17" t="s">
        <v>14</v>
      </c>
      <c r="F366" s="25">
        <v>1911</v>
      </c>
    </row>
    <row r="367" spans="2:6">
      <c r="B367" s="20">
        <v>39387</v>
      </c>
      <c r="C367" s="21" t="s">
        <v>7</v>
      </c>
      <c r="D367" s="22" t="s">
        <v>13</v>
      </c>
      <c r="E367" s="22" t="s">
        <v>9</v>
      </c>
      <c r="F367" s="23">
        <v>1386</v>
      </c>
    </row>
    <row r="368" spans="2:6">
      <c r="B368" s="15">
        <v>39387</v>
      </c>
      <c r="C368" s="16" t="s">
        <v>7</v>
      </c>
      <c r="D368" s="17" t="s">
        <v>13</v>
      </c>
      <c r="E368" s="17" t="s">
        <v>11</v>
      </c>
      <c r="F368" s="25">
        <v>2646</v>
      </c>
    </row>
    <row r="369" spans="2:6">
      <c r="B369" s="20">
        <v>39387</v>
      </c>
      <c r="C369" s="21" t="s">
        <v>7</v>
      </c>
      <c r="D369" s="22" t="s">
        <v>15</v>
      </c>
      <c r="E369" s="22" t="s">
        <v>14</v>
      </c>
      <c r="F369" s="23">
        <v>1362</v>
      </c>
    </row>
    <row r="370" spans="2:6">
      <c r="B370" s="15">
        <v>39387</v>
      </c>
      <c r="C370" s="16" t="s">
        <v>7</v>
      </c>
      <c r="D370" s="17" t="s">
        <v>15</v>
      </c>
      <c r="E370" s="17" t="s">
        <v>9</v>
      </c>
      <c r="F370" s="25">
        <v>1326</v>
      </c>
    </row>
    <row r="371" spans="2:6">
      <c r="B371" s="20">
        <v>39387</v>
      </c>
      <c r="C371" s="21" t="s">
        <v>7</v>
      </c>
      <c r="D371" s="22" t="s">
        <v>15</v>
      </c>
      <c r="E371" s="22" t="s">
        <v>11</v>
      </c>
      <c r="F371" s="23">
        <v>1863</v>
      </c>
    </row>
    <row r="372" spans="2:6">
      <c r="B372" s="15">
        <v>39387</v>
      </c>
      <c r="C372" s="16" t="s">
        <v>12</v>
      </c>
      <c r="D372" s="17" t="s">
        <v>8</v>
      </c>
      <c r="E372" s="17" t="s">
        <v>14</v>
      </c>
      <c r="F372" s="25">
        <v>2032</v>
      </c>
    </row>
    <row r="373" spans="2:6">
      <c r="B373" s="20">
        <v>39387</v>
      </c>
      <c r="C373" s="21" t="s">
        <v>12</v>
      </c>
      <c r="D373" s="22" t="s">
        <v>8</v>
      </c>
      <c r="E373" s="22" t="s">
        <v>9</v>
      </c>
      <c r="F373" s="23">
        <v>1208</v>
      </c>
    </row>
    <row r="374" spans="2:6">
      <c r="B374" s="15">
        <v>39387</v>
      </c>
      <c r="C374" s="16" t="s">
        <v>12</v>
      </c>
      <c r="D374" s="17" t="s">
        <v>8</v>
      </c>
      <c r="E374" s="17" t="s">
        <v>11</v>
      </c>
      <c r="F374" s="25">
        <v>1290</v>
      </c>
    </row>
    <row r="375" spans="2:6">
      <c r="B375" s="20">
        <v>39387</v>
      </c>
      <c r="C375" s="21" t="s">
        <v>12</v>
      </c>
      <c r="D375" s="22" t="s">
        <v>13</v>
      </c>
      <c r="E375" s="22" t="s">
        <v>14</v>
      </c>
      <c r="F375" s="23">
        <v>1904</v>
      </c>
    </row>
    <row r="376" spans="2:6">
      <c r="B376" s="15">
        <v>39387</v>
      </c>
      <c r="C376" s="16" t="s">
        <v>12</v>
      </c>
      <c r="D376" s="17" t="s">
        <v>13</v>
      </c>
      <c r="E376" s="17" t="s">
        <v>9</v>
      </c>
      <c r="F376" s="25">
        <v>1390</v>
      </c>
    </row>
    <row r="377" spans="2:6">
      <c r="B377" s="20">
        <v>39387</v>
      </c>
      <c r="C377" s="21" t="s">
        <v>12</v>
      </c>
      <c r="D377" s="22" t="s">
        <v>13</v>
      </c>
      <c r="E377" s="22" t="s">
        <v>11</v>
      </c>
      <c r="F377" s="23">
        <v>1480</v>
      </c>
    </row>
    <row r="378" spans="2:6">
      <c r="B378" s="15">
        <v>39387</v>
      </c>
      <c r="C378" s="16" t="s">
        <v>12</v>
      </c>
      <c r="D378" s="17" t="s">
        <v>15</v>
      </c>
      <c r="E378" s="17" t="s">
        <v>14</v>
      </c>
      <c r="F378" s="25">
        <v>2682</v>
      </c>
    </row>
    <row r="379" spans="2:6">
      <c r="B379" s="20">
        <v>39387</v>
      </c>
      <c r="C379" s="21" t="s">
        <v>12</v>
      </c>
      <c r="D379" s="22" t="s">
        <v>15</v>
      </c>
      <c r="E379" s="22" t="s">
        <v>9</v>
      </c>
      <c r="F379" s="23">
        <v>1782</v>
      </c>
    </row>
    <row r="380" spans="2:6">
      <c r="B380" s="15">
        <v>39387</v>
      </c>
      <c r="C380" s="16" t="s">
        <v>12</v>
      </c>
      <c r="D380" s="17" t="s">
        <v>15</v>
      </c>
      <c r="E380" s="17" t="s">
        <v>11</v>
      </c>
      <c r="F380" s="25">
        <v>1085</v>
      </c>
    </row>
    <row r="381" spans="2:6">
      <c r="B381" s="20">
        <v>39387</v>
      </c>
      <c r="C381" s="21" t="s">
        <v>19</v>
      </c>
      <c r="D381" s="22" t="s">
        <v>8</v>
      </c>
      <c r="E381" s="22" t="s">
        <v>14</v>
      </c>
      <c r="F381" s="23">
        <v>864</v>
      </c>
    </row>
    <row r="382" spans="2:6">
      <c r="B382" s="15">
        <v>39387</v>
      </c>
      <c r="C382" s="16" t="s">
        <v>19</v>
      </c>
      <c r="D382" s="17" t="s">
        <v>8</v>
      </c>
      <c r="E382" s="17" t="s">
        <v>9</v>
      </c>
      <c r="F382" s="25">
        <v>2349</v>
      </c>
    </row>
    <row r="383" spans="2:6">
      <c r="B383" s="20">
        <v>39387</v>
      </c>
      <c r="C383" s="21" t="s">
        <v>19</v>
      </c>
      <c r="D383" s="22" t="s">
        <v>8</v>
      </c>
      <c r="E383" s="22" t="s">
        <v>11</v>
      </c>
      <c r="F383" s="23">
        <v>1827</v>
      </c>
    </row>
    <row r="384" spans="2:6">
      <c r="B384" s="15">
        <v>39387</v>
      </c>
      <c r="C384" s="16" t="s">
        <v>19</v>
      </c>
      <c r="D384" s="17" t="s">
        <v>13</v>
      </c>
      <c r="E384" s="17" t="s">
        <v>14</v>
      </c>
      <c r="F384" s="25">
        <v>1200</v>
      </c>
    </row>
    <row r="385" spans="2:6">
      <c r="B385" s="20">
        <v>39387</v>
      </c>
      <c r="C385" s="21" t="s">
        <v>19</v>
      </c>
      <c r="D385" s="22" t="s">
        <v>13</v>
      </c>
      <c r="E385" s="22" t="s">
        <v>9</v>
      </c>
      <c r="F385" s="23">
        <v>2610</v>
      </c>
    </row>
    <row r="386" spans="2:6">
      <c r="B386" s="15">
        <v>39387</v>
      </c>
      <c r="C386" s="16" t="s">
        <v>19</v>
      </c>
      <c r="D386" s="17" t="s">
        <v>13</v>
      </c>
      <c r="E386" s="17" t="s">
        <v>11</v>
      </c>
      <c r="F386" s="25">
        <v>1864</v>
      </c>
    </row>
    <row r="387" spans="2:6">
      <c r="B387" s="20">
        <v>39387</v>
      </c>
      <c r="C387" s="21" t="s">
        <v>19</v>
      </c>
      <c r="D387" s="22" t="s">
        <v>15</v>
      </c>
      <c r="E387" s="22" t="s">
        <v>14</v>
      </c>
      <c r="F387" s="23">
        <v>1326</v>
      </c>
    </row>
    <row r="388" spans="2:6">
      <c r="B388" s="15">
        <v>39387</v>
      </c>
      <c r="C388" s="16" t="s">
        <v>19</v>
      </c>
      <c r="D388" s="17" t="s">
        <v>15</v>
      </c>
      <c r="E388" s="17" t="s">
        <v>9</v>
      </c>
      <c r="F388" s="25">
        <v>1827</v>
      </c>
    </row>
    <row r="389" spans="2:6">
      <c r="B389" s="20">
        <v>39387</v>
      </c>
      <c r="C389" s="21" t="s">
        <v>19</v>
      </c>
      <c r="D389" s="22" t="s">
        <v>15</v>
      </c>
      <c r="E389" s="22" t="s">
        <v>11</v>
      </c>
      <c r="F389" s="23">
        <v>1358</v>
      </c>
    </row>
    <row r="390" spans="2:6">
      <c r="B390" s="15">
        <v>39387</v>
      </c>
      <c r="C390" s="16" t="s">
        <v>21</v>
      </c>
      <c r="D390" s="17" t="s">
        <v>8</v>
      </c>
      <c r="E390" s="17" t="s">
        <v>14</v>
      </c>
      <c r="F390" s="25">
        <v>1674</v>
      </c>
    </row>
    <row r="391" spans="2:6">
      <c r="B391" s="20">
        <v>39387</v>
      </c>
      <c r="C391" s="21" t="s">
        <v>21</v>
      </c>
      <c r="D391" s="22" t="s">
        <v>8</v>
      </c>
      <c r="E391" s="22" t="s">
        <v>9</v>
      </c>
      <c r="F391" s="23">
        <v>750</v>
      </c>
    </row>
    <row r="392" spans="2:6">
      <c r="B392" s="15">
        <v>39387</v>
      </c>
      <c r="C392" s="16" t="s">
        <v>21</v>
      </c>
      <c r="D392" s="17" t="s">
        <v>8</v>
      </c>
      <c r="E392" s="17" t="s">
        <v>11</v>
      </c>
      <c r="F392" s="25">
        <v>1170</v>
      </c>
    </row>
    <row r="393" spans="2:6">
      <c r="B393" s="20">
        <v>39387</v>
      </c>
      <c r="C393" s="21" t="s">
        <v>21</v>
      </c>
      <c r="D393" s="22" t="s">
        <v>13</v>
      </c>
      <c r="E393" s="22" t="s">
        <v>14</v>
      </c>
      <c r="F393" s="23">
        <v>1953</v>
      </c>
    </row>
    <row r="394" spans="2:6">
      <c r="B394" s="15">
        <v>39387</v>
      </c>
      <c r="C394" s="16" t="s">
        <v>21</v>
      </c>
      <c r="D394" s="17" t="s">
        <v>13</v>
      </c>
      <c r="E394" s="17" t="s">
        <v>9</v>
      </c>
      <c r="F394" s="25">
        <v>924</v>
      </c>
    </row>
    <row r="395" spans="2:6">
      <c r="B395" s="20">
        <v>39387</v>
      </c>
      <c r="C395" s="21" t="s">
        <v>21</v>
      </c>
      <c r="D395" s="22" t="s">
        <v>13</v>
      </c>
      <c r="E395" s="22" t="s">
        <v>11</v>
      </c>
      <c r="F395" s="23">
        <v>972</v>
      </c>
    </row>
    <row r="396" spans="2:6">
      <c r="B396" s="15">
        <v>39387</v>
      </c>
      <c r="C396" s="16" t="s">
        <v>21</v>
      </c>
      <c r="D396" s="17" t="s">
        <v>15</v>
      </c>
      <c r="E396" s="17" t="s">
        <v>14</v>
      </c>
      <c r="F396" s="25">
        <v>1505</v>
      </c>
    </row>
    <row r="397" spans="2:6">
      <c r="B397" s="20">
        <v>39387</v>
      </c>
      <c r="C397" s="21" t="s">
        <v>21</v>
      </c>
      <c r="D397" s="22" t="s">
        <v>15</v>
      </c>
      <c r="E397" s="22" t="s">
        <v>9</v>
      </c>
      <c r="F397" s="23">
        <v>2439</v>
      </c>
    </row>
    <row r="398" spans="2:6">
      <c r="B398" s="15">
        <v>39387</v>
      </c>
      <c r="C398" s="16" t="s">
        <v>21</v>
      </c>
      <c r="D398" s="17" t="s">
        <v>15</v>
      </c>
      <c r="E398" s="17" t="s">
        <v>11</v>
      </c>
      <c r="F398" s="25">
        <v>2295</v>
      </c>
    </row>
    <row r="399" spans="2:6">
      <c r="B399" s="20">
        <v>39417</v>
      </c>
      <c r="C399" s="21" t="s">
        <v>7</v>
      </c>
      <c r="D399" s="22" t="s">
        <v>8</v>
      </c>
      <c r="E399" s="22" t="s">
        <v>14</v>
      </c>
      <c r="F399" s="23">
        <v>1169</v>
      </c>
    </row>
    <row r="400" spans="2:6">
      <c r="B400" s="15">
        <v>39417</v>
      </c>
      <c r="C400" s="16" t="s">
        <v>7</v>
      </c>
      <c r="D400" s="17" t="s">
        <v>8</v>
      </c>
      <c r="E400" s="17" t="s">
        <v>9</v>
      </c>
      <c r="F400" s="25">
        <v>1206</v>
      </c>
    </row>
    <row r="401" spans="2:6">
      <c r="B401" s="20">
        <v>39417</v>
      </c>
      <c r="C401" s="21" t="s">
        <v>7</v>
      </c>
      <c r="D401" s="22" t="s">
        <v>8</v>
      </c>
      <c r="E401" s="22" t="s">
        <v>11</v>
      </c>
      <c r="F401" s="23">
        <v>749</v>
      </c>
    </row>
    <row r="402" spans="2:6">
      <c r="B402" s="15">
        <v>39417</v>
      </c>
      <c r="C402" s="16" t="s">
        <v>7</v>
      </c>
      <c r="D402" s="17" t="s">
        <v>13</v>
      </c>
      <c r="E402" s="17" t="s">
        <v>14</v>
      </c>
      <c r="F402" s="25">
        <v>2565</v>
      </c>
    </row>
    <row r="403" spans="2:6">
      <c r="B403" s="20">
        <v>39417</v>
      </c>
      <c r="C403" s="21" t="s">
        <v>7</v>
      </c>
      <c r="D403" s="22" t="s">
        <v>13</v>
      </c>
      <c r="E403" s="22" t="s">
        <v>9</v>
      </c>
      <c r="F403" s="23">
        <v>1962</v>
      </c>
    </row>
    <row r="404" spans="2:6">
      <c r="B404" s="15">
        <v>39417</v>
      </c>
      <c r="C404" s="16" t="s">
        <v>7</v>
      </c>
      <c r="D404" s="17" t="s">
        <v>13</v>
      </c>
      <c r="E404" s="17" t="s">
        <v>11</v>
      </c>
      <c r="F404" s="25">
        <v>1246</v>
      </c>
    </row>
    <row r="405" spans="2:6">
      <c r="B405" s="20">
        <v>39417</v>
      </c>
      <c r="C405" s="21" t="s">
        <v>7</v>
      </c>
      <c r="D405" s="22" t="s">
        <v>15</v>
      </c>
      <c r="E405" s="22" t="s">
        <v>14</v>
      </c>
      <c r="F405" s="23">
        <v>1376</v>
      </c>
    </row>
    <row r="406" spans="2:6">
      <c r="B406" s="15">
        <v>39417</v>
      </c>
      <c r="C406" s="16" t="s">
        <v>7</v>
      </c>
      <c r="D406" s="17" t="s">
        <v>15</v>
      </c>
      <c r="E406" s="17" t="s">
        <v>9</v>
      </c>
      <c r="F406" s="25">
        <v>968</v>
      </c>
    </row>
    <row r="407" spans="2:6">
      <c r="B407" s="20">
        <v>39417</v>
      </c>
      <c r="C407" s="21" t="s">
        <v>7</v>
      </c>
      <c r="D407" s="22" t="s">
        <v>15</v>
      </c>
      <c r="E407" s="22" t="s">
        <v>11</v>
      </c>
      <c r="F407" s="23">
        <v>1984</v>
      </c>
    </row>
    <row r="408" spans="2:6">
      <c r="B408" s="15">
        <v>39417</v>
      </c>
      <c r="C408" s="16" t="s">
        <v>12</v>
      </c>
      <c r="D408" s="17" t="s">
        <v>8</v>
      </c>
      <c r="E408" s="17" t="s">
        <v>14</v>
      </c>
      <c r="F408" s="25">
        <v>1576</v>
      </c>
    </row>
    <row r="409" spans="2:6">
      <c r="B409" s="20">
        <v>39417</v>
      </c>
      <c r="C409" s="21" t="s">
        <v>12</v>
      </c>
      <c r="D409" s="22" t="s">
        <v>8</v>
      </c>
      <c r="E409" s="22" t="s">
        <v>9</v>
      </c>
      <c r="F409" s="23">
        <v>2466</v>
      </c>
    </row>
    <row r="410" spans="2:6">
      <c r="B410" s="15">
        <v>39417</v>
      </c>
      <c r="C410" s="16" t="s">
        <v>12</v>
      </c>
      <c r="D410" s="17" t="s">
        <v>8</v>
      </c>
      <c r="E410" s="17" t="s">
        <v>11</v>
      </c>
      <c r="F410" s="25">
        <v>2040</v>
      </c>
    </row>
    <row r="411" spans="2:6">
      <c r="B411" s="20">
        <v>39417</v>
      </c>
      <c r="C411" s="21" t="s">
        <v>12</v>
      </c>
      <c r="D411" s="22" t="s">
        <v>13</v>
      </c>
      <c r="E411" s="22" t="s">
        <v>14</v>
      </c>
      <c r="F411" s="23">
        <v>894</v>
      </c>
    </row>
    <row r="412" spans="2:6">
      <c r="B412" s="15">
        <v>39417</v>
      </c>
      <c r="C412" s="16" t="s">
        <v>12</v>
      </c>
      <c r="D412" s="17" t="s">
        <v>13</v>
      </c>
      <c r="E412" s="17" t="s">
        <v>9</v>
      </c>
      <c r="F412" s="25">
        <v>1017</v>
      </c>
    </row>
    <row r="413" spans="2:6">
      <c r="B413" s="20">
        <v>39417</v>
      </c>
      <c r="C413" s="21" t="s">
        <v>12</v>
      </c>
      <c r="D413" s="22" t="s">
        <v>13</v>
      </c>
      <c r="E413" s="22" t="s">
        <v>11</v>
      </c>
      <c r="F413" s="23">
        <v>2090</v>
      </c>
    </row>
    <row r="414" spans="2:6">
      <c r="B414" s="15">
        <v>39417</v>
      </c>
      <c r="C414" s="16" t="s">
        <v>12</v>
      </c>
      <c r="D414" s="17" t="s">
        <v>15</v>
      </c>
      <c r="E414" s="17" t="s">
        <v>14</v>
      </c>
      <c r="F414" s="25">
        <v>1168</v>
      </c>
    </row>
    <row r="415" spans="2:6">
      <c r="B415" s="20">
        <v>39417</v>
      </c>
      <c r="C415" s="21" t="s">
        <v>12</v>
      </c>
      <c r="D415" s="22" t="s">
        <v>15</v>
      </c>
      <c r="E415" s="22" t="s">
        <v>9</v>
      </c>
      <c r="F415" s="23">
        <v>952</v>
      </c>
    </row>
    <row r="416" spans="2:6">
      <c r="B416" s="15">
        <v>39417</v>
      </c>
      <c r="C416" s="16" t="s">
        <v>12</v>
      </c>
      <c r="D416" s="17" t="s">
        <v>15</v>
      </c>
      <c r="E416" s="17" t="s">
        <v>11</v>
      </c>
      <c r="F416" s="25">
        <v>2328</v>
      </c>
    </row>
    <row r="417" spans="2:6">
      <c r="B417" s="20">
        <v>39417</v>
      </c>
      <c r="C417" s="21" t="s">
        <v>19</v>
      </c>
      <c r="D417" s="22" t="s">
        <v>8</v>
      </c>
      <c r="E417" s="22" t="s">
        <v>14</v>
      </c>
      <c r="F417" s="23">
        <v>1446</v>
      </c>
    </row>
    <row r="418" spans="2:6">
      <c r="B418" s="15">
        <v>39417</v>
      </c>
      <c r="C418" s="16" t="s">
        <v>19</v>
      </c>
      <c r="D418" s="17" t="s">
        <v>8</v>
      </c>
      <c r="E418" s="17" t="s">
        <v>9</v>
      </c>
      <c r="F418" s="25">
        <v>2340</v>
      </c>
    </row>
    <row r="419" spans="2:6">
      <c r="B419" s="20">
        <v>39417</v>
      </c>
      <c r="C419" s="21" t="s">
        <v>19</v>
      </c>
      <c r="D419" s="22" t="s">
        <v>8</v>
      </c>
      <c r="E419" s="22" t="s">
        <v>11</v>
      </c>
      <c r="F419" s="23">
        <v>648</v>
      </c>
    </row>
    <row r="420" spans="2:6">
      <c r="B420" s="15">
        <v>39417</v>
      </c>
      <c r="C420" s="16" t="s">
        <v>19</v>
      </c>
      <c r="D420" s="17" t="s">
        <v>13</v>
      </c>
      <c r="E420" s="17" t="s">
        <v>14</v>
      </c>
      <c r="F420" s="25">
        <v>2358</v>
      </c>
    </row>
    <row r="421" spans="2:6">
      <c r="B421" s="20">
        <v>39417</v>
      </c>
      <c r="C421" s="21" t="s">
        <v>19</v>
      </c>
      <c r="D421" s="22" t="s">
        <v>13</v>
      </c>
      <c r="E421" s="22" t="s">
        <v>9</v>
      </c>
      <c r="F421" s="23">
        <v>2144</v>
      </c>
    </row>
    <row r="422" spans="2:6">
      <c r="B422" s="15">
        <v>39417</v>
      </c>
      <c r="C422" s="16" t="s">
        <v>19</v>
      </c>
      <c r="D422" s="17" t="s">
        <v>13</v>
      </c>
      <c r="E422" s="17" t="s">
        <v>11</v>
      </c>
      <c r="F422" s="25">
        <v>1863</v>
      </c>
    </row>
    <row r="423" spans="2:6">
      <c r="B423" s="20">
        <v>39417</v>
      </c>
      <c r="C423" s="21" t="s">
        <v>19</v>
      </c>
      <c r="D423" s="22" t="s">
        <v>15</v>
      </c>
      <c r="E423" s="22" t="s">
        <v>14</v>
      </c>
      <c r="F423" s="23">
        <v>1554</v>
      </c>
    </row>
    <row r="424" spans="2:6">
      <c r="B424" s="15">
        <v>39417</v>
      </c>
      <c r="C424" s="16" t="s">
        <v>19</v>
      </c>
      <c r="D424" s="17" t="s">
        <v>15</v>
      </c>
      <c r="E424" s="17" t="s">
        <v>9</v>
      </c>
      <c r="F424" s="25">
        <v>2400</v>
      </c>
    </row>
    <row r="425" spans="2:6">
      <c r="B425" s="20">
        <v>39417</v>
      </c>
      <c r="C425" s="21" t="s">
        <v>19</v>
      </c>
      <c r="D425" s="22" t="s">
        <v>15</v>
      </c>
      <c r="E425" s="22" t="s">
        <v>11</v>
      </c>
      <c r="F425" s="23">
        <v>2150</v>
      </c>
    </row>
    <row r="426" spans="2:6">
      <c r="B426" s="15">
        <v>39417</v>
      </c>
      <c r="C426" s="16" t="s">
        <v>21</v>
      </c>
      <c r="D426" s="17" t="s">
        <v>8</v>
      </c>
      <c r="E426" s="17" t="s">
        <v>14</v>
      </c>
      <c r="F426" s="25">
        <v>744</v>
      </c>
    </row>
    <row r="427" spans="2:6">
      <c r="B427" s="20">
        <v>39417</v>
      </c>
      <c r="C427" s="21" t="s">
        <v>21</v>
      </c>
      <c r="D427" s="22" t="s">
        <v>8</v>
      </c>
      <c r="E427" s="22" t="s">
        <v>9</v>
      </c>
      <c r="F427" s="23">
        <v>1911</v>
      </c>
    </row>
    <row r="428" spans="2:6">
      <c r="B428" s="15">
        <v>39417</v>
      </c>
      <c r="C428" s="16" t="s">
        <v>21</v>
      </c>
      <c r="D428" s="17" t="s">
        <v>8</v>
      </c>
      <c r="E428" s="17" t="s">
        <v>11</v>
      </c>
      <c r="F428" s="25">
        <v>2100</v>
      </c>
    </row>
    <row r="429" spans="2:6">
      <c r="B429" s="20">
        <v>39417</v>
      </c>
      <c r="C429" s="21" t="s">
        <v>21</v>
      </c>
      <c r="D429" s="22" t="s">
        <v>13</v>
      </c>
      <c r="E429" s="22" t="s">
        <v>14</v>
      </c>
      <c r="F429" s="23">
        <v>852</v>
      </c>
    </row>
    <row r="430" spans="2:6">
      <c r="B430" s="15">
        <v>39417</v>
      </c>
      <c r="C430" s="16" t="s">
        <v>21</v>
      </c>
      <c r="D430" s="17" t="s">
        <v>13</v>
      </c>
      <c r="E430" s="17" t="s">
        <v>9</v>
      </c>
      <c r="F430" s="25">
        <v>1736</v>
      </c>
    </row>
    <row r="431" spans="2:6">
      <c r="B431" s="20">
        <v>39417</v>
      </c>
      <c r="C431" s="21" t="s">
        <v>21</v>
      </c>
      <c r="D431" s="22" t="s">
        <v>13</v>
      </c>
      <c r="E431" s="22" t="s">
        <v>11</v>
      </c>
      <c r="F431" s="23">
        <v>1542</v>
      </c>
    </row>
    <row r="432" spans="2:6">
      <c r="B432" s="15">
        <v>39417</v>
      </c>
      <c r="C432" s="16" t="s">
        <v>21</v>
      </c>
      <c r="D432" s="17" t="s">
        <v>15</v>
      </c>
      <c r="E432" s="17" t="s">
        <v>14</v>
      </c>
      <c r="F432" s="25">
        <v>2592</v>
      </c>
    </row>
    <row r="433" spans="2:6">
      <c r="B433" s="20">
        <v>39417</v>
      </c>
      <c r="C433" s="21" t="s">
        <v>21</v>
      </c>
      <c r="D433" s="22" t="s">
        <v>15</v>
      </c>
      <c r="E433" s="22" t="s">
        <v>9</v>
      </c>
      <c r="F433" s="23">
        <v>1448</v>
      </c>
    </row>
    <row r="434" spans="2:6">
      <c r="B434" s="15">
        <v>39417</v>
      </c>
      <c r="C434" s="16" t="s">
        <v>21</v>
      </c>
      <c r="D434" s="17" t="s">
        <v>15</v>
      </c>
      <c r="E434" s="17" t="s">
        <v>11</v>
      </c>
      <c r="F434" s="25">
        <v>1810</v>
      </c>
    </row>
    <row r="435" spans="2:6">
      <c r="B435" s="20">
        <v>39448</v>
      </c>
      <c r="C435" s="21" t="s">
        <v>7</v>
      </c>
      <c r="D435" s="22" t="s">
        <v>8</v>
      </c>
      <c r="E435" s="22" t="s">
        <v>14</v>
      </c>
      <c r="F435" s="23">
        <v>1323</v>
      </c>
    </row>
    <row r="436" spans="2:6">
      <c r="B436" s="15">
        <v>39448</v>
      </c>
      <c r="C436" s="16" t="s">
        <v>7</v>
      </c>
      <c r="D436" s="17" t="s">
        <v>8</v>
      </c>
      <c r="E436" s="17" t="s">
        <v>9</v>
      </c>
      <c r="F436" s="25">
        <v>2529</v>
      </c>
    </row>
    <row r="437" spans="2:6">
      <c r="B437" s="20">
        <v>39448</v>
      </c>
      <c r="C437" s="21" t="s">
        <v>7</v>
      </c>
      <c r="D437" s="22" t="s">
        <v>8</v>
      </c>
      <c r="E437" s="22" t="s">
        <v>11</v>
      </c>
      <c r="F437" s="23">
        <v>1992</v>
      </c>
    </row>
    <row r="438" spans="2:6">
      <c r="B438" s="15">
        <v>39448</v>
      </c>
      <c r="C438" s="16" t="s">
        <v>7</v>
      </c>
      <c r="D438" s="17" t="s">
        <v>13</v>
      </c>
      <c r="E438" s="17" t="s">
        <v>14</v>
      </c>
      <c r="F438" s="25">
        <v>1840</v>
      </c>
    </row>
    <row r="439" spans="2:6">
      <c r="B439" s="20">
        <v>39448</v>
      </c>
      <c r="C439" s="21" t="s">
        <v>7</v>
      </c>
      <c r="D439" s="22" t="s">
        <v>13</v>
      </c>
      <c r="E439" s="22" t="s">
        <v>9</v>
      </c>
      <c r="F439" s="23">
        <v>936</v>
      </c>
    </row>
    <row r="440" spans="2:6">
      <c r="B440" s="15">
        <v>39448</v>
      </c>
      <c r="C440" s="16" t="s">
        <v>7</v>
      </c>
      <c r="D440" s="17" t="s">
        <v>13</v>
      </c>
      <c r="E440" s="17" t="s">
        <v>11</v>
      </c>
      <c r="F440" s="25">
        <v>1320</v>
      </c>
    </row>
    <row r="441" spans="2:6">
      <c r="B441" s="20">
        <v>39448</v>
      </c>
      <c r="C441" s="21" t="s">
        <v>7</v>
      </c>
      <c r="D441" s="22" t="s">
        <v>15</v>
      </c>
      <c r="E441" s="22" t="s">
        <v>14</v>
      </c>
      <c r="F441" s="23">
        <v>2511</v>
      </c>
    </row>
    <row r="442" spans="2:6">
      <c r="B442" s="15">
        <v>39448</v>
      </c>
      <c r="C442" s="16" t="s">
        <v>7</v>
      </c>
      <c r="D442" s="17" t="s">
        <v>15</v>
      </c>
      <c r="E442" s="17" t="s">
        <v>9</v>
      </c>
      <c r="F442" s="25">
        <v>1048</v>
      </c>
    </row>
    <row r="443" spans="2:6">
      <c r="B443" s="20">
        <v>39448</v>
      </c>
      <c r="C443" s="21" t="s">
        <v>7</v>
      </c>
      <c r="D443" s="22" t="s">
        <v>15</v>
      </c>
      <c r="E443" s="22" t="s">
        <v>11</v>
      </c>
      <c r="F443" s="23">
        <v>1670</v>
      </c>
    </row>
    <row r="444" spans="2:6">
      <c r="B444" s="15">
        <v>39448</v>
      </c>
      <c r="C444" s="16" t="s">
        <v>12</v>
      </c>
      <c r="D444" s="17" t="s">
        <v>8</v>
      </c>
      <c r="E444" s="17" t="s">
        <v>14</v>
      </c>
      <c r="F444" s="25">
        <v>2070</v>
      </c>
    </row>
    <row r="445" spans="2:6">
      <c r="B445" s="20">
        <v>39448</v>
      </c>
      <c r="C445" s="21" t="s">
        <v>12</v>
      </c>
      <c r="D445" s="22" t="s">
        <v>8</v>
      </c>
      <c r="E445" s="22" t="s">
        <v>9</v>
      </c>
      <c r="F445" s="23">
        <v>1881</v>
      </c>
    </row>
    <row r="446" spans="2:6">
      <c r="B446" s="15">
        <v>39448</v>
      </c>
      <c r="C446" s="16" t="s">
        <v>12</v>
      </c>
      <c r="D446" s="17" t="s">
        <v>8</v>
      </c>
      <c r="E446" s="17" t="s">
        <v>11</v>
      </c>
      <c r="F446" s="25">
        <v>2460</v>
      </c>
    </row>
    <row r="447" spans="2:6">
      <c r="B447" s="20">
        <v>39448</v>
      </c>
      <c r="C447" s="21" t="s">
        <v>12</v>
      </c>
      <c r="D447" s="22" t="s">
        <v>13</v>
      </c>
      <c r="E447" s="22" t="s">
        <v>14</v>
      </c>
      <c r="F447" s="23">
        <v>1288</v>
      </c>
    </row>
    <row r="448" spans="2:6">
      <c r="B448" s="15">
        <v>39448</v>
      </c>
      <c r="C448" s="16" t="s">
        <v>12</v>
      </c>
      <c r="D448" s="17" t="s">
        <v>13</v>
      </c>
      <c r="E448" s="17" t="s">
        <v>9</v>
      </c>
      <c r="F448" s="25">
        <v>2820</v>
      </c>
    </row>
    <row r="449" spans="2:6">
      <c r="B449" s="20">
        <v>39448</v>
      </c>
      <c r="C449" s="21" t="s">
        <v>12</v>
      </c>
      <c r="D449" s="22" t="s">
        <v>13</v>
      </c>
      <c r="E449" s="22" t="s">
        <v>11</v>
      </c>
      <c r="F449" s="23">
        <v>1960</v>
      </c>
    </row>
    <row r="450" spans="2:6">
      <c r="B450" s="15">
        <v>39448</v>
      </c>
      <c r="C450" s="16" t="s">
        <v>12</v>
      </c>
      <c r="D450" s="17" t="s">
        <v>15</v>
      </c>
      <c r="E450" s="17" t="s">
        <v>14</v>
      </c>
      <c r="F450" s="25">
        <v>1074</v>
      </c>
    </row>
    <row r="451" spans="2:6">
      <c r="B451" s="20">
        <v>39448</v>
      </c>
      <c r="C451" s="21" t="s">
        <v>12</v>
      </c>
      <c r="D451" s="22" t="s">
        <v>15</v>
      </c>
      <c r="E451" s="22" t="s">
        <v>9</v>
      </c>
      <c r="F451" s="23">
        <v>910</v>
      </c>
    </row>
    <row r="452" spans="2:6">
      <c r="B452" s="15">
        <v>39448</v>
      </c>
      <c r="C452" s="16" t="s">
        <v>12</v>
      </c>
      <c r="D452" s="17" t="s">
        <v>15</v>
      </c>
      <c r="E452" s="17" t="s">
        <v>11</v>
      </c>
      <c r="F452" s="25">
        <v>1800</v>
      </c>
    </row>
    <row r="453" spans="2:6">
      <c r="B453" s="20">
        <v>39448</v>
      </c>
      <c r="C453" s="21" t="s">
        <v>19</v>
      </c>
      <c r="D453" s="22" t="s">
        <v>8</v>
      </c>
      <c r="E453" s="22" t="s">
        <v>14</v>
      </c>
      <c r="F453" s="23">
        <v>1152</v>
      </c>
    </row>
    <row r="454" spans="2:6">
      <c r="B454" s="15">
        <v>39448</v>
      </c>
      <c r="C454" s="16" t="s">
        <v>19</v>
      </c>
      <c r="D454" s="17" t="s">
        <v>8</v>
      </c>
      <c r="E454" s="17" t="s">
        <v>9</v>
      </c>
      <c r="F454" s="25">
        <v>2002</v>
      </c>
    </row>
    <row r="455" spans="2:6">
      <c r="B455" s="20">
        <v>39448</v>
      </c>
      <c r="C455" s="21" t="s">
        <v>19</v>
      </c>
      <c r="D455" s="22" t="s">
        <v>8</v>
      </c>
      <c r="E455" s="22" t="s">
        <v>11</v>
      </c>
      <c r="F455" s="23">
        <v>822</v>
      </c>
    </row>
    <row r="456" spans="2:6">
      <c r="B456" s="15">
        <v>39448</v>
      </c>
      <c r="C456" s="16" t="s">
        <v>19</v>
      </c>
      <c r="D456" s="17" t="s">
        <v>13</v>
      </c>
      <c r="E456" s="17" t="s">
        <v>14</v>
      </c>
      <c r="F456" s="25">
        <v>2030</v>
      </c>
    </row>
    <row r="457" spans="2:6">
      <c r="B457" s="20">
        <v>39448</v>
      </c>
      <c r="C457" s="21" t="s">
        <v>19</v>
      </c>
      <c r="D457" s="22" t="s">
        <v>13</v>
      </c>
      <c r="E457" s="22" t="s">
        <v>9</v>
      </c>
      <c r="F457" s="23">
        <v>2511</v>
      </c>
    </row>
    <row r="458" spans="2:6">
      <c r="B458" s="15">
        <v>39448</v>
      </c>
      <c r="C458" s="16" t="s">
        <v>19</v>
      </c>
      <c r="D458" s="17" t="s">
        <v>13</v>
      </c>
      <c r="E458" s="17" t="s">
        <v>11</v>
      </c>
      <c r="F458" s="25">
        <v>1302</v>
      </c>
    </row>
    <row r="459" spans="2:6">
      <c r="B459" s="20">
        <v>39448</v>
      </c>
      <c r="C459" s="21" t="s">
        <v>19</v>
      </c>
      <c r="D459" s="22" t="s">
        <v>15</v>
      </c>
      <c r="E459" s="22" t="s">
        <v>14</v>
      </c>
      <c r="F459" s="23">
        <v>660</v>
      </c>
    </row>
    <row r="460" spans="2:6">
      <c r="B460" s="15">
        <v>39448</v>
      </c>
      <c r="C460" s="16" t="s">
        <v>19</v>
      </c>
      <c r="D460" s="17" t="s">
        <v>15</v>
      </c>
      <c r="E460" s="17" t="s">
        <v>9</v>
      </c>
      <c r="F460" s="25">
        <v>1700</v>
      </c>
    </row>
    <row r="461" spans="2:6">
      <c r="B461" s="20">
        <v>39448</v>
      </c>
      <c r="C461" s="21" t="s">
        <v>19</v>
      </c>
      <c r="D461" s="22" t="s">
        <v>15</v>
      </c>
      <c r="E461" s="22" t="s">
        <v>11</v>
      </c>
      <c r="F461" s="23">
        <v>1398</v>
      </c>
    </row>
    <row r="462" spans="2:6">
      <c r="B462" s="15">
        <v>39448</v>
      </c>
      <c r="C462" s="16" t="s">
        <v>21</v>
      </c>
      <c r="D462" s="17" t="s">
        <v>8</v>
      </c>
      <c r="E462" s="17" t="s">
        <v>14</v>
      </c>
      <c r="F462" s="25">
        <v>784</v>
      </c>
    </row>
    <row r="463" spans="2:6">
      <c r="B463" s="20">
        <v>39448</v>
      </c>
      <c r="C463" s="21" t="s">
        <v>21</v>
      </c>
      <c r="D463" s="22" t="s">
        <v>8</v>
      </c>
      <c r="E463" s="22" t="s">
        <v>9</v>
      </c>
      <c r="F463" s="23">
        <v>1960</v>
      </c>
    </row>
    <row r="464" spans="2:6">
      <c r="B464" s="15">
        <v>39448</v>
      </c>
      <c r="C464" s="16" t="s">
        <v>21</v>
      </c>
      <c r="D464" s="17" t="s">
        <v>8</v>
      </c>
      <c r="E464" s="17" t="s">
        <v>11</v>
      </c>
      <c r="F464" s="25">
        <v>1392</v>
      </c>
    </row>
    <row r="465" spans="2:6">
      <c r="B465" s="20">
        <v>39448</v>
      </c>
      <c r="C465" s="21" t="s">
        <v>21</v>
      </c>
      <c r="D465" s="22" t="s">
        <v>13</v>
      </c>
      <c r="E465" s="22" t="s">
        <v>14</v>
      </c>
      <c r="F465" s="23">
        <v>1128</v>
      </c>
    </row>
    <row r="466" spans="2:6">
      <c r="B466" s="15">
        <v>39448</v>
      </c>
      <c r="C466" s="16" t="s">
        <v>21</v>
      </c>
      <c r="D466" s="17" t="s">
        <v>13</v>
      </c>
      <c r="E466" s="17" t="s">
        <v>9</v>
      </c>
      <c r="F466" s="25">
        <v>1192</v>
      </c>
    </row>
    <row r="467" spans="2:6">
      <c r="B467" s="20">
        <v>39448</v>
      </c>
      <c r="C467" s="21" t="s">
        <v>21</v>
      </c>
      <c r="D467" s="22" t="s">
        <v>13</v>
      </c>
      <c r="E467" s="22" t="s">
        <v>11</v>
      </c>
      <c r="F467" s="23">
        <v>1848</v>
      </c>
    </row>
    <row r="468" spans="2:6">
      <c r="B468" s="15">
        <v>39448</v>
      </c>
      <c r="C468" s="16" t="s">
        <v>21</v>
      </c>
      <c r="D468" s="17" t="s">
        <v>15</v>
      </c>
      <c r="E468" s="17" t="s">
        <v>14</v>
      </c>
      <c r="F468" s="25">
        <v>1248</v>
      </c>
    </row>
    <row r="469" spans="2:6">
      <c r="B469" s="20">
        <v>39448</v>
      </c>
      <c r="C469" s="21" t="s">
        <v>21</v>
      </c>
      <c r="D469" s="22" t="s">
        <v>15</v>
      </c>
      <c r="E469" s="22" t="s">
        <v>9</v>
      </c>
      <c r="F469" s="23">
        <v>750</v>
      </c>
    </row>
    <row r="470" spans="2:6">
      <c r="B470" s="15">
        <v>39448</v>
      </c>
      <c r="C470" s="16" t="s">
        <v>21</v>
      </c>
      <c r="D470" s="17" t="s">
        <v>15</v>
      </c>
      <c r="E470" s="17" t="s">
        <v>11</v>
      </c>
      <c r="F470" s="25">
        <v>1760</v>
      </c>
    </row>
    <row r="471" spans="2:6">
      <c r="B471" s="20">
        <v>39479</v>
      </c>
      <c r="C471" s="21" t="s">
        <v>7</v>
      </c>
      <c r="D471" s="22" t="s">
        <v>8</v>
      </c>
      <c r="E471" s="22" t="s">
        <v>14</v>
      </c>
      <c r="F471" s="23">
        <v>1528</v>
      </c>
    </row>
    <row r="472" spans="2:6">
      <c r="B472" s="15">
        <v>39479</v>
      </c>
      <c r="C472" s="16" t="s">
        <v>7</v>
      </c>
      <c r="D472" s="17" t="s">
        <v>8</v>
      </c>
      <c r="E472" s="17" t="s">
        <v>9</v>
      </c>
      <c r="F472" s="25">
        <v>1022</v>
      </c>
    </row>
    <row r="473" spans="2:6">
      <c r="B473" s="20">
        <v>39479</v>
      </c>
      <c r="C473" s="21" t="s">
        <v>7</v>
      </c>
      <c r="D473" s="22" t="s">
        <v>8</v>
      </c>
      <c r="E473" s="22" t="s">
        <v>11</v>
      </c>
      <c r="F473" s="23">
        <v>2030</v>
      </c>
    </row>
    <row r="474" spans="2:6">
      <c r="B474" s="15">
        <v>39479</v>
      </c>
      <c r="C474" s="16" t="s">
        <v>7</v>
      </c>
      <c r="D474" s="17" t="s">
        <v>13</v>
      </c>
      <c r="E474" s="17" t="s">
        <v>14</v>
      </c>
      <c r="F474" s="25">
        <v>798</v>
      </c>
    </row>
    <row r="475" spans="2:6">
      <c r="B475" s="20">
        <v>39479</v>
      </c>
      <c r="C475" s="21" t="s">
        <v>7</v>
      </c>
      <c r="D475" s="22" t="s">
        <v>13</v>
      </c>
      <c r="E475" s="22" t="s">
        <v>9</v>
      </c>
      <c r="F475" s="23">
        <v>2600</v>
      </c>
    </row>
    <row r="476" spans="2:6">
      <c r="B476" s="15">
        <v>39479</v>
      </c>
      <c r="C476" s="16" t="s">
        <v>7</v>
      </c>
      <c r="D476" s="17" t="s">
        <v>13</v>
      </c>
      <c r="E476" s="17" t="s">
        <v>11</v>
      </c>
      <c r="F476" s="25">
        <v>1530</v>
      </c>
    </row>
    <row r="477" spans="2:6">
      <c r="B477" s="20">
        <v>39479</v>
      </c>
      <c r="C477" s="21" t="s">
        <v>7</v>
      </c>
      <c r="D477" s="22" t="s">
        <v>15</v>
      </c>
      <c r="E477" s="22" t="s">
        <v>14</v>
      </c>
      <c r="F477" s="23">
        <v>1360</v>
      </c>
    </row>
    <row r="478" spans="2:6">
      <c r="B478" s="15">
        <v>39479</v>
      </c>
      <c r="C478" s="16" t="s">
        <v>7</v>
      </c>
      <c r="D478" s="17" t="s">
        <v>15</v>
      </c>
      <c r="E478" s="17" t="s">
        <v>9</v>
      </c>
      <c r="F478" s="25">
        <v>924</v>
      </c>
    </row>
    <row r="479" spans="2:6">
      <c r="B479" s="20">
        <v>39479</v>
      </c>
      <c r="C479" s="21" t="s">
        <v>7</v>
      </c>
      <c r="D479" s="22" t="s">
        <v>15</v>
      </c>
      <c r="E479" s="22" t="s">
        <v>11</v>
      </c>
      <c r="F479" s="23">
        <v>1782</v>
      </c>
    </row>
    <row r="480" spans="2:6">
      <c r="B480" s="15">
        <v>39479</v>
      </c>
      <c r="C480" s="16" t="s">
        <v>12</v>
      </c>
      <c r="D480" s="17" t="s">
        <v>8</v>
      </c>
      <c r="E480" s="17" t="s">
        <v>14</v>
      </c>
      <c r="F480" s="25">
        <v>2268</v>
      </c>
    </row>
    <row r="481" spans="2:6">
      <c r="B481" s="20">
        <v>39479</v>
      </c>
      <c r="C481" s="21" t="s">
        <v>12</v>
      </c>
      <c r="D481" s="22" t="s">
        <v>8</v>
      </c>
      <c r="E481" s="22" t="s">
        <v>9</v>
      </c>
      <c r="F481" s="23">
        <v>2178</v>
      </c>
    </row>
    <row r="482" spans="2:6">
      <c r="B482" s="15">
        <v>39479</v>
      </c>
      <c r="C482" s="16" t="s">
        <v>12</v>
      </c>
      <c r="D482" s="17" t="s">
        <v>8</v>
      </c>
      <c r="E482" s="17" t="s">
        <v>11</v>
      </c>
      <c r="F482" s="25">
        <v>936</v>
      </c>
    </row>
    <row r="483" spans="2:6">
      <c r="B483" s="20">
        <v>39479</v>
      </c>
      <c r="C483" s="21" t="s">
        <v>12</v>
      </c>
      <c r="D483" s="22" t="s">
        <v>13</v>
      </c>
      <c r="E483" s="22" t="s">
        <v>14</v>
      </c>
      <c r="F483" s="23">
        <v>1128</v>
      </c>
    </row>
    <row r="484" spans="2:6">
      <c r="B484" s="15">
        <v>39479</v>
      </c>
      <c r="C484" s="16" t="s">
        <v>12</v>
      </c>
      <c r="D484" s="17" t="s">
        <v>13</v>
      </c>
      <c r="E484" s="17" t="s">
        <v>9</v>
      </c>
      <c r="F484" s="25">
        <v>808</v>
      </c>
    </row>
    <row r="485" spans="2:6">
      <c r="B485" s="20">
        <v>39479</v>
      </c>
      <c r="C485" s="21" t="s">
        <v>12</v>
      </c>
      <c r="D485" s="22" t="s">
        <v>13</v>
      </c>
      <c r="E485" s="22" t="s">
        <v>11</v>
      </c>
      <c r="F485" s="23">
        <v>2030</v>
      </c>
    </row>
    <row r="486" spans="2:6">
      <c r="B486" s="15">
        <v>39479</v>
      </c>
      <c r="C486" s="16" t="s">
        <v>12</v>
      </c>
      <c r="D486" s="17" t="s">
        <v>15</v>
      </c>
      <c r="E486" s="17" t="s">
        <v>14</v>
      </c>
      <c r="F486" s="25">
        <v>1728</v>
      </c>
    </row>
    <row r="487" spans="2:6">
      <c r="B487" s="20">
        <v>39479</v>
      </c>
      <c r="C487" s="21" t="s">
        <v>12</v>
      </c>
      <c r="D487" s="22" t="s">
        <v>15</v>
      </c>
      <c r="E487" s="22" t="s">
        <v>9</v>
      </c>
      <c r="F487" s="23">
        <v>1989</v>
      </c>
    </row>
    <row r="488" spans="2:6">
      <c r="B488" s="15">
        <v>39479</v>
      </c>
      <c r="C488" s="16" t="s">
        <v>12</v>
      </c>
      <c r="D488" s="17" t="s">
        <v>15</v>
      </c>
      <c r="E488" s="17" t="s">
        <v>11</v>
      </c>
      <c r="F488" s="25">
        <v>1194</v>
      </c>
    </row>
    <row r="489" spans="2:6">
      <c r="B489" s="20">
        <v>39479</v>
      </c>
      <c r="C489" s="21" t="s">
        <v>19</v>
      </c>
      <c r="D489" s="22" t="s">
        <v>8</v>
      </c>
      <c r="E489" s="22" t="s">
        <v>14</v>
      </c>
      <c r="F489" s="23">
        <v>1435</v>
      </c>
    </row>
    <row r="490" spans="2:6">
      <c r="B490" s="15">
        <v>39479</v>
      </c>
      <c r="C490" s="16" t="s">
        <v>19</v>
      </c>
      <c r="D490" s="17" t="s">
        <v>8</v>
      </c>
      <c r="E490" s="17" t="s">
        <v>9</v>
      </c>
      <c r="F490" s="25">
        <v>1160</v>
      </c>
    </row>
    <row r="491" spans="2:6">
      <c r="B491" s="20">
        <v>39479</v>
      </c>
      <c r="C491" s="21" t="s">
        <v>19</v>
      </c>
      <c r="D491" s="22" t="s">
        <v>8</v>
      </c>
      <c r="E491" s="22" t="s">
        <v>11</v>
      </c>
      <c r="F491" s="23">
        <v>810</v>
      </c>
    </row>
    <row r="492" spans="2:6">
      <c r="B492" s="15">
        <v>39479</v>
      </c>
      <c r="C492" s="16" t="s">
        <v>19</v>
      </c>
      <c r="D492" s="17" t="s">
        <v>13</v>
      </c>
      <c r="E492" s="17" t="s">
        <v>14</v>
      </c>
      <c r="F492" s="25">
        <v>840</v>
      </c>
    </row>
    <row r="493" spans="2:6">
      <c r="B493" s="20">
        <v>39479</v>
      </c>
      <c r="C493" s="21" t="s">
        <v>19</v>
      </c>
      <c r="D493" s="22" t="s">
        <v>13</v>
      </c>
      <c r="E493" s="22" t="s">
        <v>9</v>
      </c>
      <c r="F493" s="23">
        <v>1064</v>
      </c>
    </row>
    <row r="494" spans="2:6">
      <c r="B494" s="15">
        <v>39479</v>
      </c>
      <c r="C494" s="16" t="s">
        <v>19</v>
      </c>
      <c r="D494" s="17" t="s">
        <v>13</v>
      </c>
      <c r="E494" s="17" t="s">
        <v>11</v>
      </c>
      <c r="F494" s="25">
        <v>1398</v>
      </c>
    </row>
    <row r="495" spans="2:6">
      <c r="B495" s="20">
        <v>39479</v>
      </c>
      <c r="C495" s="21" t="s">
        <v>19</v>
      </c>
      <c r="D495" s="22" t="s">
        <v>15</v>
      </c>
      <c r="E495" s="22" t="s">
        <v>14</v>
      </c>
      <c r="F495" s="23">
        <v>1920</v>
      </c>
    </row>
    <row r="496" spans="2:6">
      <c r="B496" s="15">
        <v>39479</v>
      </c>
      <c r="C496" s="16" t="s">
        <v>19</v>
      </c>
      <c r="D496" s="17" t="s">
        <v>15</v>
      </c>
      <c r="E496" s="17" t="s">
        <v>9</v>
      </c>
      <c r="F496" s="25">
        <v>2610</v>
      </c>
    </row>
    <row r="497" spans="2:6">
      <c r="B497" s="20">
        <v>39479</v>
      </c>
      <c r="C497" s="21" t="s">
        <v>19</v>
      </c>
      <c r="D497" s="22" t="s">
        <v>15</v>
      </c>
      <c r="E497" s="22" t="s">
        <v>11</v>
      </c>
      <c r="F497" s="23">
        <v>1960</v>
      </c>
    </row>
    <row r="498" spans="2:6">
      <c r="B498" s="15">
        <v>39479</v>
      </c>
      <c r="C498" s="16" t="s">
        <v>21</v>
      </c>
      <c r="D498" s="17" t="s">
        <v>8</v>
      </c>
      <c r="E498" s="17" t="s">
        <v>14</v>
      </c>
      <c r="F498" s="25">
        <v>684</v>
      </c>
    </row>
    <row r="499" spans="2:6">
      <c r="B499" s="20">
        <v>39479</v>
      </c>
      <c r="C499" s="21" t="s">
        <v>21</v>
      </c>
      <c r="D499" s="22" t="s">
        <v>8</v>
      </c>
      <c r="E499" s="22" t="s">
        <v>9</v>
      </c>
      <c r="F499" s="23">
        <v>630</v>
      </c>
    </row>
    <row r="500" spans="2:6">
      <c r="B500" s="15">
        <v>39479</v>
      </c>
      <c r="C500" s="16" t="s">
        <v>21</v>
      </c>
      <c r="D500" s="17" t="s">
        <v>8</v>
      </c>
      <c r="E500" s="17" t="s">
        <v>11</v>
      </c>
      <c r="F500" s="25">
        <v>1176</v>
      </c>
    </row>
    <row r="501" spans="2:6">
      <c r="B501" s="20">
        <v>39479</v>
      </c>
      <c r="C501" s="21" t="s">
        <v>21</v>
      </c>
      <c r="D501" s="22" t="s">
        <v>13</v>
      </c>
      <c r="E501" s="22" t="s">
        <v>14</v>
      </c>
      <c r="F501" s="23">
        <v>2169</v>
      </c>
    </row>
    <row r="502" spans="2:6">
      <c r="B502" s="15">
        <v>39479</v>
      </c>
      <c r="C502" s="16" t="s">
        <v>21</v>
      </c>
      <c r="D502" s="17" t="s">
        <v>13</v>
      </c>
      <c r="E502" s="17" t="s">
        <v>9</v>
      </c>
      <c r="F502" s="25">
        <v>1176</v>
      </c>
    </row>
    <row r="503" spans="2:6">
      <c r="B503" s="20">
        <v>39479</v>
      </c>
      <c r="C503" s="21" t="s">
        <v>21</v>
      </c>
      <c r="D503" s="22" t="s">
        <v>13</v>
      </c>
      <c r="E503" s="22" t="s">
        <v>11</v>
      </c>
      <c r="F503" s="23">
        <v>810</v>
      </c>
    </row>
    <row r="504" spans="2:6">
      <c r="B504" s="15">
        <v>39479</v>
      </c>
      <c r="C504" s="16" t="s">
        <v>21</v>
      </c>
      <c r="D504" s="17" t="s">
        <v>15</v>
      </c>
      <c r="E504" s="17" t="s">
        <v>14</v>
      </c>
      <c r="F504" s="25">
        <v>1680</v>
      </c>
    </row>
    <row r="505" spans="2:6">
      <c r="B505" s="20">
        <v>39479</v>
      </c>
      <c r="C505" s="21" t="s">
        <v>21</v>
      </c>
      <c r="D505" s="22" t="s">
        <v>15</v>
      </c>
      <c r="E505" s="22" t="s">
        <v>9</v>
      </c>
      <c r="F505" s="23">
        <v>774</v>
      </c>
    </row>
    <row r="506" spans="2:6">
      <c r="B506" s="15">
        <v>39479</v>
      </c>
      <c r="C506" s="16" t="s">
        <v>21</v>
      </c>
      <c r="D506" s="17" t="s">
        <v>15</v>
      </c>
      <c r="E506" s="17" t="s">
        <v>11</v>
      </c>
      <c r="F506" s="25">
        <v>2850</v>
      </c>
    </row>
    <row r="507" spans="2:6">
      <c r="B507" s="20">
        <v>39508</v>
      </c>
      <c r="C507" s="21" t="s">
        <v>7</v>
      </c>
      <c r="D507" s="22" t="s">
        <v>8</v>
      </c>
      <c r="E507" s="22" t="s">
        <v>14</v>
      </c>
      <c r="F507" s="23">
        <v>1136</v>
      </c>
    </row>
    <row r="508" spans="2:6">
      <c r="B508" s="15">
        <v>39508</v>
      </c>
      <c r="C508" s="16" t="s">
        <v>7</v>
      </c>
      <c r="D508" s="17" t="s">
        <v>8</v>
      </c>
      <c r="E508" s="17" t="s">
        <v>9</v>
      </c>
      <c r="F508" s="25">
        <v>1600</v>
      </c>
    </row>
    <row r="509" spans="2:6">
      <c r="B509" s="20">
        <v>39508</v>
      </c>
      <c r="C509" s="21" t="s">
        <v>7</v>
      </c>
      <c r="D509" s="22" t="s">
        <v>8</v>
      </c>
      <c r="E509" s="22" t="s">
        <v>11</v>
      </c>
      <c r="F509" s="23">
        <v>1350</v>
      </c>
    </row>
    <row r="510" spans="2:6">
      <c r="B510" s="15">
        <v>39508</v>
      </c>
      <c r="C510" s="16" t="s">
        <v>7</v>
      </c>
      <c r="D510" s="17" t="s">
        <v>13</v>
      </c>
      <c r="E510" s="17" t="s">
        <v>14</v>
      </c>
      <c r="F510" s="25">
        <v>1976</v>
      </c>
    </row>
    <row r="511" spans="2:6">
      <c r="B511" s="20">
        <v>39508</v>
      </c>
      <c r="C511" s="21" t="s">
        <v>7</v>
      </c>
      <c r="D511" s="22" t="s">
        <v>13</v>
      </c>
      <c r="E511" s="22" t="s">
        <v>9</v>
      </c>
      <c r="F511" s="23">
        <v>2940</v>
      </c>
    </row>
    <row r="512" spans="2:6">
      <c r="B512" s="15">
        <v>39508</v>
      </c>
      <c r="C512" s="16" t="s">
        <v>7</v>
      </c>
      <c r="D512" s="17" t="s">
        <v>13</v>
      </c>
      <c r="E512" s="17" t="s">
        <v>11</v>
      </c>
      <c r="F512" s="25">
        <v>1536</v>
      </c>
    </row>
    <row r="513" spans="2:6">
      <c r="B513" s="20">
        <v>39508</v>
      </c>
      <c r="C513" s="21" t="s">
        <v>7</v>
      </c>
      <c r="D513" s="22" t="s">
        <v>15</v>
      </c>
      <c r="E513" s="22" t="s">
        <v>14</v>
      </c>
      <c r="F513" s="23">
        <v>1296</v>
      </c>
    </row>
    <row r="514" spans="2:6">
      <c r="B514" s="15">
        <v>39508</v>
      </c>
      <c r="C514" s="16" t="s">
        <v>7</v>
      </c>
      <c r="D514" s="17" t="s">
        <v>15</v>
      </c>
      <c r="E514" s="17" t="s">
        <v>9</v>
      </c>
      <c r="F514" s="25">
        <v>2500</v>
      </c>
    </row>
    <row r="515" spans="2:6">
      <c r="B515" s="20">
        <v>39508</v>
      </c>
      <c r="C515" s="21" t="s">
        <v>7</v>
      </c>
      <c r="D515" s="22" t="s">
        <v>15</v>
      </c>
      <c r="E515" s="22" t="s">
        <v>11</v>
      </c>
      <c r="F515" s="23">
        <v>792</v>
      </c>
    </row>
    <row r="516" spans="2:6">
      <c r="B516" s="15">
        <v>39508</v>
      </c>
      <c r="C516" s="16" t="s">
        <v>12</v>
      </c>
      <c r="D516" s="17" t="s">
        <v>8</v>
      </c>
      <c r="E516" s="17" t="s">
        <v>14</v>
      </c>
      <c r="F516" s="25">
        <v>1032</v>
      </c>
    </row>
    <row r="517" spans="2:6">
      <c r="B517" s="20">
        <v>39508</v>
      </c>
      <c r="C517" s="21" t="s">
        <v>12</v>
      </c>
      <c r="D517" s="22" t="s">
        <v>8</v>
      </c>
      <c r="E517" s="22" t="s">
        <v>9</v>
      </c>
      <c r="F517" s="23">
        <v>784</v>
      </c>
    </row>
    <row r="518" spans="2:6">
      <c r="B518" s="15">
        <v>39508</v>
      </c>
      <c r="C518" s="16" t="s">
        <v>12</v>
      </c>
      <c r="D518" s="17" t="s">
        <v>8</v>
      </c>
      <c r="E518" s="17" t="s">
        <v>11</v>
      </c>
      <c r="F518" s="25">
        <v>1644</v>
      </c>
    </row>
    <row r="519" spans="2:6">
      <c r="B519" s="20">
        <v>39508</v>
      </c>
      <c r="C519" s="21" t="s">
        <v>12</v>
      </c>
      <c r="D519" s="22" t="s">
        <v>13</v>
      </c>
      <c r="E519" s="22" t="s">
        <v>14</v>
      </c>
      <c r="F519" s="23">
        <v>1090</v>
      </c>
    </row>
    <row r="520" spans="2:6">
      <c r="B520" s="15">
        <v>39508</v>
      </c>
      <c r="C520" s="16" t="s">
        <v>12</v>
      </c>
      <c r="D520" s="17" t="s">
        <v>13</v>
      </c>
      <c r="E520" s="17" t="s">
        <v>9</v>
      </c>
      <c r="F520" s="25">
        <v>1085</v>
      </c>
    </row>
    <row r="521" spans="2:6">
      <c r="B521" s="20">
        <v>39508</v>
      </c>
      <c r="C521" s="21" t="s">
        <v>12</v>
      </c>
      <c r="D521" s="22" t="s">
        <v>13</v>
      </c>
      <c r="E521" s="22" t="s">
        <v>11</v>
      </c>
      <c r="F521" s="23">
        <v>1869</v>
      </c>
    </row>
    <row r="522" spans="2:6">
      <c r="B522" s="15">
        <v>39508</v>
      </c>
      <c r="C522" s="16" t="s">
        <v>12</v>
      </c>
      <c r="D522" s="17" t="s">
        <v>15</v>
      </c>
      <c r="E522" s="17" t="s">
        <v>14</v>
      </c>
      <c r="F522" s="25">
        <v>924</v>
      </c>
    </row>
    <row r="523" spans="2:6">
      <c r="B523" s="20">
        <v>39508</v>
      </c>
      <c r="C523" s="21" t="s">
        <v>12</v>
      </c>
      <c r="D523" s="22" t="s">
        <v>15</v>
      </c>
      <c r="E523" s="22" t="s">
        <v>9</v>
      </c>
      <c r="F523" s="23">
        <v>1440</v>
      </c>
    </row>
    <row r="524" spans="2:6">
      <c r="B524" s="15">
        <v>39508</v>
      </c>
      <c r="C524" s="16" t="s">
        <v>12</v>
      </c>
      <c r="D524" s="17" t="s">
        <v>15</v>
      </c>
      <c r="E524" s="17" t="s">
        <v>11</v>
      </c>
      <c r="F524" s="25">
        <v>1650</v>
      </c>
    </row>
    <row r="525" spans="2:6">
      <c r="B525" s="20">
        <v>39508</v>
      </c>
      <c r="C525" s="21" t="s">
        <v>19</v>
      </c>
      <c r="D525" s="22" t="s">
        <v>8</v>
      </c>
      <c r="E525" s="22" t="s">
        <v>14</v>
      </c>
      <c r="F525" s="23">
        <v>1050</v>
      </c>
    </row>
    <row r="526" spans="2:6">
      <c r="B526" s="15">
        <v>39508</v>
      </c>
      <c r="C526" s="16" t="s">
        <v>19</v>
      </c>
      <c r="D526" s="17" t="s">
        <v>8</v>
      </c>
      <c r="E526" s="17" t="s">
        <v>9</v>
      </c>
      <c r="F526" s="25">
        <v>2890</v>
      </c>
    </row>
    <row r="527" spans="2:6">
      <c r="B527" s="20">
        <v>39508</v>
      </c>
      <c r="C527" s="21" t="s">
        <v>19</v>
      </c>
      <c r="D527" s="22" t="s">
        <v>8</v>
      </c>
      <c r="E527" s="22" t="s">
        <v>11</v>
      </c>
      <c r="F527" s="23">
        <v>1140</v>
      </c>
    </row>
    <row r="528" spans="2:6">
      <c r="B528" s="15">
        <v>39508</v>
      </c>
      <c r="C528" s="16" t="s">
        <v>19</v>
      </c>
      <c r="D528" s="17" t="s">
        <v>13</v>
      </c>
      <c r="E528" s="17" t="s">
        <v>14</v>
      </c>
      <c r="F528" s="25">
        <v>2064</v>
      </c>
    </row>
    <row r="529" spans="2:6">
      <c r="B529" s="20">
        <v>39508</v>
      </c>
      <c r="C529" s="21" t="s">
        <v>19</v>
      </c>
      <c r="D529" s="22" t="s">
        <v>13</v>
      </c>
      <c r="E529" s="22" t="s">
        <v>9</v>
      </c>
      <c r="F529" s="23">
        <v>1182</v>
      </c>
    </row>
    <row r="530" spans="2:6">
      <c r="B530" s="15">
        <v>39508</v>
      </c>
      <c r="C530" s="16" t="s">
        <v>19</v>
      </c>
      <c r="D530" s="17" t="s">
        <v>13</v>
      </c>
      <c r="E530" s="17" t="s">
        <v>11</v>
      </c>
      <c r="F530" s="25">
        <v>812</v>
      </c>
    </row>
    <row r="531" spans="2:6">
      <c r="B531" s="20">
        <v>39508</v>
      </c>
      <c r="C531" s="21" t="s">
        <v>19</v>
      </c>
      <c r="D531" s="22" t="s">
        <v>15</v>
      </c>
      <c r="E531" s="22" t="s">
        <v>14</v>
      </c>
      <c r="F531" s="23">
        <v>1035</v>
      </c>
    </row>
    <row r="532" spans="2:6">
      <c r="B532" s="15">
        <v>39508</v>
      </c>
      <c r="C532" s="16" t="s">
        <v>19</v>
      </c>
      <c r="D532" s="17" t="s">
        <v>15</v>
      </c>
      <c r="E532" s="17" t="s">
        <v>9</v>
      </c>
      <c r="F532" s="25">
        <v>1757</v>
      </c>
    </row>
    <row r="533" spans="2:6">
      <c r="B533" s="20">
        <v>39508</v>
      </c>
      <c r="C533" s="21" t="s">
        <v>19</v>
      </c>
      <c r="D533" s="22" t="s">
        <v>15</v>
      </c>
      <c r="E533" s="22" t="s">
        <v>11</v>
      </c>
      <c r="F533" s="23">
        <v>1089</v>
      </c>
    </row>
    <row r="534" spans="2:6">
      <c r="B534" s="15">
        <v>39508</v>
      </c>
      <c r="C534" s="16" t="s">
        <v>21</v>
      </c>
      <c r="D534" s="17" t="s">
        <v>8</v>
      </c>
      <c r="E534" s="17" t="s">
        <v>14</v>
      </c>
      <c r="F534" s="25">
        <v>1062</v>
      </c>
    </row>
    <row r="535" spans="2:6">
      <c r="B535" s="20">
        <v>39508</v>
      </c>
      <c r="C535" s="21" t="s">
        <v>21</v>
      </c>
      <c r="D535" s="22" t="s">
        <v>8</v>
      </c>
      <c r="E535" s="22" t="s">
        <v>9</v>
      </c>
      <c r="F535" s="23">
        <v>1540</v>
      </c>
    </row>
    <row r="536" spans="2:6">
      <c r="B536" s="15">
        <v>39508</v>
      </c>
      <c r="C536" s="16" t="s">
        <v>21</v>
      </c>
      <c r="D536" s="17" t="s">
        <v>8</v>
      </c>
      <c r="E536" s="17" t="s">
        <v>11</v>
      </c>
      <c r="F536" s="25">
        <v>1704</v>
      </c>
    </row>
    <row r="537" spans="2:6">
      <c r="B537" s="20">
        <v>39508</v>
      </c>
      <c r="C537" s="21" t="s">
        <v>21</v>
      </c>
      <c r="D537" s="22" t="s">
        <v>13</v>
      </c>
      <c r="E537" s="22" t="s">
        <v>14</v>
      </c>
      <c r="F537" s="23">
        <v>1904</v>
      </c>
    </row>
    <row r="538" spans="2:6">
      <c r="B538" s="15">
        <v>39508</v>
      </c>
      <c r="C538" s="16" t="s">
        <v>21</v>
      </c>
      <c r="D538" s="17" t="s">
        <v>13</v>
      </c>
      <c r="E538" s="17" t="s">
        <v>9</v>
      </c>
      <c r="F538" s="25">
        <v>2093</v>
      </c>
    </row>
    <row r="539" spans="2:6">
      <c r="B539" s="20">
        <v>39508</v>
      </c>
      <c r="C539" s="21" t="s">
        <v>21</v>
      </c>
      <c r="D539" s="22" t="s">
        <v>13</v>
      </c>
      <c r="E539" s="22" t="s">
        <v>11</v>
      </c>
      <c r="F539" s="23">
        <v>1908</v>
      </c>
    </row>
    <row r="540" spans="2:6">
      <c r="B540" s="15">
        <v>39508</v>
      </c>
      <c r="C540" s="16" t="s">
        <v>21</v>
      </c>
      <c r="D540" s="17" t="s">
        <v>15</v>
      </c>
      <c r="E540" s="17" t="s">
        <v>14</v>
      </c>
      <c r="F540" s="25">
        <v>1098</v>
      </c>
    </row>
    <row r="541" spans="2:6">
      <c r="B541" s="20">
        <v>39508</v>
      </c>
      <c r="C541" s="21" t="s">
        <v>21</v>
      </c>
      <c r="D541" s="22" t="s">
        <v>15</v>
      </c>
      <c r="E541" s="22" t="s">
        <v>9</v>
      </c>
      <c r="F541" s="23">
        <v>896</v>
      </c>
    </row>
    <row r="542" spans="2:6">
      <c r="B542" s="15">
        <v>39508</v>
      </c>
      <c r="C542" s="16" t="s">
        <v>21</v>
      </c>
      <c r="D542" s="17" t="s">
        <v>15</v>
      </c>
      <c r="E542" s="17" t="s">
        <v>11</v>
      </c>
      <c r="F542" s="25">
        <v>1120</v>
      </c>
    </row>
    <row r="543" spans="2:6">
      <c r="B543" s="20">
        <v>39539</v>
      </c>
      <c r="C543" s="21" t="s">
        <v>7</v>
      </c>
      <c r="D543" s="22" t="s">
        <v>8</v>
      </c>
      <c r="E543" s="22" t="s">
        <v>14</v>
      </c>
      <c r="F543" s="23">
        <v>1155</v>
      </c>
    </row>
    <row r="544" spans="2:6">
      <c r="B544" s="15">
        <v>39539</v>
      </c>
      <c r="C544" s="16" t="s">
        <v>7</v>
      </c>
      <c r="D544" s="17" t="s">
        <v>8</v>
      </c>
      <c r="E544" s="17" t="s">
        <v>9</v>
      </c>
      <c r="F544" s="25">
        <v>1250</v>
      </c>
    </row>
    <row r="545" spans="2:6">
      <c r="B545" s="20">
        <v>39539</v>
      </c>
      <c r="C545" s="21" t="s">
        <v>7</v>
      </c>
      <c r="D545" s="22" t="s">
        <v>8</v>
      </c>
      <c r="E545" s="22" t="s">
        <v>11</v>
      </c>
      <c r="F545" s="23">
        <v>2331</v>
      </c>
    </row>
    <row r="546" spans="2:6">
      <c r="B546" s="15">
        <v>39539</v>
      </c>
      <c r="C546" s="16" t="s">
        <v>7</v>
      </c>
      <c r="D546" s="17" t="s">
        <v>13</v>
      </c>
      <c r="E546" s="17" t="s">
        <v>14</v>
      </c>
      <c r="F546" s="25">
        <v>2385</v>
      </c>
    </row>
    <row r="547" spans="2:6">
      <c r="B547" s="20">
        <v>39539</v>
      </c>
      <c r="C547" s="21" t="s">
        <v>7</v>
      </c>
      <c r="D547" s="22" t="s">
        <v>13</v>
      </c>
      <c r="E547" s="22" t="s">
        <v>9</v>
      </c>
      <c r="F547" s="23">
        <v>2280</v>
      </c>
    </row>
    <row r="548" spans="2:6">
      <c r="B548" s="15">
        <v>39539</v>
      </c>
      <c r="C548" s="16" t="s">
        <v>7</v>
      </c>
      <c r="D548" s="17" t="s">
        <v>13</v>
      </c>
      <c r="E548" s="17" t="s">
        <v>11</v>
      </c>
      <c r="F548" s="25">
        <v>714</v>
      </c>
    </row>
    <row r="549" spans="2:6">
      <c r="B549" s="20">
        <v>39539</v>
      </c>
      <c r="C549" s="21" t="s">
        <v>7</v>
      </c>
      <c r="D549" s="22" t="s">
        <v>15</v>
      </c>
      <c r="E549" s="22" t="s">
        <v>14</v>
      </c>
      <c r="F549" s="23">
        <v>1712</v>
      </c>
    </row>
    <row r="550" spans="2:6">
      <c r="B550" s="15">
        <v>39539</v>
      </c>
      <c r="C550" s="16" t="s">
        <v>7</v>
      </c>
      <c r="D550" s="17" t="s">
        <v>15</v>
      </c>
      <c r="E550" s="17" t="s">
        <v>9</v>
      </c>
      <c r="F550" s="25">
        <v>735</v>
      </c>
    </row>
    <row r="551" spans="2:6">
      <c r="B551" s="20">
        <v>39539</v>
      </c>
      <c r="C551" s="21" t="s">
        <v>7</v>
      </c>
      <c r="D551" s="22" t="s">
        <v>15</v>
      </c>
      <c r="E551" s="22" t="s">
        <v>11</v>
      </c>
      <c r="F551" s="23">
        <v>2160</v>
      </c>
    </row>
    <row r="552" spans="2:6">
      <c r="B552" s="15">
        <v>39539</v>
      </c>
      <c r="C552" s="16" t="s">
        <v>12</v>
      </c>
      <c r="D552" s="17" t="s">
        <v>8</v>
      </c>
      <c r="E552" s="17" t="s">
        <v>14</v>
      </c>
      <c r="F552" s="25">
        <v>1104</v>
      </c>
    </row>
    <row r="553" spans="2:6">
      <c r="B553" s="20">
        <v>39539</v>
      </c>
      <c r="C553" s="21" t="s">
        <v>12</v>
      </c>
      <c r="D553" s="22" t="s">
        <v>8</v>
      </c>
      <c r="E553" s="22" t="s">
        <v>9</v>
      </c>
      <c r="F553" s="23">
        <v>1446</v>
      </c>
    </row>
    <row r="554" spans="2:6">
      <c r="B554" s="15">
        <v>39539</v>
      </c>
      <c r="C554" s="16" t="s">
        <v>12</v>
      </c>
      <c r="D554" s="17" t="s">
        <v>8</v>
      </c>
      <c r="E554" s="17" t="s">
        <v>11</v>
      </c>
      <c r="F554" s="25">
        <v>1488</v>
      </c>
    </row>
    <row r="555" spans="2:6">
      <c r="B555" s="20">
        <v>39539</v>
      </c>
      <c r="C555" s="21" t="s">
        <v>12</v>
      </c>
      <c r="D555" s="22" t="s">
        <v>13</v>
      </c>
      <c r="E555" s="22" t="s">
        <v>14</v>
      </c>
      <c r="F555" s="23">
        <v>1141</v>
      </c>
    </row>
    <row r="556" spans="2:6">
      <c r="B556" s="15">
        <v>39539</v>
      </c>
      <c r="C556" s="16" t="s">
        <v>12</v>
      </c>
      <c r="D556" s="17" t="s">
        <v>13</v>
      </c>
      <c r="E556" s="17" t="s">
        <v>9</v>
      </c>
      <c r="F556" s="25">
        <v>2200</v>
      </c>
    </row>
    <row r="557" spans="2:6">
      <c r="B557" s="20">
        <v>39539</v>
      </c>
      <c r="C557" s="21" t="s">
        <v>12</v>
      </c>
      <c r="D557" s="22" t="s">
        <v>13</v>
      </c>
      <c r="E557" s="22" t="s">
        <v>11</v>
      </c>
      <c r="F557" s="23">
        <v>1617</v>
      </c>
    </row>
    <row r="558" spans="2:6">
      <c r="B558" s="15">
        <v>39539</v>
      </c>
      <c r="C558" s="16" t="s">
        <v>12</v>
      </c>
      <c r="D558" s="17" t="s">
        <v>15</v>
      </c>
      <c r="E558" s="17" t="s">
        <v>14</v>
      </c>
      <c r="F558" s="25">
        <v>2740</v>
      </c>
    </row>
    <row r="559" spans="2:6">
      <c r="B559" s="20">
        <v>39539</v>
      </c>
      <c r="C559" s="21" t="s">
        <v>12</v>
      </c>
      <c r="D559" s="22" t="s">
        <v>15</v>
      </c>
      <c r="E559" s="22" t="s">
        <v>9</v>
      </c>
      <c r="F559" s="23">
        <v>1456</v>
      </c>
    </row>
    <row r="560" spans="2:6">
      <c r="B560" s="15">
        <v>39539</v>
      </c>
      <c r="C560" s="16" t="s">
        <v>12</v>
      </c>
      <c r="D560" s="17" t="s">
        <v>15</v>
      </c>
      <c r="E560" s="17" t="s">
        <v>11</v>
      </c>
      <c r="F560" s="25">
        <v>1506</v>
      </c>
    </row>
    <row r="561" spans="2:6">
      <c r="B561" s="20">
        <v>39539</v>
      </c>
      <c r="C561" s="21" t="s">
        <v>19</v>
      </c>
      <c r="D561" s="22" t="s">
        <v>8</v>
      </c>
      <c r="E561" s="22" t="s">
        <v>14</v>
      </c>
      <c r="F561" s="23">
        <v>1113</v>
      </c>
    </row>
    <row r="562" spans="2:6">
      <c r="B562" s="15">
        <v>39539</v>
      </c>
      <c r="C562" s="16" t="s">
        <v>19</v>
      </c>
      <c r="D562" s="17" t="s">
        <v>8</v>
      </c>
      <c r="E562" s="17" t="s">
        <v>9</v>
      </c>
      <c r="F562" s="25">
        <v>1248</v>
      </c>
    </row>
    <row r="563" spans="2:6">
      <c r="B563" s="20">
        <v>39539</v>
      </c>
      <c r="C563" s="21" t="s">
        <v>19</v>
      </c>
      <c r="D563" s="22" t="s">
        <v>8</v>
      </c>
      <c r="E563" s="22" t="s">
        <v>11</v>
      </c>
      <c r="F563" s="23">
        <v>2240</v>
      </c>
    </row>
    <row r="564" spans="2:6">
      <c r="B564" s="15">
        <v>39539</v>
      </c>
      <c r="C564" s="16" t="s">
        <v>19</v>
      </c>
      <c r="D564" s="17" t="s">
        <v>13</v>
      </c>
      <c r="E564" s="17" t="s">
        <v>14</v>
      </c>
      <c r="F564" s="25">
        <v>1176</v>
      </c>
    </row>
    <row r="565" spans="2:6">
      <c r="B565" s="20">
        <v>39539</v>
      </c>
      <c r="C565" s="21" t="s">
        <v>19</v>
      </c>
      <c r="D565" s="22" t="s">
        <v>13</v>
      </c>
      <c r="E565" s="22" t="s">
        <v>9</v>
      </c>
      <c r="F565" s="23">
        <v>1638</v>
      </c>
    </row>
    <row r="566" spans="2:6">
      <c r="B566" s="15">
        <v>39539</v>
      </c>
      <c r="C566" s="16" t="s">
        <v>19</v>
      </c>
      <c r="D566" s="17" t="s">
        <v>13</v>
      </c>
      <c r="E566" s="17" t="s">
        <v>11</v>
      </c>
      <c r="F566" s="25">
        <v>2176</v>
      </c>
    </row>
    <row r="567" spans="2:6">
      <c r="B567" s="20">
        <v>39539</v>
      </c>
      <c r="C567" s="21" t="s">
        <v>19</v>
      </c>
      <c r="D567" s="22" t="s">
        <v>15</v>
      </c>
      <c r="E567" s="22" t="s">
        <v>14</v>
      </c>
      <c r="F567" s="23">
        <v>2000</v>
      </c>
    </row>
    <row r="568" spans="2:6">
      <c r="B568" s="15">
        <v>39539</v>
      </c>
      <c r="C568" s="16" t="s">
        <v>19</v>
      </c>
      <c r="D568" s="17" t="s">
        <v>15</v>
      </c>
      <c r="E568" s="17" t="s">
        <v>9</v>
      </c>
      <c r="F568" s="25">
        <v>1800</v>
      </c>
    </row>
    <row r="569" spans="2:6">
      <c r="B569" s="20">
        <v>39539</v>
      </c>
      <c r="C569" s="21" t="s">
        <v>19</v>
      </c>
      <c r="D569" s="22" t="s">
        <v>15</v>
      </c>
      <c r="E569" s="22" t="s">
        <v>11</v>
      </c>
      <c r="F569" s="23">
        <v>2248</v>
      </c>
    </row>
    <row r="570" spans="2:6">
      <c r="B570" s="15">
        <v>39539</v>
      </c>
      <c r="C570" s="16" t="s">
        <v>21</v>
      </c>
      <c r="D570" s="17" t="s">
        <v>8</v>
      </c>
      <c r="E570" s="17" t="s">
        <v>14</v>
      </c>
      <c r="F570" s="25">
        <v>1482</v>
      </c>
    </row>
    <row r="571" spans="2:6">
      <c r="B571" s="20">
        <v>39539</v>
      </c>
      <c r="C571" s="21" t="s">
        <v>21</v>
      </c>
      <c r="D571" s="22" t="s">
        <v>8</v>
      </c>
      <c r="E571" s="22" t="s">
        <v>9</v>
      </c>
      <c r="F571" s="23">
        <v>2214</v>
      </c>
    </row>
    <row r="572" spans="2:6">
      <c r="B572" s="15">
        <v>39539</v>
      </c>
      <c r="C572" s="16" t="s">
        <v>21</v>
      </c>
      <c r="D572" s="17" t="s">
        <v>8</v>
      </c>
      <c r="E572" s="17" t="s">
        <v>11</v>
      </c>
      <c r="F572" s="25">
        <v>856</v>
      </c>
    </row>
    <row r="573" spans="2:6">
      <c r="B573" s="20">
        <v>39539</v>
      </c>
      <c r="C573" s="21" t="s">
        <v>21</v>
      </c>
      <c r="D573" s="22" t="s">
        <v>13</v>
      </c>
      <c r="E573" s="22" t="s">
        <v>14</v>
      </c>
      <c r="F573" s="23">
        <v>1488</v>
      </c>
    </row>
    <row r="574" spans="2:6">
      <c r="B574" s="15">
        <v>39539</v>
      </c>
      <c r="C574" s="16" t="s">
        <v>21</v>
      </c>
      <c r="D574" s="17" t="s">
        <v>13</v>
      </c>
      <c r="E574" s="17" t="s">
        <v>9</v>
      </c>
      <c r="F574" s="25">
        <v>1880</v>
      </c>
    </row>
    <row r="575" spans="2:6">
      <c r="B575" s="20">
        <v>39539</v>
      </c>
      <c r="C575" s="21" t="s">
        <v>21</v>
      </c>
      <c r="D575" s="22" t="s">
        <v>13</v>
      </c>
      <c r="E575" s="22" t="s">
        <v>11</v>
      </c>
      <c r="F575" s="23">
        <v>1090</v>
      </c>
    </row>
    <row r="576" spans="2:6">
      <c r="B576" s="15">
        <v>39539</v>
      </c>
      <c r="C576" s="16" t="s">
        <v>21</v>
      </c>
      <c r="D576" s="17" t="s">
        <v>15</v>
      </c>
      <c r="E576" s="17" t="s">
        <v>14</v>
      </c>
      <c r="F576" s="25">
        <v>2304</v>
      </c>
    </row>
    <row r="577" spans="2:6">
      <c r="B577" s="20">
        <v>39539</v>
      </c>
      <c r="C577" s="21" t="s">
        <v>21</v>
      </c>
      <c r="D577" s="22" t="s">
        <v>15</v>
      </c>
      <c r="E577" s="22" t="s">
        <v>9</v>
      </c>
      <c r="F577" s="23">
        <v>1270</v>
      </c>
    </row>
    <row r="578" spans="2:6">
      <c r="B578" s="15">
        <v>39539</v>
      </c>
      <c r="C578" s="16" t="s">
        <v>21</v>
      </c>
      <c r="D578" s="17" t="s">
        <v>15</v>
      </c>
      <c r="E578" s="17" t="s">
        <v>11</v>
      </c>
      <c r="F578" s="25">
        <v>1990</v>
      </c>
    </row>
    <row r="579" spans="2:6">
      <c r="B579" s="20">
        <v>39569</v>
      </c>
      <c r="C579" s="21" t="s">
        <v>7</v>
      </c>
      <c r="D579" s="22" t="s">
        <v>8</v>
      </c>
      <c r="E579" s="22" t="s">
        <v>14</v>
      </c>
      <c r="F579" s="23">
        <v>1120</v>
      </c>
    </row>
    <row r="580" spans="2:6">
      <c r="B580" s="15">
        <v>39569</v>
      </c>
      <c r="C580" s="16" t="s">
        <v>7</v>
      </c>
      <c r="D580" s="17" t="s">
        <v>8</v>
      </c>
      <c r="E580" s="17" t="s">
        <v>9</v>
      </c>
      <c r="F580" s="25">
        <v>1484</v>
      </c>
    </row>
    <row r="581" spans="2:6">
      <c r="B581" s="20">
        <v>39569</v>
      </c>
      <c r="C581" s="21" t="s">
        <v>7</v>
      </c>
      <c r="D581" s="22" t="s">
        <v>8</v>
      </c>
      <c r="E581" s="22" t="s">
        <v>11</v>
      </c>
      <c r="F581" s="23">
        <v>2205</v>
      </c>
    </row>
    <row r="582" spans="2:6">
      <c r="B582" s="15">
        <v>39569</v>
      </c>
      <c r="C582" s="16" t="s">
        <v>7</v>
      </c>
      <c r="D582" s="17" t="s">
        <v>13</v>
      </c>
      <c r="E582" s="17" t="s">
        <v>14</v>
      </c>
      <c r="F582" s="25">
        <v>1014</v>
      </c>
    </row>
    <row r="583" spans="2:6">
      <c r="B583" s="20">
        <v>39569</v>
      </c>
      <c r="C583" s="21" t="s">
        <v>7</v>
      </c>
      <c r="D583" s="22" t="s">
        <v>13</v>
      </c>
      <c r="E583" s="22" t="s">
        <v>9</v>
      </c>
      <c r="F583" s="23">
        <v>2190</v>
      </c>
    </row>
    <row r="584" spans="2:6">
      <c r="B584" s="15">
        <v>39569</v>
      </c>
      <c r="C584" s="16" t="s">
        <v>7</v>
      </c>
      <c r="D584" s="17" t="s">
        <v>13</v>
      </c>
      <c r="E584" s="17" t="s">
        <v>11</v>
      </c>
      <c r="F584" s="25">
        <v>1272</v>
      </c>
    </row>
    <row r="585" spans="2:6">
      <c r="B585" s="20">
        <v>39569</v>
      </c>
      <c r="C585" s="21" t="s">
        <v>7</v>
      </c>
      <c r="D585" s="22" t="s">
        <v>15</v>
      </c>
      <c r="E585" s="22" t="s">
        <v>14</v>
      </c>
      <c r="F585" s="23">
        <v>1530</v>
      </c>
    </row>
    <row r="586" spans="2:6">
      <c r="B586" s="15">
        <v>39569</v>
      </c>
      <c r="C586" s="16" t="s">
        <v>7</v>
      </c>
      <c r="D586" s="17" t="s">
        <v>15</v>
      </c>
      <c r="E586" s="17" t="s">
        <v>9</v>
      </c>
      <c r="F586" s="25">
        <v>750</v>
      </c>
    </row>
    <row r="587" spans="2:6">
      <c r="B587" s="20">
        <v>39569</v>
      </c>
      <c r="C587" s="21" t="s">
        <v>7</v>
      </c>
      <c r="D587" s="22" t="s">
        <v>15</v>
      </c>
      <c r="E587" s="22" t="s">
        <v>11</v>
      </c>
      <c r="F587" s="23">
        <v>1791</v>
      </c>
    </row>
    <row r="588" spans="2:6">
      <c r="B588" s="15">
        <v>39569</v>
      </c>
      <c r="C588" s="16" t="s">
        <v>12</v>
      </c>
      <c r="D588" s="17" t="s">
        <v>8</v>
      </c>
      <c r="E588" s="17" t="s">
        <v>14</v>
      </c>
      <c r="F588" s="25">
        <v>1010</v>
      </c>
    </row>
    <row r="589" spans="2:6">
      <c r="B589" s="20">
        <v>39569</v>
      </c>
      <c r="C589" s="21" t="s">
        <v>12</v>
      </c>
      <c r="D589" s="22" t="s">
        <v>8</v>
      </c>
      <c r="E589" s="22" t="s">
        <v>9</v>
      </c>
      <c r="F589" s="23">
        <v>1665</v>
      </c>
    </row>
    <row r="590" spans="2:6">
      <c r="B590" s="15">
        <v>39569</v>
      </c>
      <c r="C590" s="16" t="s">
        <v>12</v>
      </c>
      <c r="D590" s="17" t="s">
        <v>8</v>
      </c>
      <c r="E590" s="17" t="s">
        <v>11</v>
      </c>
      <c r="F590" s="25">
        <v>1603</v>
      </c>
    </row>
    <row r="591" spans="2:6">
      <c r="B591" s="20">
        <v>39569</v>
      </c>
      <c r="C591" s="21" t="s">
        <v>12</v>
      </c>
      <c r="D591" s="22" t="s">
        <v>13</v>
      </c>
      <c r="E591" s="22" t="s">
        <v>14</v>
      </c>
      <c r="F591" s="23">
        <v>749</v>
      </c>
    </row>
    <row r="592" spans="2:6">
      <c r="B592" s="15">
        <v>39569</v>
      </c>
      <c r="C592" s="16" t="s">
        <v>12</v>
      </c>
      <c r="D592" s="17" t="s">
        <v>13</v>
      </c>
      <c r="E592" s="17" t="s">
        <v>9</v>
      </c>
      <c r="F592" s="25">
        <v>1008</v>
      </c>
    </row>
    <row r="593" spans="2:6">
      <c r="B593" s="20">
        <v>39569</v>
      </c>
      <c r="C593" s="21" t="s">
        <v>12</v>
      </c>
      <c r="D593" s="22" t="s">
        <v>13</v>
      </c>
      <c r="E593" s="22" t="s">
        <v>11</v>
      </c>
      <c r="F593" s="23">
        <v>1720</v>
      </c>
    </row>
    <row r="594" spans="2:6">
      <c r="B594" s="15">
        <v>39569</v>
      </c>
      <c r="C594" s="16" t="s">
        <v>12</v>
      </c>
      <c r="D594" s="17" t="s">
        <v>15</v>
      </c>
      <c r="E594" s="17" t="s">
        <v>14</v>
      </c>
      <c r="F594" s="25">
        <v>1862</v>
      </c>
    </row>
    <row r="595" spans="2:6">
      <c r="B595" s="20">
        <v>39569</v>
      </c>
      <c r="C595" s="21" t="s">
        <v>12</v>
      </c>
      <c r="D595" s="22" t="s">
        <v>15</v>
      </c>
      <c r="E595" s="22" t="s">
        <v>9</v>
      </c>
      <c r="F595" s="23">
        <v>1638</v>
      </c>
    </row>
    <row r="596" spans="2:6">
      <c r="B596" s="15">
        <v>39569</v>
      </c>
      <c r="C596" s="16" t="s">
        <v>12</v>
      </c>
      <c r="D596" s="17" t="s">
        <v>15</v>
      </c>
      <c r="E596" s="17" t="s">
        <v>11</v>
      </c>
      <c r="F596" s="25">
        <v>1710</v>
      </c>
    </row>
    <row r="597" spans="2:6">
      <c r="B597" s="20">
        <v>39569</v>
      </c>
      <c r="C597" s="21" t="s">
        <v>19</v>
      </c>
      <c r="D597" s="22" t="s">
        <v>8</v>
      </c>
      <c r="E597" s="22" t="s">
        <v>14</v>
      </c>
      <c r="F597" s="23">
        <v>2210</v>
      </c>
    </row>
    <row r="598" spans="2:6">
      <c r="B598" s="15">
        <v>39569</v>
      </c>
      <c r="C598" s="16" t="s">
        <v>19</v>
      </c>
      <c r="D598" s="17" t="s">
        <v>8</v>
      </c>
      <c r="E598" s="17" t="s">
        <v>9</v>
      </c>
      <c r="F598" s="25">
        <v>1254</v>
      </c>
    </row>
    <row r="599" spans="2:6">
      <c r="B599" s="20">
        <v>39569</v>
      </c>
      <c r="C599" s="21" t="s">
        <v>19</v>
      </c>
      <c r="D599" s="22" t="s">
        <v>8</v>
      </c>
      <c r="E599" s="22" t="s">
        <v>11</v>
      </c>
      <c r="F599" s="23">
        <v>1220</v>
      </c>
    </row>
    <row r="600" spans="2:6">
      <c r="B600" s="15">
        <v>39569</v>
      </c>
      <c r="C600" s="16" t="s">
        <v>19</v>
      </c>
      <c r="D600" s="17" t="s">
        <v>13</v>
      </c>
      <c r="E600" s="17" t="s">
        <v>14</v>
      </c>
      <c r="F600" s="25">
        <v>2080</v>
      </c>
    </row>
    <row r="601" spans="2:6">
      <c r="B601" s="20">
        <v>39569</v>
      </c>
      <c r="C601" s="21" t="s">
        <v>19</v>
      </c>
      <c r="D601" s="22" t="s">
        <v>13</v>
      </c>
      <c r="E601" s="22" t="s">
        <v>9</v>
      </c>
      <c r="F601" s="23">
        <v>1472</v>
      </c>
    </row>
    <row r="602" spans="2:6">
      <c r="B602" s="15">
        <v>39569</v>
      </c>
      <c r="C602" s="16" t="s">
        <v>19</v>
      </c>
      <c r="D602" s="17" t="s">
        <v>13</v>
      </c>
      <c r="E602" s="17" t="s">
        <v>11</v>
      </c>
      <c r="F602" s="25">
        <v>1664</v>
      </c>
    </row>
    <row r="603" spans="2:6">
      <c r="B603" s="20">
        <v>39569</v>
      </c>
      <c r="C603" s="21" t="s">
        <v>19</v>
      </c>
      <c r="D603" s="22" t="s">
        <v>15</v>
      </c>
      <c r="E603" s="22" t="s">
        <v>14</v>
      </c>
      <c r="F603" s="23">
        <v>2331</v>
      </c>
    </row>
    <row r="604" spans="2:6">
      <c r="B604" s="15">
        <v>39569</v>
      </c>
      <c r="C604" s="16" t="s">
        <v>19</v>
      </c>
      <c r="D604" s="17" t="s">
        <v>15</v>
      </c>
      <c r="E604" s="17" t="s">
        <v>9</v>
      </c>
      <c r="F604" s="25">
        <v>1280</v>
      </c>
    </row>
    <row r="605" spans="2:6">
      <c r="B605" s="20">
        <v>39569</v>
      </c>
      <c r="C605" s="21" t="s">
        <v>19</v>
      </c>
      <c r="D605" s="22" t="s">
        <v>15</v>
      </c>
      <c r="E605" s="22" t="s">
        <v>11</v>
      </c>
      <c r="F605" s="23">
        <v>1566</v>
      </c>
    </row>
    <row r="606" spans="2:6">
      <c r="B606" s="15">
        <v>39569</v>
      </c>
      <c r="C606" s="16" t="s">
        <v>21</v>
      </c>
      <c r="D606" s="17" t="s">
        <v>8</v>
      </c>
      <c r="E606" s="17" t="s">
        <v>14</v>
      </c>
      <c r="F606" s="25">
        <v>2660</v>
      </c>
    </row>
    <row r="607" spans="2:6">
      <c r="B607" s="20">
        <v>39569</v>
      </c>
      <c r="C607" s="21" t="s">
        <v>21</v>
      </c>
      <c r="D607" s="22" t="s">
        <v>8</v>
      </c>
      <c r="E607" s="22" t="s">
        <v>9</v>
      </c>
      <c r="F607" s="23">
        <v>1880</v>
      </c>
    </row>
    <row r="608" spans="2:6">
      <c r="B608" s="15">
        <v>39569</v>
      </c>
      <c r="C608" s="16" t="s">
        <v>21</v>
      </c>
      <c r="D608" s="17" t="s">
        <v>8</v>
      </c>
      <c r="E608" s="17" t="s">
        <v>11</v>
      </c>
      <c r="F608" s="25">
        <v>2277</v>
      </c>
    </row>
    <row r="609" spans="2:6">
      <c r="B609" s="20">
        <v>39569</v>
      </c>
      <c r="C609" s="21" t="s">
        <v>21</v>
      </c>
      <c r="D609" s="22" t="s">
        <v>13</v>
      </c>
      <c r="E609" s="22" t="s">
        <v>14</v>
      </c>
      <c r="F609" s="23">
        <v>1737</v>
      </c>
    </row>
    <row r="610" spans="2:6">
      <c r="B610" s="15">
        <v>39569</v>
      </c>
      <c r="C610" s="16" t="s">
        <v>21</v>
      </c>
      <c r="D610" s="17" t="s">
        <v>13</v>
      </c>
      <c r="E610" s="17" t="s">
        <v>9</v>
      </c>
      <c r="F610" s="25">
        <v>1610</v>
      </c>
    </row>
    <row r="611" spans="2:6">
      <c r="B611" s="20">
        <v>39569</v>
      </c>
      <c r="C611" s="21" t="s">
        <v>21</v>
      </c>
      <c r="D611" s="22" t="s">
        <v>13</v>
      </c>
      <c r="E611" s="22" t="s">
        <v>11</v>
      </c>
      <c r="F611" s="23">
        <v>2196</v>
      </c>
    </row>
    <row r="612" spans="2:6">
      <c r="B612" s="15">
        <v>39569</v>
      </c>
      <c r="C612" s="16" t="s">
        <v>21</v>
      </c>
      <c r="D612" s="17" t="s">
        <v>15</v>
      </c>
      <c r="E612" s="17" t="s">
        <v>14</v>
      </c>
      <c r="F612" s="25">
        <v>903</v>
      </c>
    </row>
    <row r="613" spans="2:6">
      <c r="B613" s="20">
        <v>39569</v>
      </c>
      <c r="C613" s="21" t="s">
        <v>21</v>
      </c>
      <c r="D613" s="22" t="s">
        <v>15</v>
      </c>
      <c r="E613" s="22" t="s">
        <v>9</v>
      </c>
      <c r="F613" s="23">
        <v>1980</v>
      </c>
    </row>
    <row r="614" spans="2:6">
      <c r="B614" s="15">
        <v>39569</v>
      </c>
      <c r="C614" s="16" t="s">
        <v>21</v>
      </c>
      <c r="D614" s="17" t="s">
        <v>15</v>
      </c>
      <c r="E614" s="17" t="s">
        <v>11</v>
      </c>
      <c r="F614" s="25">
        <v>1520</v>
      </c>
    </row>
    <row r="615" spans="2:6">
      <c r="B615" s="20">
        <v>39600</v>
      </c>
      <c r="C615" s="21" t="s">
        <v>7</v>
      </c>
      <c r="D615" s="22" t="s">
        <v>8</v>
      </c>
      <c r="E615" s="22" t="s">
        <v>14</v>
      </c>
      <c r="F615" s="23">
        <v>2023</v>
      </c>
    </row>
    <row r="616" spans="2:6">
      <c r="B616" s="15">
        <v>39600</v>
      </c>
      <c r="C616" s="16" t="s">
        <v>7</v>
      </c>
      <c r="D616" s="17" t="s">
        <v>8</v>
      </c>
      <c r="E616" s="17" t="s">
        <v>9</v>
      </c>
      <c r="F616" s="25">
        <v>2270</v>
      </c>
    </row>
    <row r="617" spans="2:6">
      <c r="B617" s="20">
        <v>39600</v>
      </c>
      <c r="C617" s="21" t="s">
        <v>7</v>
      </c>
      <c r="D617" s="22" t="s">
        <v>8</v>
      </c>
      <c r="E617" s="22" t="s">
        <v>11</v>
      </c>
      <c r="F617" s="23">
        <v>1043</v>
      </c>
    </row>
    <row r="618" spans="2:6">
      <c r="B618" s="15">
        <v>39600</v>
      </c>
      <c r="C618" s="16" t="s">
        <v>7</v>
      </c>
      <c r="D618" s="17" t="s">
        <v>13</v>
      </c>
      <c r="E618" s="17" t="s">
        <v>14</v>
      </c>
      <c r="F618" s="25">
        <v>1860</v>
      </c>
    </row>
    <row r="619" spans="2:6">
      <c r="B619" s="20">
        <v>39600</v>
      </c>
      <c r="C619" s="21" t="s">
        <v>7</v>
      </c>
      <c r="D619" s="22" t="s">
        <v>13</v>
      </c>
      <c r="E619" s="22" t="s">
        <v>9</v>
      </c>
      <c r="F619" s="23">
        <v>2016</v>
      </c>
    </row>
    <row r="620" spans="2:6">
      <c r="B620" s="15">
        <v>39600</v>
      </c>
      <c r="C620" s="16" t="s">
        <v>7</v>
      </c>
      <c r="D620" s="17" t="s">
        <v>13</v>
      </c>
      <c r="E620" s="17" t="s">
        <v>11</v>
      </c>
      <c r="F620" s="25">
        <v>2900</v>
      </c>
    </row>
    <row r="621" spans="2:6">
      <c r="B621" s="20">
        <v>39600</v>
      </c>
      <c r="C621" s="21" t="s">
        <v>7</v>
      </c>
      <c r="D621" s="22" t="s">
        <v>15</v>
      </c>
      <c r="E621" s="22" t="s">
        <v>14</v>
      </c>
      <c r="F621" s="23">
        <v>2511</v>
      </c>
    </row>
    <row r="622" spans="2:6">
      <c r="B622" s="15">
        <v>39600</v>
      </c>
      <c r="C622" s="16" t="s">
        <v>7</v>
      </c>
      <c r="D622" s="17" t="s">
        <v>15</v>
      </c>
      <c r="E622" s="17" t="s">
        <v>9</v>
      </c>
      <c r="F622" s="25">
        <v>2770</v>
      </c>
    </row>
    <row r="623" spans="2:6">
      <c r="B623" s="20">
        <v>39600</v>
      </c>
      <c r="C623" s="21" t="s">
        <v>7</v>
      </c>
      <c r="D623" s="22" t="s">
        <v>15</v>
      </c>
      <c r="E623" s="22" t="s">
        <v>11</v>
      </c>
      <c r="F623" s="23">
        <v>2646</v>
      </c>
    </row>
    <row r="624" spans="2:6">
      <c r="B624" s="15">
        <v>39600</v>
      </c>
      <c r="C624" s="16" t="s">
        <v>12</v>
      </c>
      <c r="D624" s="17" t="s">
        <v>8</v>
      </c>
      <c r="E624" s="17" t="s">
        <v>14</v>
      </c>
      <c r="F624" s="25">
        <v>2376</v>
      </c>
    </row>
    <row r="625" spans="2:6">
      <c r="B625" s="20">
        <v>39600</v>
      </c>
      <c r="C625" s="21" t="s">
        <v>12</v>
      </c>
      <c r="D625" s="22" t="s">
        <v>8</v>
      </c>
      <c r="E625" s="22" t="s">
        <v>9</v>
      </c>
      <c r="F625" s="23">
        <v>696</v>
      </c>
    </row>
    <row r="626" spans="2:6">
      <c r="B626" s="15">
        <v>39600</v>
      </c>
      <c r="C626" s="16" t="s">
        <v>12</v>
      </c>
      <c r="D626" s="17" t="s">
        <v>8</v>
      </c>
      <c r="E626" s="17" t="s">
        <v>11</v>
      </c>
      <c r="F626" s="25">
        <v>1296</v>
      </c>
    </row>
    <row r="627" spans="2:6">
      <c r="B627" s="20">
        <v>39600</v>
      </c>
      <c r="C627" s="21" t="s">
        <v>12</v>
      </c>
      <c r="D627" s="22" t="s">
        <v>13</v>
      </c>
      <c r="E627" s="22" t="s">
        <v>14</v>
      </c>
      <c r="F627" s="23">
        <v>780</v>
      </c>
    </row>
    <row r="628" spans="2:6">
      <c r="B628" s="15">
        <v>39600</v>
      </c>
      <c r="C628" s="16" t="s">
        <v>12</v>
      </c>
      <c r="D628" s="17" t="s">
        <v>13</v>
      </c>
      <c r="E628" s="17" t="s">
        <v>9</v>
      </c>
      <c r="F628" s="25">
        <v>1295</v>
      </c>
    </row>
    <row r="629" spans="2:6">
      <c r="B629" s="20">
        <v>39600</v>
      </c>
      <c r="C629" s="21" t="s">
        <v>12</v>
      </c>
      <c r="D629" s="22" t="s">
        <v>13</v>
      </c>
      <c r="E629" s="22" t="s">
        <v>11</v>
      </c>
      <c r="F629" s="23">
        <v>2009</v>
      </c>
    </row>
    <row r="630" spans="2:6">
      <c r="B630" s="15">
        <v>39600</v>
      </c>
      <c r="C630" s="16" t="s">
        <v>12</v>
      </c>
      <c r="D630" s="17" t="s">
        <v>15</v>
      </c>
      <c r="E630" s="17" t="s">
        <v>14</v>
      </c>
      <c r="F630" s="25">
        <v>1850</v>
      </c>
    </row>
    <row r="631" spans="2:6">
      <c r="B631" s="20">
        <v>39600</v>
      </c>
      <c r="C631" s="21" t="s">
        <v>12</v>
      </c>
      <c r="D631" s="22" t="s">
        <v>15</v>
      </c>
      <c r="E631" s="22" t="s">
        <v>9</v>
      </c>
      <c r="F631" s="23">
        <v>1659</v>
      </c>
    </row>
    <row r="632" spans="2:6">
      <c r="B632" s="15">
        <v>39600</v>
      </c>
      <c r="C632" s="16" t="s">
        <v>12</v>
      </c>
      <c r="D632" s="17" t="s">
        <v>15</v>
      </c>
      <c r="E632" s="17" t="s">
        <v>11</v>
      </c>
      <c r="F632" s="25">
        <v>1750</v>
      </c>
    </row>
    <row r="633" spans="2:6">
      <c r="B633" s="20">
        <v>39600</v>
      </c>
      <c r="C633" s="21" t="s">
        <v>19</v>
      </c>
      <c r="D633" s="22" t="s">
        <v>8</v>
      </c>
      <c r="E633" s="22" t="s">
        <v>14</v>
      </c>
      <c r="F633" s="23">
        <v>1998</v>
      </c>
    </row>
    <row r="634" spans="2:6">
      <c r="B634" s="15">
        <v>39600</v>
      </c>
      <c r="C634" s="16" t="s">
        <v>19</v>
      </c>
      <c r="D634" s="17" t="s">
        <v>8</v>
      </c>
      <c r="E634" s="17" t="s">
        <v>9</v>
      </c>
      <c r="F634" s="25">
        <v>1860</v>
      </c>
    </row>
    <row r="635" spans="2:6">
      <c r="B635" s="20">
        <v>39600</v>
      </c>
      <c r="C635" s="21" t="s">
        <v>19</v>
      </c>
      <c r="D635" s="22" t="s">
        <v>8</v>
      </c>
      <c r="E635" s="22" t="s">
        <v>11</v>
      </c>
      <c r="F635" s="23">
        <v>672</v>
      </c>
    </row>
    <row r="636" spans="2:6">
      <c r="B636" s="15">
        <v>39600</v>
      </c>
      <c r="C636" s="16" t="s">
        <v>19</v>
      </c>
      <c r="D636" s="17" t="s">
        <v>13</v>
      </c>
      <c r="E636" s="17" t="s">
        <v>14</v>
      </c>
      <c r="F636" s="25">
        <v>1870</v>
      </c>
    </row>
    <row r="637" spans="2:6">
      <c r="B637" s="20">
        <v>39600</v>
      </c>
      <c r="C637" s="21" t="s">
        <v>19</v>
      </c>
      <c r="D637" s="22" t="s">
        <v>13</v>
      </c>
      <c r="E637" s="22" t="s">
        <v>9</v>
      </c>
      <c r="F637" s="23">
        <v>978</v>
      </c>
    </row>
    <row r="638" spans="2:6">
      <c r="B638" s="15">
        <v>39600</v>
      </c>
      <c r="C638" s="16" t="s">
        <v>19</v>
      </c>
      <c r="D638" s="17" t="s">
        <v>13</v>
      </c>
      <c r="E638" s="17" t="s">
        <v>11</v>
      </c>
      <c r="F638" s="25">
        <v>1944</v>
      </c>
    </row>
    <row r="639" spans="2:6">
      <c r="B639" s="20">
        <v>39600</v>
      </c>
      <c r="C639" s="21" t="s">
        <v>19</v>
      </c>
      <c r="D639" s="22" t="s">
        <v>15</v>
      </c>
      <c r="E639" s="22" t="s">
        <v>14</v>
      </c>
      <c r="F639" s="23">
        <v>1182</v>
      </c>
    </row>
    <row r="640" spans="2:6">
      <c r="B640" s="15">
        <v>39600</v>
      </c>
      <c r="C640" s="16" t="s">
        <v>19</v>
      </c>
      <c r="D640" s="17" t="s">
        <v>15</v>
      </c>
      <c r="E640" s="17" t="s">
        <v>9</v>
      </c>
      <c r="F640" s="25">
        <v>2860</v>
      </c>
    </row>
    <row r="641" spans="2:6">
      <c r="B641" s="20">
        <v>39600</v>
      </c>
      <c r="C641" s="21" t="s">
        <v>19</v>
      </c>
      <c r="D641" s="22" t="s">
        <v>15</v>
      </c>
      <c r="E641" s="22" t="s">
        <v>11</v>
      </c>
      <c r="F641" s="23">
        <v>1368</v>
      </c>
    </row>
    <row r="642" spans="2:6">
      <c r="B642" s="15">
        <v>39600</v>
      </c>
      <c r="C642" s="16" t="s">
        <v>21</v>
      </c>
      <c r="D642" s="17" t="s">
        <v>8</v>
      </c>
      <c r="E642" s="17" t="s">
        <v>14</v>
      </c>
      <c r="F642" s="25">
        <v>1218</v>
      </c>
    </row>
    <row r="643" spans="2:6">
      <c r="B643" s="20">
        <v>39600</v>
      </c>
      <c r="C643" s="21" t="s">
        <v>21</v>
      </c>
      <c r="D643" s="22" t="s">
        <v>8</v>
      </c>
      <c r="E643" s="22" t="s">
        <v>9</v>
      </c>
      <c r="F643" s="23">
        <v>2460</v>
      </c>
    </row>
    <row r="644" spans="2:6">
      <c r="B644" s="15">
        <v>39600</v>
      </c>
      <c r="C644" s="16" t="s">
        <v>21</v>
      </c>
      <c r="D644" s="17" t="s">
        <v>8</v>
      </c>
      <c r="E644" s="17" t="s">
        <v>11</v>
      </c>
      <c r="F644" s="25">
        <v>2610</v>
      </c>
    </row>
    <row r="645" spans="2:6">
      <c r="B645" s="20">
        <v>39600</v>
      </c>
      <c r="C645" s="21" t="s">
        <v>21</v>
      </c>
      <c r="D645" s="22" t="s">
        <v>13</v>
      </c>
      <c r="E645" s="22" t="s">
        <v>14</v>
      </c>
      <c r="F645" s="23">
        <v>1863</v>
      </c>
    </row>
    <row r="646" spans="2:6">
      <c r="B646" s="15">
        <v>39600</v>
      </c>
      <c r="C646" s="16" t="s">
        <v>21</v>
      </c>
      <c r="D646" s="17" t="s">
        <v>13</v>
      </c>
      <c r="E646" s="17" t="s">
        <v>9</v>
      </c>
      <c r="F646" s="25">
        <v>1610</v>
      </c>
    </row>
    <row r="647" spans="2:6">
      <c r="B647" s="20">
        <v>39600</v>
      </c>
      <c r="C647" s="21" t="s">
        <v>21</v>
      </c>
      <c r="D647" s="22" t="s">
        <v>13</v>
      </c>
      <c r="E647" s="22" t="s">
        <v>11</v>
      </c>
      <c r="F647" s="23">
        <v>612</v>
      </c>
    </row>
    <row r="648" spans="2:6">
      <c r="B648" s="15">
        <v>39600</v>
      </c>
      <c r="C648" s="16" t="s">
        <v>21</v>
      </c>
      <c r="D648" s="17" t="s">
        <v>15</v>
      </c>
      <c r="E648" s="17" t="s">
        <v>14</v>
      </c>
      <c r="F648" s="25">
        <v>1610</v>
      </c>
    </row>
    <row r="649" spans="2:6">
      <c r="B649" s="20">
        <v>39600</v>
      </c>
      <c r="C649" s="21" t="s">
        <v>21</v>
      </c>
      <c r="D649" s="22" t="s">
        <v>15</v>
      </c>
      <c r="E649" s="22" t="s">
        <v>9</v>
      </c>
      <c r="F649" s="23">
        <v>1552</v>
      </c>
    </row>
    <row r="650" spans="2:6">
      <c r="B650" s="15">
        <v>39600</v>
      </c>
      <c r="C650" s="16" t="s">
        <v>21</v>
      </c>
      <c r="D650" s="17" t="s">
        <v>15</v>
      </c>
      <c r="E650" s="17" t="s">
        <v>11</v>
      </c>
      <c r="F650" s="25">
        <v>1010</v>
      </c>
    </row>
    <row r="651" spans="2:6">
      <c r="B651" s="20">
        <v>39630</v>
      </c>
      <c r="C651" s="21" t="s">
        <v>7</v>
      </c>
      <c r="D651" s="22" t="s">
        <v>8</v>
      </c>
      <c r="E651" s="22" t="s">
        <v>14</v>
      </c>
      <c r="F651" s="23">
        <v>1434</v>
      </c>
    </row>
    <row r="652" spans="2:6">
      <c r="B652" s="15">
        <v>39630</v>
      </c>
      <c r="C652" s="16" t="s">
        <v>7</v>
      </c>
      <c r="D652" s="17" t="s">
        <v>8</v>
      </c>
      <c r="E652" s="17" t="s">
        <v>9</v>
      </c>
      <c r="F652" s="25">
        <v>1908</v>
      </c>
    </row>
    <row r="653" spans="2:6">
      <c r="B653" s="20">
        <v>39630</v>
      </c>
      <c r="C653" s="21" t="s">
        <v>7</v>
      </c>
      <c r="D653" s="22" t="s">
        <v>8</v>
      </c>
      <c r="E653" s="22" t="s">
        <v>11</v>
      </c>
      <c r="F653" s="23">
        <v>735</v>
      </c>
    </row>
    <row r="654" spans="2:6">
      <c r="B654" s="15">
        <v>39630</v>
      </c>
      <c r="C654" s="16" t="s">
        <v>7</v>
      </c>
      <c r="D654" s="17" t="s">
        <v>13</v>
      </c>
      <c r="E654" s="17" t="s">
        <v>14</v>
      </c>
      <c r="F654" s="25">
        <v>1629</v>
      </c>
    </row>
    <row r="655" spans="2:6">
      <c r="B655" s="20">
        <v>39630</v>
      </c>
      <c r="C655" s="21" t="s">
        <v>7</v>
      </c>
      <c r="D655" s="22" t="s">
        <v>13</v>
      </c>
      <c r="E655" s="22" t="s">
        <v>9</v>
      </c>
      <c r="F655" s="23">
        <v>1287</v>
      </c>
    </row>
    <row r="656" spans="2:6">
      <c r="B656" s="15">
        <v>39630</v>
      </c>
      <c r="C656" s="16" t="s">
        <v>7</v>
      </c>
      <c r="D656" s="17" t="s">
        <v>13</v>
      </c>
      <c r="E656" s="17" t="s">
        <v>11</v>
      </c>
      <c r="F656" s="25">
        <v>936</v>
      </c>
    </row>
    <row r="657" spans="2:6">
      <c r="B657" s="20">
        <v>39630</v>
      </c>
      <c r="C657" s="21" t="s">
        <v>7</v>
      </c>
      <c r="D657" s="22" t="s">
        <v>15</v>
      </c>
      <c r="E657" s="22" t="s">
        <v>14</v>
      </c>
      <c r="F657" s="23">
        <v>2106</v>
      </c>
    </row>
    <row r="658" spans="2:6">
      <c r="B658" s="15">
        <v>39630</v>
      </c>
      <c r="C658" s="16" t="s">
        <v>7</v>
      </c>
      <c r="D658" s="17" t="s">
        <v>15</v>
      </c>
      <c r="E658" s="17" t="s">
        <v>9</v>
      </c>
      <c r="F658" s="25">
        <v>2040</v>
      </c>
    </row>
    <row r="659" spans="2:6">
      <c r="B659" s="20">
        <v>39630</v>
      </c>
      <c r="C659" s="21" t="s">
        <v>7</v>
      </c>
      <c r="D659" s="22" t="s">
        <v>15</v>
      </c>
      <c r="E659" s="22" t="s">
        <v>11</v>
      </c>
      <c r="F659" s="23">
        <v>1578</v>
      </c>
    </row>
    <row r="660" spans="2:6">
      <c r="B660" s="15">
        <v>39630</v>
      </c>
      <c r="C660" s="16" t="s">
        <v>12</v>
      </c>
      <c r="D660" s="17" t="s">
        <v>8</v>
      </c>
      <c r="E660" s="17" t="s">
        <v>14</v>
      </c>
      <c r="F660" s="25">
        <v>1449</v>
      </c>
    </row>
    <row r="661" spans="2:6">
      <c r="B661" s="20">
        <v>39630</v>
      </c>
      <c r="C661" s="21" t="s">
        <v>12</v>
      </c>
      <c r="D661" s="22" t="s">
        <v>8</v>
      </c>
      <c r="E661" s="22" t="s">
        <v>9</v>
      </c>
      <c r="F661" s="23">
        <v>1170</v>
      </c>
    </row>
    <row r="662" spans="2:6">
      <c r="B662" s="15">
        <v>39630</v>
      </c>
      <c r="C662" s="16" t="s">
        <v>12</v>
      </c>
      <c r="D662" s="17" t="s">
        <v>8</v>
      </c>
      <c r="E662" s="17" t="s">
        <v>11</v>
      </c>
      <c r="F662" s="25">
        <v>1040</v>
      </c>
    </row>
    <row r="663" spans="2:6">
      <c r="B663" s="20">
        <v>39630</v>
      </c>
      <c r="C663" s="21" t="s">
        <v>12</v>
      </c>
      <c r="D663" s="22" t="s">
        <v>13</v>
      </c>
      <c r="E663" s="22" t="s">
        <v>14</v>
      </c>
      <c r="F663" s="23">
        <v>1736</v>
      </c>
    </row>
    <row r="664" spans="2:6">
      <c r="B664" s="15">
        <v>39630</v>
      </c>
      <c r="C664" s="16" t="s">
        <v>12</v>
      </c>
      <c r="D664" s="17" t="s">
        <v>13</v>
      </c>
      <c r="E664" s="17" t="s">
        <v>9</v>
      </c>
      <c r="F664" s="25">
        <v>2100</v>
      </c>
    </row>
    <row r="665" spans="2:6">
      <c r="B665" s="20">
        <v>39630</v>
      </c>
      <c r="C665" s="21" t="s">
        <v>12</v>
      </c>
      <c r="D665" s="22" t="s">
        <v>13</v>
      </c>
      <c r="E665" s="22" t="s">
        <v>11</v>
      </c>
      <c r="F665" s="23">
        <v>2660</v>
      </c>
    </row>
    <row r="666" spans="2:6">
      <c r="B666" s="15">
        <v>39630</v>
      </c>
      <c r="C666" s="16" t="s">
        <v>12</v>
      </c>
      <c r="D666" s="17" t="s">
        <v>15</v>
      </c>
      <c r="E666" s="17" t="s">
        <v>14</v>
      </c>
      <c r="F666" s="25">
        <v>1104</v>
      </c>
    </row>
    <row r="667" spans="2:6">
      <c r="B667" s="20">
        <v>39630</v>
      </c>
      <c r="C667" s="21" t="s">
        <v>12</v>
      </c>
      <c r="D667" s="22" t="s">
        <v>15</v>
      </c>
      <c r="E667" s="22" t="s">
        <v>9</v>
      </c>
      <c r="F667" s="23">
        <v>2358</v>
      </c>
    </row>
    <row r="668" spans="2:6">
      <c r="B668" s="15">
        <v>39630</v>
      </c>
      <c r="C668" s="16" t="s">
        <v>12</v>
      </c>
      <c r="D668" s="17" t="s">
        <v>15</v>
      </c>
      <c r="E668" s="17" t="s">
        <v>11</v>
      </c>
      <c r="F668" s="25">
        <v>852</v>
      </c>
    </row>
    <row r="669" spans="2:6">
      <c r="B669" s="20">
        <v>39630</v>
      </c>
      <c r="C669" s="21" t="s">
        <v>19</v>
      </c>
      <c r="D669" s="22" t="s">
        <v>8</v>
      </c>
      <c r="E669" s="22" t="s">
        <v>14</v>
      </c>
      <c r="F669" s="23">
        <v>1233</v>
      </c>
    </row>
    <row r="670" spans="2:6">
      <c r="B670" s="15">
        <v>39630</v>
      </c>
      <c r="C670" s="16" t="s">
        <v>19</v>
      </c>
      <c r="D670" s="17" t="s">
        <v>8</v>
      </c>
      <c r="E670" s="17" t="s">
        <v>9</v>
      </c>
      <c r="F670" s="25">
        <v>917</v>
      </c>
    </row>
    <row r="671" spans="2:6">
      <c r="B671" s="20">
        <v>39630</v>
      </c>
      <c r="C671" s="21" t="s">
        <v>19</v>
      </c>
      <c r="D671" s="22" t="s">
        <v>8</v>
      </c>
      <c r="E671" s="22" t="s">
        <v>11</v>
      </c>
      <c r="F671" s="23">
        <v>1176</v>
      </c>
    </row>
    <row r="672" spans="2:6">
      <c r="B672" s="15">
        <v>39630</v>
      </c>
      <c r="C672" s="16" t="s">
        <v>19</v>
      </c>
      <c r="D672" s="17" t="s">
        <v>13</v>
      </c>
      <c r="E672" s="17" t="s">
        <v>14</v>
      </c>
      <c r="F672" s="25">
        <v>864</v>
      </c>
    </row>
    <row r="673" spans="2:6">
      <c r="B673" s="20">
        <v>39630</v>
      </c>
      <c r="C673" s="21" t="s">
        <v>19</v>
      </c>
      <c r="D673" s="22" t="s">
        <v>13</v>
      </c>
      <c r="E673" s="22" t="s">
        <v>9</v>
      </c>
      <c r="F673" s="23">
        <v>1232</v>
      </c>
    </row>
    <row r="674" spans="2:6">
      <c r="B674" s="15">
        <v>39630</v>
      </c>
      <c r="C674" s="16" t="s">
        <v>19</v>
      </c>
      <c r="D674" s="17" t="s">
        <v>13</v>
      </c>
      <c r="E674" s="17" t="s">
        <v>11</v>
      </c>
      <c r="F674" s="25">
        <v>1917</v>
      </c>
    </row>
    <row r="675" spans="2:6">
      <c r="B675" s="20">
        <v>39630</v>
      </c>
      <c r="C675" s="21" t="s">
        <v>19</v>
      </c>
      <c r="D675" s="22" t="s">
        <v>15</v>
      </c>
      <c r="E675" s="22" t="s">
        <v>14</v>
      </c>
      <c r="F675" s="23">
        <v>2280</v>
      </c>
    </row>
    <row r="676" spans="2:6">
      <c r="B676" s="15">
        <v>39630</v>
      </c>
      <c r="C676" s="16" t="s">
        <v>19</v>
      </c>
      <c r="D676" s="17" t="s">
        <v>15</v>
      </c>
      <c r="E676" s="17" t="s">
        <v>9</v>
      </c>
      <c r="F676" s="25">
        <v>1290</v>
      </c>
    </row>
    <row r="677" spans="2:6">
      <c r="B677" s="20">
        <v>39630</v>
      </c>
      <c r="C677" s="21" t="s">
        <v>19</v>
      </c>
      <c r="D677" s="22" t="s">
        <v>15</v>
      </c>
      <c r="E677" s="22" t="s">
        <v>11</v>
      </c>
      <c r="F677" s="23">
        <v>1416</v>
      </c>
    </row>
    <row r="678" spans="2:6">
      <c r="B678" s="15">
        <v>39630</v>
      </c>
      <c r="C678" s="16" t="s">
        <v>21</v>
      </c>
      <c r="D678" s="17" t="s">
        <v>8</v>
      </c>
      <c r="E678" s="17" t="s">
        <v>14</v>
      </c>
      <c r="F678" s="25">
        <v>2560</v>
      </c>
    </row>
    <row r="679" spans="2:6">
      <c r="B679" s="20">
        <v>39630</v>
      </c>
      <c r="C679" s="21" t="s">
        <v>21</v>
      </c>
      <c r="D679" s="22" t="s">
        <v>8</v>
      </c>
      <c r="E679" s="22" t="s">
        <v>9</v>
      </c>
      <c r="F679" s="23">
        <v>1560</v>
      </c>
    </row>
    <row r="680" spans="2:6">
      <c r="B680" s="15">
        <v>39630</v>
      </c>
      <c r="C680" s="16" t="s">
        <v>21</v>
      </c>
      <c r="D680" s="17" t="s">
        <v>8</v>
      </c>
      <c r="E680" s="17" t="s">
        <v>11</v>
      </c>
      <c r="F680" s="25">
        <v>2256</v>
      </c>
    </row>
    <row r="681" spans="2:6">
      <c r="B681" s="20">
        <v>39630</v>
      </c>
      <c r="C681" s="21" t="s">
        <v>21</v>
      </c>
      <c r="D681" s="22" t="s">
        <v>13</v>
      </c>
      <c r="E681" s="22" t="s">
        <v>14</v>
      </c>
      <c r="F681" s="23">
        <v>2120</v>
      </c>
    </row>
    <row r="682" spans="2:6">
      <c r="B682" s="15">
        <v>39630</v>
      </c>
      <c r="C682" s="16" t="s">
        <v>21</v>
      </c>
      <c r="D682" s="17" t="s">
        <v>13</v>
      </c>
      <c r="E682" s="17" t="s">
        <v>9</v>
      </c>
      <c r="F682" s="25">
        <v>1160</v>
      </c>
    </row>
    <row r="683" spans="2:6">
      <c r="B683" s="20">
        <v>39630</v>
      </c>
      <c r="C683" s="21" t="s">
        <v>21</v>
      </c>
      <c r="D683" s="22" t="s">
        <v>13</v>
      </c>
      <c r="E683" s="22" t="s">
        <v>11</v>
      </c>
      <c r="F683" s="23">
        <v>994</v>
      </c>
    </row>
    <row r="684" spans="2:6">
      <c r="B684" s="15">
        <v>39630</v>
      </c>
      <c r="C684" s="16" t="s">
        <v>21</v>
      </c>
      <c r="D684" s="17" t="s">
        <v>15</v>
      </c>
      <c r="E684" s="17" t="s">
        <v>14</v>
      </c>
      <c r="F684" s="25">
        <v>2034</v>
      </c>
    </row>
    <row r="685" spans="2:6">
      <c r="B685" s="20">
        <v>39630</v>
      </c>
      <c r="C685" s="21" t="s">
        <v>21</v>
      </c>
      <c r="D685" s="22" t="s">
        <v>15</v>
      </c>
      <c r="E685" s="22" t="s">
        <v>9</v>
      </c>
      <c r="F685" s="23">
        <v>1668</v>
      </c>
    </row>
    <row r="686" spans="2:6">
      <c r="B686" s="15">
        <v>39630</v>
      </c>
      <c r="C686" s="16" t="s">
        <v>21</v>
      </c>
      <c r="D686" s="17" t="s">
        <v>15</v>
      </c>
      <c r="E686" s="17" t="s">
        <v>11</v>
      </c>
      <c r="F686" s="25">
        <v>1194</v>
      </c>
    </row>
    <row r="687" spans="2:6">
      <c r="B687" s="20">
        <v>39661</v>
      </c>
      <c r="C687" s="21" t="s">
        <v>7</v>
      </c>
      <c r="D687" s="22" t="s">
        <v>8</v>
      </c>
      <c r="E687" s="22" t="s">
        <v>14</v>
      </c>
      <c r="F687" s="23">
        <v>1520</v>
      </c>
    </row>
    <row r="688" spans="2:6">
      <c r="B688" s="15">
        <v>39661</v>
      </c>
      <c r="C688" s="16" t="s">
        <v>7</v>
      </c>
      <c r="D688" s="17" t="s">
        <v>8</v>
      </c>
      <c r="E688" s="17" t="s">
        <v>9</v>
      </c>
      <c r="F688" s="25">
        <v>896</v>
      </c>
    </row>
    <row r="689" spans="2:6">
      <c r="B689" s="20">
        <v>39661</v>
      </c>
      <c r="C689" s="21" t="s">
        <v>7</v>
      </c>
      <c r="D689" s="22" t="s">
        <v>8</v>
      </c>
      <c r="E689" s="22" t="s">
        <v>11</v>
      </c>
      <c r="F689" s="23">
        <v>1870</v>
      </c>
    </row>
    <row r="690" spans="2:6">
      <c r="B690" s="15">
        <v>39661</v>
      </c>
      <c r="C690" s="16" t="s">
        <v>7</v>
      </c>
      <c r="D690" s="17" t="s">
        <v>13</v>
      </c>
      <c r="E690" s="17" t="s">
        <v>14</v>
      </c>
      <c r="F690" s="25">
        <v>1395</v>
      </c>
    </row>
    <row r="691" spans="2:6">
      <c r="B691" s="20">
        <v>39661</v>
      </c>
      <c r="C691" s="21" t="s">
        <v>7</v>
      </c>
      <c r="D691" s="22" t="s">
        <v>13</v>
      </c>
      <c r="E691" s="22" t="s">
        <v>9</v>
      </c>
      <c r="F691" s="23">
        <v>1668</v>
      </c>
    </row>
    <row r="692" spans="2:6">
      <c r="B692" s="15">
        <v>39661</v>
      </c>
      <c r="C692" s="16" t="s">
        <v>7</v>
      </c>
      <c r="D692" s="17" t="s">
        <v>13</v>
      </c>
      <c r="E692" s="17" t="s">
        <v>11</v>
      </c>
      <c r="F692" s="25">
        <v>944</v>
      </c>
    </row>
    <row r="693" spans="2:6">
      <c r="B693" s="20">
        <v>39661</v>
      </c>
      <c r="C693" s="21" t="s">
        <v>7</v>
      </c>
      <c r="D693" s="22" t="s">
        <v>15</v>
      </c>
      <c r="E693" s="22" t="s">
        <v>14</v>
      </c>
      <c r="F693" s="23">
        <v>1881</v>
      </c>
    </row>
    <row r="694" spans="2:6">
      <c r="B694" s="15">
        <v>39661</v>
      </c>
      <c r="C694" s="16" t="s">
        <v>7</v>
      </c>
      <c r="D694" s="17" t="s">
        <v>15</v>
      </c>
      <c r="E694" s="17" t="s">
        <v>9</v>
      </c>
      <c r="F694" s="25">
        <v>1674</v>
      </c>
    </row>
    <row r="695" spans="2:6">
      <c r="B695" s="20">
        <v>39661</v>
      </c>
      <c r="C695" s="21" t="s">
        <v>7</v>
      </c>
      <c r="D695" s="22" t="s">
        <v>15</v>
      </c>
      <c r="E695" s="22" t="s">
        <v>11</v>
      </c>
      <c r="F695" s="23">
        <v>1316</v>
      </c>
    </row>
    <row r="696" spans="2:6">
      <c r="B696" s="15">
        <v>39661</v>
      </c>
      <c r="C696" s="16" t="s">
        <v>12</v>
      </c>
      <c r="D696" s="17" t="s">
        <v>8</v>
      </c>
      <c r="E696" s="17" t="s">
        <v>14</v>
      </c>
      <c r="F696" s="25">
        <v>2304</v>
      </c>
    </row>
    <row r="697" spans="2:6">
      <c r="B697" s="20">
        <v>39661</v>
      </c>
      <c r="C697" s="21" t="s">
        <v>12</v>
      </c>
      <c r="D697" s="22" t="s">
        <v>8</v>
      </c>
      <c r="E697" s="22" t="s">
        <v>9</v>
      </c>
      <c r="F697" s="23">
        <v>1267</v>
      </c>
    </row>
    <row r="698" spans="2:6">
      <c r="B698" s="15">
        <v>39661</v>
      </c>
      <c r="C698" s="16" t="s">
        <v>12</v>
      </c>
      <c r="D698" s="17" t="s">
        <v>8</v>
      </c>
      <c r="E698" s="17" t="s">
        <v>11</v>
      </c>
      <c r="F698" s="25">
        <v>1200</v>
      </c>
    </row>
    <row r="699" spans="2:6">
      <c r="B699" s="20">
        <v>39661</v>
      </c>
      <c r="C699" s="21" t="s">
        <v>12</v>
      </c>
      <c r="D699" s="22" t="s">
        <v>13</v>
      </c>
      <c r="E699" s="22" t="s">
        <v>14</v>
      </c>
      <c r="F699" s="23">
        <v>948</v>
      </c>
    </row>
    <row r="700" spans="2:6">
      <c r="B700" s="15">
        <v>39661</v>
      </c>
      <c r="C700" s="16" t="s">
        <v>12</v>
      </c>
      <c r="D700" s="17" t="s">
        <v>13</v>
      </c>
      <c r="E700" s="17" t="s">
        <v>9</v>
      </c>
      <c r="F700" s="25">
        <v>1194</v>
      </c>
    </row>
    <row r="701" spans="2:6">
      <c r="B701" s="20">
        <v>39661</v>
      </c>
      <c r="C701" s="21" t="s">
        <v>12</v>
      </c>
      <c r="D701" s="22" t="s">
        <v>13</v>
      </c>
      <c r="E701" s="22" t="s">
        <v>11</v>
      </c>
      <c r="F701" s="23">
        <v>1630</v>
      </c>
    </row>
    <row r="702" spans="2:6">
      <c r="B702" s="15">
        <v>39661</v>
      </c>
      <c r="C702" s="16" t="s">
        <v>12</v>
      </c>
      <c r="D702" s="17" t="s">
        <v>15</v>
      </c>
      <c r="E702" s="17" t="s">
        <v>14</v>
      </c>
      <c r="F702" s="25">
        <v>1302</v>
      </c>
    </row>
    <row r="703" spans="2:6">
      <c r="B703" s="20">
        <v>39661</v>
      </c>
      <c r="C703" s="21" t="s">
        <v>12</v>
      </c>
      <c r="D703" s="22" t="s">
        <v>15</v>
      </c>
      <c r="E703" s="22" t="s">
        <v>9</v>
      </c>
      <c r="F703" s="23">
        <v>1368</v>
      </c>
    </row>
    <row r="704" spans="2:6">
      <c r="B704" s="15">
        <v>39661</v>
      </c>
      <c r="C704" s="16" t="s">
        <v>12</v>
      </c>
      <c r="D704" s="17" t="s">
        <v>15</v>
      </c>
      <c r="E704" s="17" t="s">
        <v>11</v>
      </c>
      <c r="F704" s="25">
        <v>720</v>
      </c>
    </row>
    <row r="705" spans="2:6">
      <c r="B705" s="20">
        <v>39661</v>
      </c>
      <c r="C705" s="21" t="s">
        <v>19</v>
      </c>
      <c r="D705" s="22" t="s">
        <v>8</v>
      </c>
      <c r="E705" s="22" t="s">
        <v>14</v>
      </c>
      <c r="F705" s="23">
        <v>822</v>
      </c>
    </row>
    <row r="706" spans="2:6">
      <c r="B706" s="15">
        <v>39661</v>
      </c>
      <c r="C706" s="16" t="s">
        <v>19</v>
      </c>
      <c r="D706" s="17" t="s">
        <v>8</v>
      </c>
      <c r="E706" s="17" t="s">
        <v>9</v>
      </c>
      <c r="F706" s="25">
        <v>1616</v>
      </c>
    </row>
    <row r="707" spans="2:6">
      <c r="B707" s="20">
        <v>39661</v>
      </c>
      <c r="C707" s="21" t="s">
        <v>19</v>
      </c>
      <c r="D707" s="22" t="s">
        <v>8</v>
      </c>
      <c r="E707" s="22" t="s">
        <v>11</v>
      </c>
      <c r="F707" s="23">
        <v>684</v>
      </c>
    </row>
    <row r="708" spans="2:6">
      <c r="B708" s="15">
        <v>39661</v>
      </c>
      <c r="C708" s="16" t="s">
        <v>19</v>
      </c>
      <c r="D708" s="17" t="s">
        <v>13</v>
      </c>
      <c r="E708" s="17" t="s">
        <v>14</v>
      </c>
      <c r="F708" s="25">
        <v>980</v>
      </c>
    </row>
    <row r="709" spans="2:6">
      <c r="B709" s="20">
        <v>39661</v>
      </c>
      <c r="C709" s="21" t="s">
        <v>19</v>
      </c>
      <c r="D709" s="22" t="s">
        <v>13</v>
      </c>
      <c r="E709" s="22" t="s">
        <v>9</v>
      </c>
      <c r="F709" s="23">
        <v>1090</v>
      </c>
    </row>
    <row r="710" spans="2:6">
      <c r="B710" s="15">
        <v>39661</v>
      </c>
      <c r="C710" s="16" t="s">
        <v>19</v>
      </c>
      <c r="D710" s="17" t="s">
        <v>13</v>
      </c>
      <c r="E710" s="17" t="s">
        <v>11</v>
      </c>
      <c r="F710" s="25">
        <v>1090</v>
      </c>
    </row>
    <row r="711" spans="2:6">
      <c r="B711" s="20">
        <v>39661</v>
      </c>
      <c r="C711" s="21" t="s">
        <v>19</v>
      </c>
      <c r="D711" s="22" t="s">
        <v>15</v>
      </c>
      <c r="E711" s="22" t="s">
        <v>14</v>
      </c>
      <c r="F711" s="23">
        <v>861</v>
      </c>
    </row>
    <row r="712" spans="2:6">
      <c r="B712" s="15">
        <v>39661</v>
      </c>
      <c r="C712" s="16" t="s">
        <v>19</v>
      </c>
      <c r="D712" s="17" t="s">
        <v>15</v>
      </c>
      <c r="E712" s="17" t="s">
        <v>9</v>
      </c>
      <c r="F712" s="25">
        <v>2079</v>
      </c>
    </row>
    <row r="713" spans="2:6">
      <c r="B713" s="20">
        <v>39661</v>
      </c>
      <c r="C713" s="21" t="s">
        <v>19</v>
      </c>
      <c r="D713" s="22" t="s">
        <v>15</v>
      </c>
      <c r="E713" s="22" t="s">
        <v>11</v>
      </c>
      <c r="F713" s="23">
        <v>2220</v>
      </c>
    </row>
    <row r="714" spans="2:6">
      <c r="B714" s="15">
        <v>39661</v>
      </c>
      <c r="C714" s="16" t="s">
        <v>21</v>
      </c>
      <c r="D714" s="17" t="s">
        <v>8</v>
      </c>
      <c r="E714" s="17" t="s">
        <v>14</v>
      </c>
      <c r="F714" s="25">
        <v>1024</v>
      </c>
    </row>
    <row r="715" spans="2:6">
      <c r="B715" s="20">
        <v>39661</v>
      </c>
      <c r="C715" s="21" t="s">
        <v>21</v>
      </c>
      <c r="D715" s="22" t="s">
        <v>8</v>
      </c>
      <c r="E715" s="22" t="s">
        <v>9</v>
      </c>
      <c r="F715" s="23">
        <v>1650</v>
      </c>
    </row>
    <row r="716" spans="2:6">
      <c r="B716" s="15">
        <v>39661</v>
      </c>
      <c r="C716" s="16" t="s">
        <v>21</v>
      </c>
      <c r="D716" s="17" t="s">
        <v>8</v>
      </c>
      <c r="E716" s="17" t="s">
        <v>11</v>
      </c>
      <c r="F716" s="25">
        <v>678</v>
      </c>
    </row>
    <row r="717" spans="2:6">
      <c r="B717" s="20">
        <v>39661</v>
      </c>
      <c r="C717" s="21" t="s">
        <v>21</v>
      </c>
      <c r="D717" s="22" t="s">
        <v>13</v>
      </c>
      <c r="E717" s="22" t="s">
        <v>14</v>
      </c>
      <c r="F717" s="23">
        <v>1764</v>
      </c>
    </row>
    <row r="718" spans="2:6">
      <c r="B718" s="15">
        <v>39661</v>
      </c>
      <c r="C718" s="16" t="s">
        <v>21</v>
      </c>
      <c r="D718" s="17" t="s">
        <v>13</v>
      </c>
      <c r="E718" s="17" t="s">
        <v>9</v>
      </c>
      <c r="F718" s="25">
        <v>2259</v>
      </c>
    </row>
    <row r="719" spans="2:6">
      <c r="B719" s="20">
        <v>39661</v>
      </c>
      <c r="C719" s="21" t="s">
        <v>21</v>
      </c>
      <c r="D719" s="22" t="s">
        <v>13</v>
      </c>
      <c r="E719" s="22" t="s">
        <v>11</v>
      </c>
      <c r="F719" s="23">
        <v>1899</v>
      </c>
    </row>
    <row r="720" spans="2:6">
      <c r="B720" s="15">
        <v>39661</v>
      </c>
      <c r="C720" s="16" t="s">
        <v>21</v>
      </c>
      <c r="D720" s="17" t="s">
        <v>15</v>
      </c>
      <c r="E720" s="17" t="s">
        <v>14</v>
      </c>
      <c r="F720" s="25">
        <v>889</v>
      </c>
    </row>
    <row r="721" spans="2:6">
      <c r="B721" s="20">
        <v>39661</v>
      </c>
      <c r="C721" s="21" t="s">
        <v>21</v>
      </c>
      <c r="D721" s="22" t="s">
        <v>15</v>
      </c>
      <c r="E721" s="22" t="s">
        <v>9</v>
      </c>
      <c r="F721" s="23">
        <v>804</v>
      </c>
    </row>
    <row r="722" spans="2:6">
      <c r="B722" s="15">
        <v>39661</v>
      </c>
      <c r="C722" s="16" t="s">
        <v>21</v>
      </c>
      <c r="D722" s="17" t="s">
        <v>15</v>
      </c>
      <c r="E722" s="17" t="s">
        <v>11</v>
      </c>
      <c r="F722" s="25">
        <v>1064</v>
      </c>
    </row>
    <row r="723" spans="2:6">
      <c r="B723" s="20">
        <v>39692</v>
      </c>
      <c r="C723" s="21" t="s">
        <v>7</v>
      </c>
      <c r="D723" s="22" t="s">
        <v>8</v>
      </c>
      <c r="E723" s="22" t="s">
        <v>14</v>
      </c>
      <c r="F723" s="23">
        <v>1150</v>
      </c>
    </row>
    <row r="724" spans="2:6">
      <c r="B724" s="15">
        <v>39692</v>
      </c>
      <c r="C724" s="16" t="s">
        <v>7</v>
      </c>
      <c r="D724" s="17" t="s">
        <v>8</v>
      </c>
      <c r="E724" s="17" t="s">
        <v>9</v>
      </c>
      <c r="F724" s="25">
        <v>2040</v>
      </c>
    </row>
    <row r="725" spans="2:6">
      <c r="B725" s="20">
        <v>39692</v>
      </c>
      <c r="C725" s="21" t="s">
        <v>7</v>
      </c>
      <c r="D725" s="22" t="s">
        <v>8</v>
      </c>
      <c r="E725" s="22" t="s">
        <v>11</v>
      </c>
      <c r="F725" s="23">
        <v>1984</v>
      </c>
    </row>
    <row r="726" spans="2:6">
      <c r="B726" s="15">
        <v>39692</v>
      </c>
      <c r="C726" s="16" t="s">
        <v>7</v>
      </c>
      <c r="D726" s="17" t="s">
        <v>13</v>
      </c>
      <c r="E726" s="17" t="s">
        <v>14</v>
      </c>
      <c r="F726" s="25">
        <v>1539</v>
      </c>
    </row>
    <row r="727" spans="2:6">
      <c r="B727" s="20">
        <v>39692</v>
      </c>
      <c r="C727" s="21" t="s">
        <v>7</v>
      </c>
      <c r="D727" s="22" t="s">
        <v>13</v>
      </c>
      <c r="E727" s="22" t="s">
        <v>9</v>
      </c>
      <c r="F727" s="23">
        <v>2277</v>
      </c>
    </row>
    <row r="728" spans="2:6">
      <c r="B728" s="15">
        <v>39692</v>
      </c>
      <c r="C728" s="16" t="s">
        <v>7</v>
      </c>
      <c r="D728" s="17" t="s">
        <v>13</v>
      </c>
      <c r="E728" s="17" t="s">
        <v>11</v>
      </c>
      <c r="F728" s="25">
        <v>1305</v>
      </c>
    </row>
    <row r="729" spans="2:6">
      <c r="B729" s="20">
        <v>39692</v>
      </c>
      <c r="C729" s="21" t="s">
        <v>7</v>
      </c>
      <c r="D729" s="22" t="s">
        <v>15</v>
      </c>
      <c r="E729" s="22" t="s">
        <v>14</v>
      </c>
      <c r="F729" s="23">
        <v>1710</v>
      </c>
    </row>
    <row r="730" spans="2:6">
      <c r="B730" s="15">
        <v>39692</v>
      </c>
      <c r="C730" s="16" t="s">
        <v>7</v>
      </c>
      <c r="D730" s="17" t="s">
        <v>15</v>
      </c>
      <c r="E730" s="17" t="s">
        <v>9</v>
      </c>
      <c r="F730" s="25">
        <v>852</v>
      </c>
    </row>
    <row r="731" spans="2:6">
      <c r="B731" s="20">
        <v>39692</v>
      </c>
      <c r="C731" s="21" t="s">
        <v>7</v>
      </c>
      <c r="D731" s="22" t="s">
        <v>15</v>
      </c>
      <c r="E731" s="22" t="s">
        <v>11</v>
      </c>
      <c r="F731" s="23">
        <v>996</v>
      </c>
    </row>
    <row r="732" spans="2:6">
      <c r="B732" s="15">
        <v>39692</v>
      </c>
      <c r="C732" s="16" t="s">
        <v>12</v>
      </c>
      <c r="D732" s="17" t="s">
        <v>8</v>
      </c>
      <c r="E732" s="17" t="s">
        <v>14</v>
      </c>
      <c r="F732" s="25">
        <v>1008</v>
      </c>
    </row>
    <row r="733" spans="2:6">
      <c r="B733" s="20">
        <v>39692</v>
      </c>
      <c r="C733" s="21" t="s">
        <v>12</v>
      </c>
      <c r="D733" s="22" t="s">
        <v>8</v>
      </c>
      <c r="E733" s="22" t="s">
        <v>9</v>
      </c>
      <c r="F733" s="23">
        <v>1194</v>
      </c>
    </row>
    <row r="734" spans="2:6">
      <c r="B734" s="15">
        <v>39692</v>
      </c>
      <c r="C734" s="16" t="s">
        <v>12</v>
      </c>
      <c r="D734" s="17" t="s">
        <v>8</v>
      </c>
      <c r="E734" s="17" t="s">
        <v>11</v>
      </c>
      <c r="F734" s="25">
        <v>1736</v>
      </c>
    </row>
    <row r="735" spans="2:6">
      <c r="B735" s="20">
        <v>39692</v>
      </c>
      <c r="C735" s="21" t="s">
        <v>12</v>
      </c>
      <c r="D735" s="22" t="s">
        <v>13</v>
      </c>
      <c r="E735" s="22" t="s">
        <v>14</v>
      </c>
      <c r="F735" s="23">
        <v>1170</v>
      </c>
    </row>
    <row r="736" spans="2:6">
      <c r="B736" s="15">
        <v>39692</v>
      </c>
      <c r="C736" s="16" t="s">
        <v>12</v>
      </c>
      <c r="D736" s="17" t="s">
        <v>13</v>
      </c>
      <c r="E736" s="17" t="s">
        <v>9</v>
      </c>
      <c r="F736" s="25">
        <v>1320</v>
      </c>
    </row>
    <row r="737" spans="2:6">
      <c r="B737" s="20">
        <v>39692</v>
      </c>
      <c r="C737" s="21" t="s">
        <v>12</v>
      </c>
      <c r="D737" s="22" t="s">
        <v>13</v>
      </c>
      <c r="E737" s="22" t="s">
        <v>11</v>
      </c>
      <c r="F737" s="23">
        <v>1050</v>
      </c>
    </row>
    <row r="738" spans="2:6">
      <c r="B738" s="15">
        <v>39692</v>
      </c>
      <c r="C738" s="16" t="s">
        <v>12</v>
      </c>
      <c r="D738" s="17" t="s">
        <v>15</v>
      </c>
      <c r="E738" s="17" t="s">
        <v>14</v>
      </c>
      <c r="F738" s="25">
        <v>909</v>
      </c>
    </row>
    <row r="739" spans="2:6">
      <c r="B739" s="20">
        <v>39692</v>
      </c>
      <c r="C739" s="21" t="s">
        <v>12</v>
      </c>
      <c r="D739" s="22" t="s">
        <v>15</v>
      </c>
      <c r="E739" s="22" t="s">
        <v>9</v>
      </c>
      <c r="F739" s="23">
        <v>1036</v>
      </c>
    </row>
    <row r="740" spans="2:6">
      <c r="B740" s="15">
        <v>39692</v>
      </c>
      <c r="C740" s="16" t="s">
        <v>12</v>
      </c>
      <c r="D740" s="17" t="s">
        <v>15</v>
      </c>
      <c r="E740" s="17" t="s">
        <v>11</v>
      </c>
      <c r="F740" s="25">
        <v>1647</v>
      </c>
    </row>
    <row r="741" spans="2:6">
      <c r="B741" s="20">
        <v>39692</v>
      </c>
      <c r="C741" s="21" t="s">
        <v>19</v>
      </c>
      <c r="D741" s="22" t="s">
        <v>8</v>
      </c>
      <c r="E741" s="22" t="s">
        <v>14</v>
      </c>
      <c r="F741" s="23">
        <v>2220</v>
      </c>
    </row>
    <row r="742" spans="2:6">
      <c r="B742" s="15">
        <v>39692</v>
      </c>
      <c r="C742" s="16" t="s">
        <v>19</v>
      </c>
      <c r="D742" s="17" t="s">
        <v>8</v>
      </c>
      <c r="E742" s="17" t="s">
        <v>9</v>
      </c>
      <c r="F742" s="25">
        <v>1776</v>
      </c>
    </row>
    <row r="743" spans="2:6">
      <c r="B743" s="20">
        <v>39692</v>
      </c>
      <c r="C743" s="21" t="s">
        <v>19</v>
      </c>
      <c r="D743" s="22" t="s">
        <v>8</v>
      </c>
      <c r="E743" s="22" t="s">
        <v>11</v>
      </c>
      <c r="F743" s="23">
        <v>1246</v>
      </c>
    </row>
    <row r="744" spans="2:6">
      <c r="B744" s="15">
        <v>39692</v>
      </c>
      <c r="C744" s="16" t="s">
        <v>19</v>
      </c>
      <c r="D744" s="17" t="s">
        <v>13</v>
      </c>
      <c r="E744" s="17" t="s">
        <v>14</v>
      </c>
      <c r="F744" s="25">
        <v>1590</v>
      </c>
    </row>
    <row r="745" spans="2:6">
      <c r="B745" s="20">
        <v>39692</v>
      </c>
      <c r="C745" s="21" t="s">
        <v>19</v>
      </c>
      <c r="D745" s="22" t="s">
        <v>13</v>
      </c>
      <c r="E745" s="22" t="s">
        <v>9</v>
      </c>
      <c r="F745" s="23">
        <v>945</v>
      </c>
    </row>
    <row r="746" spans="2:6">
      <c r="B746" s="15">
        <v>39692</v>
      </c>
      <c r="C746" s="16" t="s">
        <v>19</v>
      </c>
      <c r="D746" s="17" t="s">
        <v>13</v>
      </c>
      <c r="E746" s="17" t="s">
        <v>11</v>
      </c>
      <c r="F746" s="25">
        <v>978</v>
      </c>
    </row>
    <row r="747" spans="2:6">
      <c r="B747" s="20">
        <v>39692</v>
      </c>
      <c r="C747" s="21" t="s">
        <v>19</v>
      </c>
      <c r="D747" s="22" t="s">
        <v>15</v>
      </c>
      <c r="E747" s="22" t="s">
        <v>14</v>
      </c>
      <c r="F747" s="23">
        <v>1330</v>
      </c>
    </row>
    <row r="748" spans="2:6">
      <c r="B748" s="15">
        <v>39692</v>
      </c>
      <c r="C748" s="16" t="s">
        <v>19</v>
      </c>
      <c r="D748" s="17" t="s">
        <v>15</v>
      </c>
      <c r="E748" s="17" t="s">
        <v>9</v>
      </c>
      <c r="F748" s="25">
        <v>826</v>
      </c>
    </row>
    <row r="749" spans="2:6">
      <c r="B749" s="20">
        <v>39692</v>
      </c>
      <c r="C749" s="21" t="s">
        <v>19</v>
      </c>
      <c r="D749" s="22" t="s">
        <v>15</v>
      </c>
      <c r="E749" s="22" t="s">
        <v>11</v>
      </c>
      <c r="F749" s="23">
        <v>1127</v>
      </c>
    </row>
    <row r="750" spans="2:6">
      <c r="B750" s="15">
        <v>39692</v>
      </c>
      <c r="C750" s="16" t="s">
        <v>21</v>
      </c>
      <c r="D750" s="17" t="s">
        <v>8</v>
      </c>
      <c r="E750" s="17" t="s">
        <v>14</v>
      </c>
      <c r="F750" s="25">
        <v>1572</v>
      </c>
    </row>
    <row r="751" spans="2:6">
      <c r="B751" s="20">
        <v>39692</v>
      </c>
      <c r="C751" s="21" t="s">
        <v>21</v>
      </c>
      <c r="D751" s="22" t="s">
        <v>8</v>
      </c>
      <c r="E751" s="22" t="s">
        <v>9</v>
      </c>
      <c r="F751" s="23">
        <v>2610</v>
      </c>
    </row>
    <row r="752" spans="2:6">
      <c r="B752" s="15">
        <v>39692</v>
      </c>
      <c r="C752" s="16" t="s">
        <v>21</v>
      </c>
      <c r="D752" s="17" t="s">
        <v>8</v>
      </c>
      <c r="E752" s="17" t="s">
        <v>11</v>
      </c>
      <c r="F752" s="25">
        <v>1540</v>
      </c>
    </row>
    <row r="753" spans="2:6">
      <c r="B753" s="20">
        <v>39692</v>
      </c>
      <c r="C753" s="21" t="s">
        <v>21</v>
      </c>
      <c r="D753" s="22" t="s">
        <v>13</v>
      </c>
      <c r="E753" s="22" t="s">
        <v>14</v>
      </c>
      <c r="F753" s="23">
        <v>1624</v>
      </c>
    </row>
    <row r="754" spans="2:6">
      <c r="B754" s="15">
        <v>39692</v>
      </c>
      <c r="C754" s="16" t="s">
        <v>21</v>
      </c>
      <c r="D754" s="17" t="s">
        <v>13</v>
      </c>
      <c r="E754" s="17" t="s">
        <v>9</v>
      </c>
      <c r="F754" s="25">
        <v>1008</v>
      </c>
    </row>
    <row r="755" spans="2:6">
      <c r="B755" s="20">
        <v>39692</v>
      </c>
      <c r="C755" s="21" t="s">
        <v>21</v>
      </c>
      <c r="D755" s="22" t="s">
        <v>13</v>
      </c>
      <c r="E755" s="22" t="s">
        <v>11</v>
      </c>
      <c r="F755" s="23">
        <v>1596</v>
      </c>
    </row>
    <row r="756" spans="2:6">
      <c r="B756" s="15">
        <v>39692</v>
      </c>
      <c r="C756" s="16" t="s">
        <v>21</v>
      </c>
      <c r="D756" s="17" t="s">
        <v>15</v>
      </c>
      <c r="E756" s="17" t="s">
        <v>14</v>
      </c>
      <c r="F756" s="25">
        <v>1743</v>
      </c>
    </row>
    <row r="757" spans="2:6">
      <c r="B757" s="20">
        <v>39692</v>
      </c>
      <c r="C757" s="21" t="s">
        <v>21</v>
      </c>
      <c r="D757" s="22" t="s">
        <v>15</v>
      </c>
      <c r="E757" s="22" t="s">
        <v>9</v>
      </c>
      <c r="F757" s="23">
        <v>1368</v>
      </c>
    </row>
    <row r="758" spans="2:6">
      <c r="B758" s="15">
        <v>39692</v>
      </c>
      <c r="C758" s="16" t="s">
        <v>21</v>
      </c>
      <c r="D758" s="17" t="s">
        <v>15</v>
      </c>
      <c r="E758" s="17" t="s">
        <v>11</v>
      </c>
      <c r="F758" s="25">
        <v>2248</v>
      </c>
    </row>
    <row r="759" spans="2:6">
      <c r="B759" s="20">
        <v>39722</v>
      </c>
      <c r="C759" s="21" t="s">
        <v>7</v>
      </c>
      <c r="D759" s="22" t="s">
        <v>8</v>
      </c>
      <c r="E759" s="22" t="s">
        <v>14</v>
      </c>
      <c r="F759" s="23">
        <v>1940</v>
      </c>
    </row>
    <row r="760" spans="2:6">
      <c r="B760" s="15">
        <v>39722</v>
      </c>
      <c r="C760" s="16" t="s">
        <v>7</v>
      </c>
      <c r="D760" s="17" t="s">
        <v>8</v>
      </c>
      <c r="E760" s="17" t="s">
        <v>9</v>
      </c>
      <c r="F760" s="25">
        <v>2088</v>
      </c>
    </row>
    <row r="761" spans="2:6">
      <c r="B761" s="20">
        <v>39722</v>
      </c>
      <c r="C761" s="21" t="s">
        <v>7</v>
      </c>
      <c r="D761" s="22" t="s">
        <v>8</v>
      </c>
      <c r="E761" s="22" t="s">
        <v>11</v>
      </c>
      <c r="F761" s="23">
        <v>1416</v>
      </c>
    </row>
    <row r="762" spans="2:6">
      <c r="B762" s="15">
        <v>39722</v>
      </c>
      <c r="C762" s="16" t="s">
        <v>7</v>
      </c>
      <c r="D762" s="17" t="s">
        <v>13</v>
      </c>
      <c r="E762" s="17" t="s">
        <v>14</v>
      </c>
      <c r="F762" s="25">
        <v>1143</v>
      </c>
    </row>
    <row r="763" spans="2:6">
      <c r="B763" s="20">
        <v>39722</v>
      </c>
      <c r="C763" s="21" t="s">
        <v>7</v>
      </c>
      <c r="D763" s="22" t="s">
        <v>13</v>
      </c>
      <c r="E763" s="22" t="s">
        <v>9</v>
      </c>
      <c r="F763" s="23">
        <v>1760</v>
      </c>
    </row>
    <row r="764" spans="2:6">
      <c r="B764" s="15">
        <v>39722</v>
      </c>
      <c r="C764" s="16" t="s">
        <v>7</v>
      </c>
      <c r="D764" s="17" t="s">
        <v>13</v>
      </c>
      <c r="E764" s="17" t="s">
        <v>11</v>
      </c>
      <c r="F764" s="25">
        <v>1431</v>
      </c>
    </row>
    <row r="765" spans="2:6">
      <c r="B765" s="20">
        <v>39722</v>
      </c>
      <c r="C765" s="21" t="s">
        <v>7</v>
      </c>
      <c r="D765" s="22" t="s">
        <v>15</v>
      </c>
      <c r="E765" s="22" t="s">
        <v>14</v>
      </c>
      <c r="F765" s="23">
        <v>1197</v>
      </c>
    </row>
    <row r="766" spans="2:6">
      <c r="B766" s="15">
        <v>39722</v>
      </c>
      <c r="C766" s="16" t="s">
        <v>7</v>
      </c>
      <c r="D766" s="17" t="s">
        <v>15</v>
      </c>
      <c r="E766" s="17" t="s">
        <v>9</v>
      </c>
      <c r="F766" s="25">
        <v>1632</v>
      </c>
    </row>
    <row r="767" spans="2:6">
      <c r="B767" s="20">
        <v>39722</v>
      </c>
      <c r="C767" s="21" t="s">
        <v>7</v>
      </c>
      <c r="D767" s="22" t="s">
        <v>15</v>
      </c>
      <c r="E767" s="22" t="s">
        <v>11</v>
      </c>
      <c r="F767" s="23">
        <v>1674</v>
      </c>
    </row>
    <row r="768" spans="2:6">
      <c r="B768" s="15">
        <v>39722</v>
      </c>
      <c r="C768" s="16" t="s">
        <v>12</v>
      </c>
      <c r="D768" s="17" t="s">
        <v>8</v>
      </c>
      <c r="E768" s="17" t="s">
        <v>14</v>
      </c>
      <c r="F768" s="25">
        <v>1206</v>
      </c>
    </row>
    <row r="769" spans="2:6">
      <c r="B769" s="20">
        <v>39722</v>
      </c>
      <c r="C769" s="21" t="s">
        <v>12</v>
      </c>
      <c r="D769" s="22" t="s">
        <v>8</v>
      </c>
      <c r="E769" s="22" t="s">
        <v>9</v>
      </c>
      <c r="F769" s="23">
        <v>1881</v>
      </c>
    </row>
    <row r="770" spans="2:6">
      <c r="B770" s="15">
        <v>39722</v>
      </c>
      <c r="C770" s="16" t="s">
        <v>12</v>
      </c>
      <c r="D770" s="17" t="s">
        <v>8</v>
      </c>
      <c r="E770" s="17" t="s">
        <v>11</v>
      </c>
      <c r="F770" s="25">
        <v>1158</v>
      </c>
    </row>
    <row r="771" spans="2:6">
      <c r="B771" s="20">
        <v>39722</v>
      </c>
      <c r="C771" s="21" t="s">
        <v>12</v>
      </c>
      <c r="D771" s="22" t="s">
        <v>13</v>
      </c>
      <c r="E771" s="22" t="s">
        <v>14</v>
      </c>
      <c r="F771" s="23">
        <v>1379</v>
      </c>
    </row>
    <row r="772" spans="2:6">
      <c r="B772" s="15">
        <v>39722</v>
      </c>
      <c r="C772" s="16" t="s">
        <v>12</v>
      </c>
      <c r="D772" s="17" t="s">
        <v>13</v>
      </c>
      <c r="E772" s="17" t="s">
        <v>9</v>
      </c>
      <c r="F772" s="25">
        <v>1650</v>
      </c>
    </row>
    <row r="773" spans="2:6">
      <c r="B773" s="20">
        <v>39722</v>
      </c>
      <c r="C773" s="21" t="s">
        <v>12</v>
      </c>
      <c r="D773" s="22" t="s">
        <v>13</v>
      </c>
      <c r="E773" s="22" t="s">
        <v>11</v>
      </c>
      <c r="F773" s="23">
        <v>654</v>
      </c>
    </row>
    <row r="774" spans="2:6">
      <c r="B774" s="15">
        <v>39722</v>
      </c>
      <c r="C774" s="16" t="s">
        <v>12</v>
      </c>
      <c r="D774" s="17" t="s">
        <v>15</v>
      </c>
      <c r="E774" s="17" t="s">
        <v>14</v>
      </c>
      <c r="F774" s="25">
        <v>1971</v>
      </c>
    </row>
    <row r="775" spans="2:6">
      <c r="B775" s="20">
        <v>39722</v>
      </c>
      <c r="C775" s="21" t="s">
        <v>12</v>
      </c>
      <c r="D775" s="22" t="s">
        <v>15</v>
      </c>
      <c r="E775" s="22" t="s">
        <v>9</v>
      </c>
      <c r="F775" s="23">
        <v>2637</v>
      </c>
    </row>
    <row r="776" spans="2:6">
      <c r="B776" s="15">
        <v>39722</v>
      </c>
      <c r="C776" s="16" t="s">
        <v>12</v>
      </c>
      <c r="D776" s="17" t="s">
        <v>15</v>
      </c>
      <c r="E776" s="17" t="s">
        <v>11</v>
      </c>
      <c r="F776" s="25">
        <v>1158</v>
      </c>
    </row>
    <row r="777" spans="2:6">
      <c r="B777" s="20">
        <v>39722</v>
      </c>
      <c r="C777" s="21" t="s">
        <v>19</v>
      </c>
      <c r="D777" s="22" t="s">
        <v>8</v>
      </c>
      <c r="E777" s="22" t="s">
        <v>14</v>
      </c>
      <c r="F777" s="23">
        <v>744</v>
      </c>
    </row>
    <row r="778" spans="2:6">
      <c r="B778" s="15">
        <v>39722</v>
      </c>
      <c r="C778" s="16" t="s">
        <v>19</v>
      </c>
      <c r="D778" s="17" t="s">
        <v>8</v>
      </c>
      <c r="E778" s="17" t="s">
        <v>9</v>
      </c>
      <c r="F778" s="25">
        <v>2610</v>
      </c>
    </row>
    <row r="779" spans="2:6">
      <c r="B779" s="20">
        <v>39722</v>
      </c>
      <c r="C779" s="21" t="s">
        <v>19</v>
      </c>
      <c r="D779" s="22" t="s">
        <v>8</v>
      </c>
      <c r="E779" s="22" t="s">
        <v>11</v>
      </c>
      <c r="F779" s="23">
        <v>1869</v>
      </c>
    </row>
    <row r="780" spans="2:6">
      <c r="B780" s="15">
        <v>39722</v>
      </c>
      <c r="C780" s="16" t="s">
        <v>19</v>
      </c>
      <c r="D780" s="17" t="s">
        <v>13</v>
      </c>
      <c r="E780" s="17" t="s">
        <v>14</v>
      </c>
      <c r="F780" s="25">
        <v>1056</v>
      </c>
    </row>
    <row r="781" spans="2:6">
      <c r="B781" s="20">
        <v>39722</v>
      </c>
      <c r="C781" s="21" t="s">
        <v>19</v>
      </c>
      <c r="D781" s="22" t="s">
        <v>13</v>
      </c>
      <c r="E781" s="22" t="s">
        <v>9</v>
      </c>
      <c r="F781" s="23">
        <v>1848</v>
      </c>
    </row>
    <row r="782" spans="2:6">
      <c r="B782" s="15">
        <v>39722</v>
      </c>
      <c r="C782" s="16" t="s">
        <v>19</v>
      </c>
      <c r="D782" s="17" t="s">
        <v>13</v>
      </c>
      <c r="E782" s="17" t="s">
        <v>11</v>
      </c>
      <c r="F782" s="25">
        <v>1152</v>
      </c>
    </row>
    <row r="783" spans="2:6">
      <c r="B783" s="20">
        <v>39722</v>
      </c>
      <c r="C783" s="21" t="s">
        <v>19</v>
      </c>
      <c r="D783" s="22" t="s">
        <v>15</v>
      </c>
      <c r="E783" s="22" t="s">
        <v>14</v>
      </c>
      <c r="F783" s="23">
        <v>1670</v>
      </c>
    </row>
    <row r="784" spans="2:6">
      <c r="B784" s="15">
        <v>39722</v>
      </c>
      <c r="C784" s="16" t="s">
        <v>19</v>
      </c>
      <c r="D784" s="17" t="s">
        <v>15</v>
      </c>
      <c r="E784" s="17" t="s">
        <v>9</v>
      </c>
      <c r="F784" s="25">
        <v>1428</v>
      </c>
    </row>
    <row r="785" spans="2:6">
      <c r="B785" s="20">
        <v>39722</v>
      </c>
      <c r="C785" s="21" t="s">
        <v>19</v>
      </c>
      <c r="D785" s="22" t="s">
        <v>15</v>
      </c>
      <c r="E785" s="22" t="s">
        <v>11</v>
      </c>
      <c r="F785" s="23">
        <v>927</v>
      </c>
    </row>
    <row r="786" spans="2:6">
      <c r="B786" s="15">
        <v>39722</v>
      </c>
      <c r="C786" s="16" t="s">
        <v>21</v>
      </c>
      <c r="D786" s="17" t="s">
        <v>8</v>
      </c>
      <c r="E786" s="17" t="s">
        <v>14</v>
      </c>
      <c r="F786" s="25">
        <v>981</v>
      </c>
    </row>
    <row r="787" spans="2:6">
      <c r="B787" s="20">
        <v>39722</v>
      </c>
      <c r="C787" s="21" t="s">
        <v>21</v>
      </c>
      <c r="D787" s="22" t="s">
        <v>8</v>
      </c>
      <c r="E787" s="22" t="s">
        <v>9</v>
      </c>
      <c r="F787" s="23">
        <v>1146</v>
      </c>
    </row>
    <row r="788" spans="2:6">
      <c r="B788" s="15">
        <v>39722</v>
      </c>
      <c r="C788" s="16" t="s">
        <v>21</v>
      </c>
      <c r="D788" s="17" t="s">
        <v>8</v>
      </c>
      <c r="E788" s="17" t="s">
        <v>11</v>
      </c>
      <c r="F788" s="25">
        <v>1856</v>
      </c>
    </row>
    <row r="789" spans="2:6">
      <c r="B789" s="20">
        <v>39722</v>
      </c>
      <c r="C789" s="21" t="s">
        <v>21</v>
      </c>
      <c r="D789" s="22" t="s">
        <v>13</v>
      </c>
      <c r="E789" s="22" t="s">
        <v>14</v>
      </c>
      <c r="F789" s="23">
        <v>1624</v>
      </c>
    </row>
    <row r="790" spans="2:6">
      <c r="B790" s="15">
        <v>39722</v>
      </c>
      <c r="C790" s="16" t="s">
        <v>21</v>
      </c>
      <c r="D790" s="17" t="s">
        <v>13</v>
      </c>
      <c r="E790" s="17" t="s">
        <v>9</v>
      </c>
      <c r="F790" s="25">
        <v>2890</v>
      </c>
    </row>
    <row r="791" spans="2:6">
      <c r="B791" s="20">
        <v>39722</v>
      </c>
      <c r="C791" s="21" t="s">
        <v>21</v>
      </c>
      <c r="D791" s="22" t="s">
        <v>13</v>
      </c>
      <c r="E791" s="22" t="s">
        <v>11</v>
      </c>
      <c r="F791" s="23">
        <v>1680</v>
      </c>
    </row>
    <row r="792" spans="2:6">
      <c r="B792" s="15">
        <v>39722</v>
      </c>
      <c r="C792" s="16" t="s">
        <v>21</v>
      </c>
      <c r="D792" s="17" t="s">
        <v>15</v>
      </c>
      <c r="E792" s="17" t="s">
        <v>14</v>
      </c>
      <c r="F792" s="25">
        <v>1352</v>
      </c>
    </row>
    <row r="793" spans="2:6">
      <c r="B793" s="20">
        <v>39722</v>
      </c>
      <c r="C793" s="21" t="s">
        <v>21</v>
      </c>
      <c r="D793" s="22" t="s">
        <v>15</v>
      </c>
      <c r="E793" s="22" t="s">
        <v>9</v>
      </c>
      <c r="F793" s="23">
        <v>2529</v>
      </c>
    </row>
    <row r="794" spans="2:6">
      <c r="B794" s="15">
        <v>39722</v>
      </c>
      <c r="C794" s="16" t="s">
        <v>21</v>
      </c>
      <c r="D794" s="17" t="s">
        <v>15</v>
      </c>
      <c r="E794" s="17" t="s">
        <v>11</v>
      </c>
      <c r="F794" s="25">
        <v>1710</v>
      </c>
    </row>
    <row r="795" spans="2:6">
      <c r="B795" s="20">
        <v>39753</v>
      </c>
      <c r="C795" s="21" t="s">
        <v>7</v>
      </c>
      <c r="D795" s="22" t="s">
        <v>8</v>
      </c>
      <c r="E795" s="22" t="s">
        <v>14</v>
      </c>
      <c r="F795" s="23">
        <v>1197</v>
      </c>
    </row>
    <row r="796" spans="2:6">
      <c r="B796" s="15">
        <v>39753</v>
      </c>
      <c r="C796" s="16" t="s">
        <v>7</v>
      </c>
      <c r="D796" s="17" t="s">
        <v>8</v>
      </c>
      <c r="E796" s="17" t="s">
        <v>9</v>
      </c>
      <c r="F796" s="25">
        <v>1488</v>
      </c>
    </row>
    <row r="797" spans="2:6">
      <c r="B797" s="20">
        <v>39753</v>
      </c>
      <c r="C797" s="21" t="s">
        <v>7</v>
      </c>
      <c r="D797" s="22" t="s">
        <v>8</v>
      </c>
      <c r="E797" s="22" t="s">
        <v>11</v>
      </c>
      <c r="F797" s="23">
        <v>1782</v>
      </c>
    </row>
    <row r="798" spans="2:6">
      <c r="B798" s="15">
        <v>39753</v>
      </c>
      <c r="C798" s="16" t="s">
        <v>7</v>
      </c>
      <c r="D798" s="17" t="s">
        <v>13</v>
      </c>
      <c r="E798" s="17" t="s">
        <v>14</v>
      </c>
      <c r="F798" s="25">
        <v>987</v>
      </c>
    </row>
    <row r="799" spans="2:6">
      <c r="B799" s="20">
        <v>39753</v>
      </c>
      <c r="C799" s="21" t="s">
        <v>7</v>
      </c>
      <c r="D799" s="22" t="s">
        <v>13</v>
      </c>
      <c r="E799" s="22" t="s">
        <v>9</v>
      </c>
      <c r="F799" s="23">
        <v>1248</v>
      </c>
    </row>
    <row r="800" spans="2:6">
      <c r="B800" s="15">
        <v>39753</v>
      </c>
      <c r="C800" s="16" t="s">
        <v>7</v>
      </c>
      <c r="D800" s="17" t="s">
        <v>13</v>
      </c>
      <c r="E800" s="17" t="s">
        <v>11</v>
      </c>
      <c r="F800" s="25">
        <v>1632</v>
      </c>
    </row>
    <row r="801" spans="2:6">
      <c r="B801" s="20">
        <v>39753</v>
      </c>
      <c r="C801" s="21" t="s">
        <v>7</v>
      </c>
      <c r="D801" s="22" t="s">
        <v>15</v>
      </c>
      <c r="E801" s="22" t="s">
        <v>14</v>
      </c>
      <c r="F801" s="23">
        <v>1278</v>
      </c>
    </row>
    <row r="802" spans="2:6">
      <c r="B802" s="15">
        <v>39753</v>
      </c>
      <c r="C802" s="16" t="s">
        <v>7</v>
      </c>
      <c r="D802" s="17" t="s">
        <v>15</v>
      </c>
      <c r="E802" s="17" t="s">
        <v>9</v>
      </c>
      <c r="F802" s="25">
        <v>2280</v>
      </c>
    </row>
    <row r="803" spans="2:6">
      <c r="B803" s="20">
        <v>39753</v>
      </c>
      <c r="C803" s="21" t="s">
        <v>7</v>
      </c>
      <c r="D803" s="22" t="s">
        <v>15</v>
      </c>
      <c r="E803" s="22" t="s">
        <v>11</v>
      </c>
      <c r="F803" s="23">
        <v>2024</v>
      </c>
    </row>
    <row r="804" spans="2:6">
      <c r="B804" s="15">
        <v>39753</v>
      </c>
      <c r="C804" s="16" t="s">
        <v>12</v>
      </c>
      <c r="D804" s="17" t="s">
        <v>8</v>
      </c>
      <c r="E804" s="17" t="s">
        <v>14</v>
      </c>
      <c r="F804" s="25">
        <v>2043</v>
      </c>
    </row>
    <row r="805" spans="2:6">
      <c r="B805" s="20">
        <v>39753</v>
      </c>
      <c r="C805" s="21" t="s">
        <v>12</v>
      </c>
      <c r="D805" s="22" t="s">
        <v>8</v>
      </c>
      <c r="E805" s="22" t="s">
        <v>9</v>
      </c>
      <c r="F805" s="23">
        <v>1360</v>
      </c>
    </row>
    <row r="806" spans="2:6">
      <c r="B806" s="15">
        <v>39753</v>
      </c>
      <c r="C806" s="16" t="s">
        <v>12</v>
      </c>
      <c r="D806" s="17" t="s">
        <v>8</v>
      </c>
      <c r="E806" s="17" t="s">
        <v>11</v>
      </c>
      <c r="F806" s="25">
        <v>2349</v>
      </c>
    </row>
    <row r="807" spans="2:6">
      <c r="B807" s="20">
        <v>39753</v>
      </c>
      <c r="C807" s="21" t="s">
        <v>12</v>
      </c>
      <c r="D807" s="22" t="s">
        <v>13</v>
      </c>
      <c r="E807" s="22" t="s">
        <v>14</v>
      </c>
      <c r="F807" s="23">
        <v>1880</v>
      </c>
    </row>
    <row r="808" spans="2:6">
      <c r="B808" s="15">
        <v>39753</v>
      </c>
      <c r="C808" s="16" t="s">
        <v>12</v>
      </c>
      <c r="D808" s="17" t="s">
        <v>13</v>
      </c>
      <c r="E808" s="17" t="s">
        <v>9</v>
      </c>
      <c r="F808" s="25">
        <v>707</v>
      </c>
    </row>
    <row r="809" spans="2:6">
      <c r="B809" s="20">
        <v>39753</v>
      </c>
      <c r="C809" s="21" t="s">
        <v>12</v>
      </c>
      <c r="D809" s="22" t="s">
        <v>13</v>
      </c>
      <c r="E809" s="22" t="s">
        <v>11</v>
      </c>
      <c r="F809" s="23">
        <v>1960</v>
      </c>
    </row>
    <row r="810" spans="2:6">
      <c r="B810" s="15">
        <v>39753</v>
      </c>
      <c r="C810" s="16" t="s">
        <v>12</v>
      </c>
      <c r="D810" s="17" t="s">
        <v>15</v>
      </c>
      <c r="E810" s="17" t="s">
        <v>14</v>
      </c>
      <c r="F810" s="25">
        <v>2090</v>
      </c>
    </row>
    <row r="811" spans="2:6">
      <c r="B811" s="20">
        <v>39753</v>
      </c>
      <c r="C811" s="21" t="s">
        <v>12</v>
      </c>
      <c r="D811" s="22" t="s">
        <v>15</v>
      </c>
      <c r="E811" s="22" t="s">
        <v>9</v>
      </c>
      <c r="F811" s="23">
        <v>1161</v>
      </c>
    </row>
    <row r="812" spans="2:6">
      <c r="B812" s="15">
        <v>39753</v>
      </c>
      <c r="C812" s="16" t="s">
        <v>12</v>
      </c>
      <c r="D812" s="17" t="s">
        <v>15</v>
      </c>
      <c r="E812" s="17" t="s">
        <v>11</v>
      </c>
      <c r="F812" s="25">
        <v>1390</v>
      </c>
    </row>
    <row r="813" spans="2:6">
      <c r="B813" s="20">
        <v>39753</v>
      </c>
      <c r="C813" s="21" t="s">
        <v>19</v>
      </c>
      <c r="D813" s="22" t="s">
        <v>8</v>
      </c>
      <c r="E813" s="22" t="s">
        <v>14</v>
      </c>
      <c r="F813" s="23">
        <v>2511</v>
      </c>
    </row>
    <row r="814" spans="2:6">
      <c r="B814" s="15">
        <v>39753</v>
      </c>
      <c r="C814" s="16" t="s">
        <v>19</v>
      </c>
      <c r="D814" s="17" t="s">
        <v>8</v>
      </c>
      <c r="E814" s="17" t="s">
        <v>9</v>
      </c>
      <c r="F814" s="25">
        <v>1557</v>
      </c>
    </row>
    <row r="815" spans="2:6">
      <c r="B815" s="20">
        <v>39753</v>
      </c>
      <c r="C815" s="21" t="s">
        <v>19</v>
      </c>
      <c r="D815" s="22" t="s">
        <v>8</v>
      </c>
      <c r="E815" s="22" t="s">
        <v>11</v>
      </c>
      <c r="F815" s="23">
        <v>945</v>
      </c>
    </row>
    <row r="816" spans="2:6">
      <c r="B816" s="15">
        <v>39753</v>
      </c>
      <c r="C816" s="16" t="s">
        <v>19</v>
      </c>
      <c r="D816" s="17" t="s">
        <v>13</v>
      </c>
      <c r="E816" s="17" t="s">
        <v>14</v>
      </c>
      <c r="F816" s="25">
        <v>1098</v>
      </c>
    </row>
    <row r="817" spans="2:6">
      <c r="B817" s="20">
        <v>39753</v>
      </c>
      <c r="C817" s="21" t="s">
        <v>19</v>
      </c>
      <c r="D817" s="22" t="s">
        <v>13</v>
      </c>
      <c r="E817" s="22" t="s">
        <v>9</v>
      </c>
      <c r="F817" s="23">
        <v>1592</v>
      </c>
    </row>
    <row r="818" spans="2:6">
      <c r="B818" s="15">
        <v>39753</v>
      </c>
      <c r="C818" s="16" t="s">
        <v>19</v>
      </c>
      <c r="D818" s="17" t="s">
        <v>13</v>
      </c>
      <c r="E818" s="17" t="s">
        <v>11</v>
      </c>
      <c r="F818" s="25">
        <v>1098</v>
      </c>
    </row>
    <row r="819" spans="2:6">
      <c r="B819" s="20">
        <v>39753</v>
      </c>
      <c r="C819" s="21" t="s">
        <v>19</v>
      </c>
      <c r="D819" s="22" t="s">
        <v>15</v>
      </c>
      <c r="E819" s="22" t="s">
        <v>14</v>
      </c>
      <c r="F819" s="23">
        <v>1962</v>
      </c>
    </row>
    <row r="820" spans="2:6">
      <c r="B820" s="15">
        <v>39753</v>
      </c>
      <c r="C820" s="16" t="s">
        <v>19</v>
      </c>
      <c r="D820" s="17" t="s">
        <v>15</v>
      </c>
      <c r="E820" s="17" t="s">
        <v>9</v>
      </c>
      <c r="F820" s="25">
        <v>1016</v>
      </c>
    </row>
    <row r="821" spans="2:6">
      <c r="B821" s="20">
        <v>39753</v>
      </c>
      <c r="C821" s="21" t="s">
        <v>19</v>
      </c>
      <c r="D821" s="22" t="s">
        <v>15</v>
      </c>
      <c r="E821" s="22" t="s">
        <v>11</v>
      </c>
      <c r="F821" s="23">
        <v>1210</v>
      </c>
    </row>
    <row r="822" spans="2:6">
      <c r="B822" s="15">
        <v>39753</v>
      </c>
      <c r="C822" s="16" t="s">
        <v>21</v>
      </c>
      <c r="D822" s="17" t="s">
        <v>8</v>
      </c>
      <c r="E822" s="17" t="s">
        <v>14</v>
      </c>
      <c r="F822" s="25">
        <v>1305</v>
      </c>
    </row>
    <row r="823" spans="2:6">
      <c r="B823" s="20">
        <v>39753</v>
      </c>
      <c r="C823" s="21" t="s">
        <v>21</v>
      </c>
      <c r="D823" s="22" t="s">
        <v>8</v>
      </c>
      <c r="E823" s="22" t="s">
        <v>9</v>
      </c>
      <c r="F823" s="23">
        <v>1872</v>
      </c>
    </row>
    <row r="824" spans="2:6">
      <c r="B824" s="15">
        <v>39753</v>
      </c>
      <c r="C824" s="16" t="s">
        <v>21</v>
      </c>
      <c r="D824" s="17" t="s">
        <v>8</v>
      </c>
      <c r="E824" s="17" t="s">
        <v>11</v>
      </c>
      <c r="F824" s="25">
        <v>1032</v>
      </c>
    </row>
    <row r="825" spans="2:6">
      <c r="B825" s="20">
        <v>39753</v>
      </c>
      <c r="C825" s="21" t="s">
        <v>21</v>
      </c>
      <c r="D825" s="22" t="s">
        <v>13</v>
      </c>
      <c r="E825" s="22" t="s">
        <v>14</v>
      </c>
      <c r="F825" s="23">
        <v>1184</v>
      </c>
    </row>
    <row r="826" spans="2:6">
      <c r="B826" s="15">
        <v>39753</v>
      </c>
      <c r="C826" s="16" t="s">
        <v>21</v>
      </c>
      <c r="D826" s="17" t="s">
        <v>13</v>
      </c>
      <c r="E826" s="17" t="s">
        <v>9</v>
      </c>
      <c r="F826" s="25">
        <v>1430</v>
      </c>
    </row>
    <row r="827" spans="2:6">
      <c r="B827" s="20">
        <v>39753</v>
      </c>
      <c r="C827" s="21" t="s">
        <v>21</v>
      </c>
      <c r="D827" s="22" t="s">
        <v>13</v>
      </c>
      <c r="E827" s="22" t="s">
        <v>11</v>
      </c>
      <c r="F827" s="23">
        <v>2368</v>
      </c>
    </row>
    <row r="828" spans="2:6">
      <c r="B828" s="15">
        <v>39753</v>
      </c>
      <c r="C828" s="16" t="s">
        <v>21</v>
      </c>
      <c r="D828" s="17" t="s">
        <v>15</v>
      </c>
      <c r="E828" s="17" t="s">
        <v>14</v>
      </c>
      <c r="F828" s="25">
        <v>2540</v>
      </c>
    </row>
    <row r="829" spans="2:6">
      <c r="B829" s="20">
        <v>39753</v>
      </c>
      <c r="C829" s="21" t="s">
        <v>21</v>
      </c>
      <c r="D829" s="22" t="s">
        <v>15</v>
      </c>
      <c r="E829" s="22" t="s">
        <v>9</v>
      </c>
      <c r="F829" s="23">
        <v>994</v>
      </c>
    </row>
    <row r="830" spans="2:6">
      <c r="B830" s="15">
        <v>39753</v>
      </c>
      <c r="C830" s="16" t="s">
        <v>21</v>
      </c>
      <c r="D830" s="17" t="s">
        <v>15</v>
      </c>
      <c r="E830" s="17" t="s">
        <v>11</v>
      </c>
      <c r="F830" s="25">
        <v>1220</v>
      </c>
    </row>
    <row r="831" spans="2:6">
      <c r="B831" s="20">
        <v>39783</v>
      </c>
      <c r="C831" s="21" t="s">
        <v>7</v>
      </c>
      <c r="D831" s="22" t="s">
        <v>8</v>
      </c>
      <c r="E831" s="22" t="s">
        <v>14</v>
      </c>
      <c r="F831" s="23">
        <v>2016</v>
      </c>
    </row>
    <row r="832" spans="2:6">
      <c r="B832" s="15">
        <v>39783</v>
      </c>
      <c r="C832" s="16" t="s">
        <v>7</v>
      </c>
      <c r="D832" s="17" t="s">
        <v>8</v>
      </c>
      <c r="E832" s="17" t="s">
        <v>9</v>
      </c>
      <c r="F832" s="25">
        <v>1630</v>
      </c>
    </row>
    <row r="833" spans="2:6">
      <c r="B833" s="20">
        <v>39783</v>
      </c>
      <c r="C833" s="21" t="s">
        <v>7</v>
      </c>
      <c r="D833" s="22" t="s">
        <v>8</v>
      </c>
      <c r="E833" s="22" t="s">
        <v>11</v>
      </c>
      <c r="F833" s="23">
        <v>1180</v>
      </c>
    </row>
    <row r="834" spans="2:6">
      <c r="B834" s="15">
        <v>39783</v>
      </c>
      <c r="C834" s="16" t="s">
        <v>7</v>
      </c>
      <c r="D834" s="17" t="s">
        <v>13</v>
      </c>
      <c r="E834" s="17" t="s">
        <v>14</v>
      </c>
      <c r="F834" s="25">
        <v>1302</v>
      </c>
    </row>
    <row r="835" spans="2:6">
      <c r="B835" s="20">
        <v>39783</v>
      </c>
      <c r="C835" s="21" t="s">
        <v>7</v>
      </c>
      <c r="D835" s="22" t="s">
        <v>13</v>
      </c>
      <c r="E835" s="22" t="s">
        <v>9</v>
      </c>
      <c r="F835" s="23">
        <v>1730</v>
      </c>
    </row>
    <row r="836" spans="2:6">
      <c r="B836" s="15">
        <v>39783</v>
      </c>
      <c r="C836" s="16" t="s">
        <v>7</v>
      </c>
      <c r="D836" s="17" t="s">
        <v>13</v>
      </c>
      <c r="E836" s="17" t="s">
        <v>11</v>
      </c>
      <c r="F836" s="25">
        <v>2646</v>
      </c>
    </row>
    <row r="837" spans="2:6">
      <c r="B837" s="20">
        <v>39783</v>
      </c>
      <c r="C837" s="21" t="s">
        <v>7</v>
      </c>
      <c r="D837" s="22" t="s">
        <v>15</v>
      </c>
      <c r="E837" s="22" t="s">
        <v>14</v>
      </c>
      <c r="F837" s="23">
        <v>1190</v>
      </c>
    </row>
    <row r="838" spans="2:6">
      <c r="B838" s="15">
        <v>39783</v>
      </c>
      <c r="C838" s="16" t="s">
        <v>7</v>
      </c>
      <c r="D838" s="17" t="s">
        <v>15</v>
      </c>
      <c r="E838" s="17" t="s">
        <v>9</v>
      </c>
      <c r="F838" s="25">
        <v>2310</v>
      </c>
    </row>
    <row r="839" spans="2:6">
      <c r="B839" s="20">
        <v>39783</v>
      </c>
      <c r="C839" s="21" t="s">
        <v>7</v>
      </c>
      <c r="D839" s="22" t="s">
        <v>15</v>
      </c>
      <c r="E839" s="22" t="s">
        <v>11</v>
      </c>
      <c r="F839" s="23">
        <v>882</v>
      </c>
    </row>
    <row r="840" spans="2:6">
      <c r="B840" s="15">
        <v>39783</v>
      </c>
      <c r="C840" s="16" t="s">
        <v>12</v>
      </c>
      <c r="D840" s="17" t="s">
        <v>8</v>
      </c>
      <c r="E840" s="17" t="s">
        <v>14</v>
      </c>
      <c r="F840" s="25">
        <v>1776</v>
      </c>
    </row>
    <row r="841" spans="2:6">
      <c r="B841" s="20">
        <v>39783</v>
      </c>
      <c r="C841" s="21" t="s">
        <v>12</v>
      </c>
      <c r="D841" s="22" t="s">
        <v>8</v>
      </c>
      <c r="E841" s="22" t="s">
        <v>9</v>
      </c>
      <c r="F841" s="23">
        <v>2286</v>
      </c>
    </row>
    <row r="842" spans="2:6">
      <c r="B842" s="15">
        <v>39783</v>
      </c>
      <c r="C842" s="16" t="s">
        <v>12</v>
      </c>
      <c r="D842" s="17" t="s">
        <v>8</v>
      </c>
      <c r="E842" s="17" t="s">
        <v>11</v>
      </c>
      <c r="F842" s="25">
        <v>1206</v>
      </c>
    </row>
    <row r="843" spans="2:6">
      <c r="B843" s="20">
        <v>39783</v>
      </c>
      <c r="C843" s="21" t="s">
        <v>12</v>
      </c>
      <c r="D843" s="22" t="s">
        <v>13</v>
      </c>
      <c r="E843" s="22" t="s">
        <v>14</v>
      </c>
      <c r="F843" s="23">
        <v>945</v>
      </c>
    </row>
    <row r="844" spans="2:6">
      <c r="B844" s="15">
        <v>39783</v>
      </c>
      <c r="C844" s="16" t="s">
        <v>12</v>
      </c>
      <c r="D844" s="17" t="s">
        <v>13</v>
      </c>
      <c r="E844" s="17" t="s">
        <v>9</v>
      </c>
      <c r="F844" s="25">
        <v>1840</v>
      </c>
    </row>
    <row r="845" spans="2:6">
      <c r="B845" s="20">
        <v>39783</v>
      </c>
      <c r="C845" s="21" t="s">
        <v>12</v>
      </c>
      <c r="D845" s="22" t="s">
        <v>13</v>
      </c>
      <c r="E845" s="22" t="s">
        <v>11</v>
      </c>
      <c r="F845" s="23">
        <v>2250</v>
      </c>
    </row>
    <row r="846" spans="2:6">
      <c r="B846" s="15">
        <v>39783</v>
      </c>
      <c r="C846" s="16" t="s">
        <v>12</v>
      </c>
      <c r="D846" s="17" t="s">
        <v>15</v>
      </c>
      <c r="E846" s="17" t="s">
        <v>14</v>
      </c>
      <c r="F846" s="25">
        <v>2007</v>
      </c>
    </row>
    <row r="847" spans="2:6">
      <c r="B847" s="20">
        <v>39783</v>
      </c>
      <c r="C847" s="21" t="s">
        <v>12</v>
      </c>
      <c r="D847" s="22" t="s">
        <v>15</v>
      </c>
      <c r="E847" s="22" t="s">
        <v>9</v>
      </c>
      <c r="F847" s="23">
        <v>1976</v>
      </c>
    </row>
    <row r="848" spans="2:6">
      <c r="B848" s="15">
        <v>39783</v>
      </c>
      <c r="C848" s="16" t="s">
        <v>12</v>
      </c>
      <c r="D848" s="17" t="s">
        <v>15</v>
      </c>
      <c r="E848" s="17" t="s">
        <v>11</v>
      </c>
      <c r="F848" s="25">
        <v>1864</v>
      </c>
    </row>
    <row r="849" spans="2:6">
      <c r="B849" s="20">
        <v>39783</v>
      </c>
      <c r="C849" s="21" t="s">
        <v>19</v>
      </c>
      <c r="D849" s="22" t="s">
        <v>8</v>
      </c>
      <c r="E849" s="22" t="s">
        <v>14</v>
      </c>
      <c r="F849" s="23">
        <v>1988</v>
      </c>
    </row>
    <row r="850" spans="2:6">
      <c r="B850" s="15">
        <v>39783</v>
      </c>
      <c r="C850" s="16" t="s">
        <v>19</v>
      </c>
      <c r="D850" s="17" t="s">
        <v>8</v>
      </c>
      <c r="E850" s="17" t="s">
        <v>9</v>
      </c>
      <c r="F850" s="25">
        <v>1352</v>
      </c>
    </row>
    <row r="851" spans="2:6">
      <c r="B851" s="20">
        <v>39783</v>
      </c>
      <c r="C851" s="21" t="s">
        <v>19</v>
      </c>
      <c r="D851" s="22" t="s">
        <v>8</v>
      </c>
      <c r="E851" s="22" t="s">
        <v>11</v>
      </c>
      <c r="F851" s="23">
        <v>1020</v>
      </c>
    </row>
    <row r="852" spans="2:6">
      <c r="B852" s="15">
        <v>39783</v>
      </c>
      <c r="C852" s="16" t="s">
        <v>19</v>
      </c>
      <c r="D852" s="17" t="s">
        <v>13</v>
      </c>
      <c r="E852" s="17" t="s">
        <v>14</v>
      </c>
      <c r="F852" s="25">
        <v>2142</v>
      </c>
    </row>
    <row r="853" spans="2:6">
      <c r="B853" s="20">
        <v>39783</v>
      </c>
      <c r="C853" s="21" t="s">
        <v>19</v>
      </c>
      <c r="D853" s="22" t="s">
        <v>13</v>
      </c>
      <c r="E853" s="22" t="s">
        <v>9</v>
      </c>
      <c r="F853" s="23">
        <v>1638</v>
      </c>
    </row>
    <row r="854" spans="2:6">
      <c r="B854" s="15">
        <v>39783</v>
      </c>
      <c r="C854" s="16" t="s">
        <v>19</v>
      </c>
      <c r="D854" s="17" t="s">
        <v>13</v>
      </c>
      <c r="E854" s="17" t="s">
        <v>11</v>
      </c>
      <c r="F854" s="25">
        <v>1113</v>
      </c>
    </row>
    <row r="855" spans="2:6">
      <c r="B855" s="20">
        <v>39783</v>
      </c>
      <c r="C855" s="21" t="s">
        <v>19</v>
      </c>
      <c r="D855" s="22" t="s">
        <v>15</v>
      </c>
      <c r="E855" s="22" t="s">
        <v>14</v>
      </c>
      <c r="F855" s="23">
        <v>1784</v>
      </c>
    </row>
    <row r="856" spans="2:6">
      <c r="B856" s="15">
        <v>39783</v>
      </c>
      <c r="C856" s="16" t="s">
        <v>19</v>
      </c>
      <c r="D856" s="17" t="s">
        <v>15</v>
      </c>
      <c r="E856" s="17" t="s">
        <v>9</v>
      </c>
      <c r="F856" s="25">
        <v>2322</v>
      </c>
    </row>
    <row r="857" spans="2:6">
      <c r="B857" s="20">
        <v>39783</v>
      </c>
      <c r="C857" s="21" t="s">
        <v>19</v>
      </c>
      <c r="D857" s="22" t="s">
        <v>15</v>
      </c>
      <c r="E857" s="22" t="s">
        <v>11</v>
      </c>
      <c r="F857" s="23">
        <v>1302</v>
      </c>
    </row>
    <row r="858" spans="2:6">
      <c r="B858" s="15">
        <v>39783</v>
      </c>
      <c r="C858" s="16" t="s">
        <v>21</v>
      </c>
      <c r="D858" s="17" t="s">
        <v>8</v>
      </c>
      <c r="E858" s="17" t="s">
        <v>14</v>
      </c>
      <c r="F858" s="25">
        <v>900</v>
      </c>
    </row>
    <row r="859" spans="2:6">
      <c r="B859" s="20">
        <v>39783</v>
      </c>
      <c r="C859" s="21" t="s">
        <v>21</v>
      </c>
      <c r="D859" s="22" t="s">
        <v>8</v>
      </c>
      <c r="E859" s="22" t="s">
        <v>9</v>
      </c>
      <c r="F859" s="23">
        <v>1384</v>
      </c>
    </row>
    <row r="860" spans="2:6">
      <c r="B860" s="15">
        <v>39783</v>
      </c>
      <c r="C860" s="16" t="s">
        <v>21</v>
      </c>
      <c r="D860" s="17" t="s">
        <v>8</v>
      </c>
      <c r="E860" s="17" t="s">
        <v>11</v>
      </c>
      <c r="F860" s="25">
        <v>852</v>
      </c>
    </row>
    <row r="861" spans="2:6">
      <c r="B861" s="20">
        <v>39783</v>
      </c>
      <c r="C861" s="21" t="s">
        <v>21</v>
      </c>
      <c r="D861" s="22" t="s">
        <v>13</v>
      </c>
      <c r="E861" s="22" t="s">
        <v>14</v>
      </c>
      <c r="F861" s="23">
        <v>1168</v>
      </c>
    </row>
    <row r="862" spans="2:6">
      <c r="B862" s="15">
        <v>39783</v>
      </c>
      <c r="C862" s="16" t="s">
        <v>21</v>
      </c>
      <c r="D862" s="17" t="s">
        <v>13</v>
      </c>
      <c r="E862" s="17" t="s">
        <v>9</v>
      </c>
      <c r="F862" s="25">
        <v>1140</v>
      </c>
    </row>
    <row r="863" spans="2:6">
      <c r="B863" s="20">
        <v>39783</v>
      </c>
      <c r="C863" s="21" t="s">
        <v>21</v>
      </c>
      <c r="D863" s="22" t="s">
        <v>13</v>
      </c>
      <c r="E863" s="22" t="s">
        <v>11</v>
      </c>
      <c r="F863" s="23">
        <v>1250</v>
      </c>
    </row>
    <row r="864" spans="2:6">
      <c r="B864" s="15">
        <v>39783</v>
      </c>
      <c r="C864" s="16" t="s">
        <v>21</v>
      </c>
      <c r="D864" s="17" t="s">
        <v>15</v>
      </c>
      <c r="E864" s="17" t="s">
        <v>14</v>
      </c>
      <c r="F864" s="25">
        <v>2097</v>
      </c>
    </row>
    <row r="865" spans="2:6">
      <c r="B865" s="20">
        <v>39783</v>
      </c>
      <c r="C865" s="21" t="s">
        <v>21</v>
      </c>
      <c r="D865" s="22" t="s">
        <v>15</v>
      </c>
      <c r="E865" s="22" t="s">
        <v>9</v>
      </c>
      <c r="F865" s="23">
        <v>1729</v>
      </c>
    </row>
    <row r="866" spans="2:6">
      <c r="B866" s="15">
        <v>39783</v>
      </c>
      <c r="C866" s="16" t="s">
        <v>21</v>
      </c>
      <c r="D866" s="17" t="s">
        <v>15</v>
      </c>
      <c r="E866" s="17" t="s">
        <v>11</v>
      </c>
      <c r="F866" s="25">
        <v>1953</v>
      </c>
    </row>
    <row r="867" spans="2:6">
      <c r="B867" s="20">
        <v>39814</v>
      </c>
      <c r="C867" s="21" t="s">
        <v>7</v>
      </c>
      <c r="D867" s="22" t="s">
        <v>8</v>
      </c>
      <c r="E867" s="22" t="s">
        <v>14</v>
      </c>
      <c r="F867" s="23">
        <v>1560</v>
      </c>
    </row>
    <row r="868" spans="2:6">
      <c r="B868" s="15">
        <v>39814</v>
      </c>
      <c r="C868" s="16" t="s">
        <v>7</v>
      </c>
      <c r="D868" s="17" t="s">
        <v>8</v>
      </c>
      <c r="E868" s="17" t="s">
        <v>9</v>
      </c>
      <c r="F868" s="25">
        <v>2439</v>
      </c>
    </row>
    <row r="869" spans="2:6">
      <c r="B869" s="20">
        <v>39814</v>
      </c>
      <c r="C869" s="21" t="s">
        <v>7</v>
      </c>
      <c r="D869" s="22" t="s">
        <v>8</v>
      </c>
      <c r="E869" s="22" t="s">
        <v>11</v>
      </c>
      <c r="F869" s="23">
        <v>812</v>
      </c>
    </row>
    <row r="870" spans="2:6">
      <c r="B870" s="15">
        <v>39814</v>
      </c>
      <c r="C870" s="16" t="s">
        <v>7</v>
      </c>
      <c r="D870" s="17" t="s">
        <v>13</v>
      </c>
      <c r="E870" s="17" t="s">
        <v>14</v>
      </c>
      <c r="F870" s="25">
        <v>1164</v>
      </c>
    </row>
    <row r="871" spans="2:6">
      <c r="B871" s="20">
        <v>39814</v>
      </c>
      <c r="C871" s="21" t="s">
        <v>7</v>
      </c>
      <c r="D871" s="22" t="s">
        <v>13</v>
      </c>
      <c r="E871" s="22" t="s">
        <v>9</v>
      </c>
      <c r="F871" s="23">
        <v>1680</v>
      </c>
    </row>
    <row r="872" spans="2:6">
      <c r="B872" s="15">
        <v>39814</v>
      </c>
      <c r="C872" s="16" t="s">
        <v>7</v>
      </c>
      <c r="D872" s="17" t="s">
        <v>13</v>
      </c>
      <c r="E872" s="17" t="s">
        <v>11</v>
      </c>
      <c r="F872" s="25">
        <v>1736</v>
      </c>
    </row>
    <row r="873" spans="2:6">
      <c r="B873" s="20">
        <v>39814</v>
      </c>
      <c r="C873" s="21" t="s">
        <v>7</v>
      </c>
      <c r="D873" s="22" t="s">
        <v>15</v>
      </c>
      <c r="E873" s="22" t="s">
        <v>14</v>
      </c>
      <c r="F873" s="23">
        <v>1650</v>
      </c>
    </row>
    <row r="874" spans="2:6">
      <c r="B874" s="15">
        <v>39814</v>
      </c>
      <c r="C874" s="16" t="s">
        <v>7</v>
      </c>
      <c r="D874" s="17" t="s">
        <v>15</v>
      </c>
      <c r="E874" s="17" t="s">
        <v>9</v>
      </c>
      <c r="F874" s="25">
        <v>1980</v>
      </c>
    </row>
    <row r="875" spans="2:6">
      <c r="B875" s="20">
        <v>39814</v>
      </c>
      <c r="C875" s="21" t="s">
        <v>7</v>
      </c>
      <c r="D875" s="22" t="s">
        <v>15</v>
      </c>
      <c r="E875" s="22" t="s">
        <v>11</v>
      </c>
      <c r="F875" s="23">
        <v>1770</v>
      </c>
    </row>
    <row r="876" spans="2:6">
      <c r="B876" s="15">
        <v>39814</v>
      </c>
      <c r="C876" s="16" t="s">
        <v>12</v>
      </c>
      <c r="D876" s="17" t="s">
        <v>8</v>
      </c>
      <c r="E876" s="17" t="s">
        <v>14</v>
      </c>
      <c r="F876" s="25">
        <v>1799</v>
      </c>
    </row>
    <row r="877" spans="2:6">
      <c r="B877" s="20">
        <v>39814</v>
      </c>
      <c r="C877" s="21" t="s">
        <v>12</v>
      </c>
      <c r="D877" s="22" t="s">
        <v>8</v>
      </c>
      <c r="E877" s="22" t="s">
        <v>9</v>
      </c>
      <c r="F877" s="23">
        <v>1155</v>
      </c>
    </row>
    <row r="878" spans="2:6">
      <c r="B878" s="15">
        <v>39814</v>
      </c>
      <c r="C878" s="16" t="s">
        <v>12</v>
      </c>
      <c r="D878" s="17" t="s">
        <v>8</v>
      </c>
      <c r="E878" s="17" t="s">
        <v>11</v>
      </c>
      <c r="F878" s="25">
        <v>2178</v>
      </c>
    </row>
    <row r="879" spans="2:6">
      <c r="B879" s="20">
        <v>39814</v>
      </c>
      <c r="C879" s="21" t="s">
        <v>12</v>
      </c>
      <c r="D879" s="22" t="s">
        <v>13</v>
      </c>
      <c r="E879" s="22" t="s">
        <v>14</v>
      </c>
      <c r="F879" s="23">
        <v>1330</v>
      </c>
    </row>
    <row r="880" spans="2:6">
      <c r="B880" s="15">
        <v>39814</v>
      </c>
      <c r="C880" s="16" t="s">
        <v>12</v>
      </c>
      <c r="D880" s="17" t="s">
        <v>13</v>
      </c>
      <c r="E880" s="17" t="s">
        <v>9</v>
      </c>
      <c r="F880" s="25">
        <v>1413</v>
      </c>
    </row>
    <row r="881" spans="2:6">
      <c r="B881" s="20">
        <v>39814</v>
      </c>
      <c r="C881" s="21" t="s">
        <v>12</v>
      </c>
      <c r="D881" s="22" t="s">
        <v>13</v>
      </c>
      <c r="E881" s="22" t="s">
        <v>11</v>
      </c>
      <c r="F881" s="23">
        <v>896</v>
      </c>
    </row>
    <row r="882" spans="2:6">
      <c r="B882" s="15">
        <v>39814</v>
      </c>
      <c r="C882" s="16" t="s">
        <v>12</v>
      </c>
      <c r="D882" s="17" t="s">
        <v>15</v>
      </c>
      <c r="E882" s="17" t="s">
        <v>14</v>
      </c>
      <c r="F882" s="25">
        <v>2072</v>
      </c>
    </row>
    <row r="883" spans="2:6">
      <c r="B883" s="20">
        <v>39814</v>
      </c>
      <c r="C883" s="21" t="s">
        <v>12</v>
      </c>
      <c r="D883" s="22" t="s">
        <v>15</v>
      </c>
      <c r="E883" s="22" t="s">
        <v>9</v>
      </c>
      <c r="F883" s="23">
        <v>2034</v>
      </c>
    </row>
    <row r="884" spans="2:6">
      <c r="B884" s="15">
        <v>39814</v>
      </c>
      <c r="C884" s="16" t="s">
        <v>12</v>
      </c>
      <c r="D884" s="17" t="s">
        <v>15</v>
      </c>
      <c r="E884" s="17" t="s">
        <v>11</v>
      </c>
      <c r="F884" s="25">
        <v>1430</v>
      </c>
    </row>
    <row r="885" spans="2:6">
      <c r="B885" s="20">
        <v>39814</v>
      </c>
      <c r="C885" s="21" t="s">
        <v>19</v>
      </c>
      <c r="D885" s="22" t="s">
        <v>8</v>
      </c>
      <c r="E885" s="22" t="s">
        <v>14</v>
      </c>
      <c r="F885" s="23">
        <v>1242</v>
      </c>
    </row>
    <row r="886" spans="2:6">
      <c r="B886" s="15">
        <v>39814</v>
      </c>
      <c r="C886" s="16" t="s">
        <v>19</v>
      </c>
      <c r="D886" s="17" t="s">
        <v>8</v>
      </c>
      <c r="E886" s="17" t="s">
        <v>9</v>
      </c>
      <c r="F886" s="25">
        <v>1024</v>
      </c>
    </row>
    <row r="887" spans="2:6">
      <c r="B887" s="20">
        <v>39814</v>
      </c>
      <c r="C887" s="21" t="s">
        <v>19</v>
      </c>
      <c r="D887" s="22" t="s">
        <v>8</v>
      </c>
      <c r="E887" s="22" t="s">
        <v>11</v>
      </c>
      <c r="F887" s="23">
        <v>2232</v>
      </c>
    </row>
    <row r="888" spans="2:6">
      <c r="B888" s="15">
        <v>39814</v>
      </c>
      <c r="C888" s="16" t="s">
        <v>19</v>
      </c>
      <c r="D888" s="17" t="s">
        <v>13</v>
      </c>
      <c r="E888" s="17" t="s">
        <v>14</v>
      </c>
      <c r="F888" s="25">
        <v>1048</v>
      </c>
    </row>
    <row r="889" spans="2:6">
      <c r="B889" s="20">
        <v>39814</v>
      </c>
      <c r="C889" s="21" t="s">
        <v>19</v>
      </c>
      <c r="D889" s="22" t="s">
        <v>13</v>
      </c>
      <c r="E889" s="22" t="s">
        <v>9</v>
      </c>
      <c r="F889" s="23">
        <v>1110</v>
      </c>
    </row>
    <row r="890" spans="2:6">
      <c r="B890" s="15">
        <v>39814</v>
      </c>
      <c r="C890" s="16" t="s">
        <v>19</v>
      </c>
      <c r="D890" s="17" t="s">
        <v>13</v>
      </c>
      <c r="E890" s="17" t="s">
        <v>11</v>
      </c>
      <c r="F890" s="25">
        <v>1136</v>
      </c>
    </row>
    <row r="891" spans="2:6">
      <c r="B891" s="20">
        <v>39814</v>
      </c>
      <c r="C891" s="21" t="s">
        <v>19</v>
      </c>
      <c r="D891" s="22" t="s">
        <v>15</v>
      </c>
      <c r="E891" s="22" t="s">
        <v>14</v>
      </c>
      <c r="F891" s="23">
        <v>2440</v>
      </c>
    </row>
    <row r="892" spans="2:6">
      <c r="B892" s="15">
        <v>39814</v>
      </c>
      <c r="C892" s="16" t="s">
        <v>19</v>
      </c>
      <c r="D892" s="17" t="s">
        <v>15</v>
      </c>
      <c r="E892" s="17" t="s">
        <v>9</v>
      </c>
      <c r="F892" s="25">
        <v>2216</v>
      </c>
    </row>
    <row r="893" spans="2:6">
      <c r="B893" s="20">
        <v>39814</v>
      </c>
      <c r="C893" s="21" t="s">
        <v>19</v>
      </c>
      <c r="D893" s="22" t="s">
        <v>15</v>
      </c>
      <c r="E893" s="22" t="s">
        <v>11</v>
      </c>
      <c r="F893" s="23">
        <v>1484</v>
      </c>
    </row>
    <row r="894" spans="2:6">
      <c r="B894" s="15">
        <v>39814</v>
      </c>
      <c r="C894" s="16" t="s">
        <v>21</v>
      </c>
      <c r="D894" s="17" t="s">
        <v>8</v>
      </c>
      <c r="E894" s="17" t="s">
        <v>14</v>
      </c>
      <c r="F894" s="25">
        <v>1032</v>
      </c>
    </row>
    <row r="895" spans="2:6">
      <c r="B895" s="20">
        <v>39814</v>
      </c>
      <c r="C895" s="21" t="s">
        <v>21</v>
      </c>
      <c r="D895" s="22" t="s">
        <v>8</v>
      </c>
      <c r="E895" s="22" t="s">
        <v>9</v>
      </c>
      <c r="F895" s="23">
        <v>1820</v>
      </c>
    </row>
    <row r="896" spans="2:6">
      <c r="B896" s="15">
        <v>39814</v>
      </c>
      <c r="C896" s="16" t="s">
        <v>21</v>
      </c>
      <c r="D896" s="17" t="s">
        <v>8</v>
      </c>
      <c r="E896" s="17" t="s">
        <v>11</v>
      </c>
      <c r="F896" s="25">
        <v>1560</v>
      </c>
    </row>
    <row r="897" spans="2:6">
      <c r="B897" s="20">
        <v>39814</v>
      </c>
      <c r="C897" s="21" t="s">
        <v>21</v>
      </c>
      <c r="D897" s="22" t="s">
        <v>13</v>
      </c>
      <c r="E897" s="22" t="s">
        <v>14</v>
      </c>
      <c r="F897" s="23">
        <v>2040</v>
      </c>
    </row>
    <row r="898" spans="2:6">
      <c r="B898" s="15">
        <v>39814</v>
      </c>
      <c r="C898" s="16" t="s">
        <v>21</v>
      </c>
      <c r="D898" s="17" t="s">
        <v>13</v>
      </c>
      <c r="E898" s="17" t="s">
        <v>9</v>
      </c>
      <c r="F898" s="25">
        <v>1740</v>
      </c>
    </row>
    <row r="899" spans="2:6">
      <c r="B899" s="20">
        <v>39814</v>
      </c>
      <c r="C899" s="21" t="s">
        <v>21</v>
      </c>
      <c r="D899" s="22" t="s">
        <v>13</v>
      </c>
      <c r="E899" s="22" t="s">
        <v>11</v>
      </c>
      <c r="F899" s="23">
        <v>636</v>
      </c>
    </row>
    <row r="900" spans="2:6">
      <c r="B900" s="15">
        <v>39814</v>
      </c>
      <c r="C900" s="16" t="s">
        <v>21</v>
      </c>
      <c r="D900" s="17" t="s">
        <v>15</v>
      </c>
      <c r="E900" s="17" t="s">
        <v>14</v>
      </c>
      <c r="F900" s="25">
        <v>2358</v>
      </c>
    </row>
    <row r="901" spans="2:6">
      <c r="B901" s="20">
        <v>39814</v>
      </c>
      <c r="C901" s="21" t="s">
        <v>21</v>
      </c>
      <c r="D901" s="22" t="s">
        <v>15</v>
      </c>
      <c r="E901" s="22" t="s">
        <v>9</v>
      </c>
      <c r="F901" s="23">
        <v>1470</v>
      </c>
    </row>
    <row r="902" spans="2:6">
      <c r="B902" s="15">
        <v>39814</v>
      </c>
      <c r="C902" s="16" t="s">
        <v>21</v>
      </c>
      <c r="D902" s="17" t="s">
        <v>15</v>
      </c>
      <c r="E902" s="17" t="s">
        <v>11</v>
      </c>
      <c r="F902" s="25">
        <v>1053</v>
      </c>
    </row>
    <row r="903" spans="2:6">
      <c r="B903" s="20">
        <v>39845</v>
      </c>
      <c r="C903" s="21" t="s">
        <v>7</v>
      </c>
      <c r="D903" s="22" t="s">
        <v>8</v>
      </c>
      <c r="E903" s="22" t="s">
        <v>14</v>
      </c>
      <c r="F903" s="23">
        <v>1200</v>
      </c>
    </row>
    <row r="904" spans="2:6">
      <c r="B904" s="15">
        <v>39845</v>
      </c>
      <c r="C904" s="16" t="s">
        <v>7</v>
      </c>
      <c r="D904" s="17" t="s">
        <v>8</v>
      </c>
      <c r="E904" s="17" t="s">
        <v>9</v>
      </c>
      <c r="F904" s="25">
        <v>1980</v>
      </c>
    </row>
    <row r="905" spans="2:6">
      <c r="B905" s="20">
        <v>39845</v>
      </c>
      <c r="C905" s="21" t="s">
        <v>7</v>
      </c>
      <c r="D905" s="22" t="s">
        <v>8</v>
      </c>
      <c r="E905" s="22" t="s">
        <v>11</v>
      </c>
      <c r="F905" s="23">
        <v>1548</v>
      </c>
    </row>
    <row r="906" spans="2:6">
      <c r="B906" s="15">
        <v>39845</v>
      </c>
      <c r="C906" s="16" t="s">
        <v>7</v>
      </c>
      <c r="D906" s="17" t="s">
        <v>13</v>
      </c>
      <c r="E906" s="17" t="s">
        <v>14</v>
      </c>
      <c r="F906" s="25">
        <v>1278</v>
      </c>
    </row>
    <row r="907" spans="2:6">
      <c r="B907" s="20">
        <v>39845</v>
      </c>
      <c r="C907" s="21" t="s">
        <v>7</v>
      </c>
      <c r="D907" s="22" t="s">
        <v>13</v>
      </c>
      <c r="E907" s="22" t="s">
        <v>9</v>
      </c>
      <c r="F907" s="23">
        <v>1162</v>
      </c>
    </row>
    <row r="908" spans="2:6">
      <c r="B908" s="15">
        <v>39845</v>
      </c>
      <c r="C908" s="16" t="s">
        <v>7</v>
      </c>
      <c r="D908" s="17" t="s">
        <v>13</v>
      </c>
      <c r="E908" s="17" t="s">
        <v>11</v>
      </c>
      <c r="F908" s="25">
        <v>1638</v>
      </c>
    </row>
    <row r="909" spans="2:6">
      <c r="B909" s="20">
        <v>39845</v>
      </c>
      <c r="C909" s="21" t="s">
        <v>7</v>
      </c>
      <c r="D909" s="22" t="s">
        <v>15</v>
      </c>
      <c r="E909" s="22" t="s">
        <v>14</v>
      </c>
      <c r="F909" s="23">
        <v>2140</v>
      </c>
    </row>
    <row r="910" spans="2:6">
      <c r="B910" s="15">
        <v>39845</v>
      </c>
      <c r="C910" s="16" t="s">
        <v>7</v>
      </c>
      <c r="D910" s="17" t="s">
        <v>15</v>
      </c>
      <c r="E910" s="17" t="s">
        <v>9</v>
      </c>
      <c r="F910" s="25">
        <v>1813</v>
      </c>
    </row>
    <row r="911" spans="2:6">
      <c r="B911" s="20">
        <v>39845</v>
      </c>
      <c r="C911" s="21" t="s">
        <v>7</v>
      </c>
      <c r="D911" s="22" t="s">
        <v>15</v>
      </c>
      <c r="E911" s="22" t="s">
        <v>11</v>
      </c>
      <c r="F911" s="23">
        <v>1890</v>
      </c>
    </row>
    <row r="912" spans="2:6">
      <c r="B912" s="15">
        <v>39845</v>
      </c>
      <c r="C912" s="16" t="s">
        <v>12</v>
      </c>
      <c r="D912" s="17" t="s">
        <v>8</v>
      </c>
      <c r="E912" s="17" t="s">
        <v>14</v>
      </c>
      <c r="F912" s="25">
        <v>1113</v>
      </c>
    </row>
    <row r="913" spans="2:6">
      <c r="B913" s="20">
        <v>39845</v>
      </c>
      <c r="C913" s="21" t="s">
        <v>12</v>
      </c>
      <c r="D913" s="22" t="s">
        <v>8</v>
      </c>
      <c r="E913" s="22" t="s">
        <v>9</v>
      </c>
      <c r="F913" s="23">
        <v>2850</v>
      </c>
    </row>
    <row r="914" spans="2:6">
      <c r="B914" s="15">
        <v>39845</v>
      </c>
      <c r="C914" s="16" t="s">
        <v>12</v>
      </c>
      <c r="D914" s="17" t="s">
        <v>8</v>
      </c>
      <c r="E914" s="17" t="s">
        <v>11</v>
      </c>
      <c r="F914" s="25">
        <v>1827</v>
      </c>
    </row>
    <row r="915" spans="2:6">
      <c r="B915" s="20">
        <v>39845</v>
      </c>
      <c r="C915" s="21" t="s">
        <v>12</v>
      </c>
      <c r="D915" s="22" t="s">
        <v>13</v>
      </c>
      <c r="E915" s="22" t="s">
        <v>14</v>
      </c>
      <c r="F915" s="23">
        <v>2900</v>
      </c>
    </row>
    <row r="916" spans="2:6">
      <c r="B916" s="15">
        <v>39845</v>
      </c>
      <c r="C916" s="16" t="s">
        <v>12</v>
      </c>
      <c r="D916" s="17" t="s">
        <v>13</v>
      </c>
      <c r="E916" s="17" t="s">
        <v>9</v>
      </c>
      <c r="F916" s="25">
        <v>1112</v>
      </c>
    </row>
    <row r="917" spans="2:6">
      <c r="B917" s="20">
        <v>39845</v>
      </c>
      <c r="C917" s="21" t="s">
        <v>12</v>
      </c>
      <c r="D917" s="22" t="s">
        <v>13</v>
      </c>
      <c r="E917" s="22" t="s">
        <v>11</v>
      </c>
      <c r="F917" s="23">
        <v>2043</v>
      </c>
    </row>
    <row r="918" spans="2:6">
      <c r="B918" s="15">
        <v>39845</v>
      </c>
      <c r="C918" s="16" t="s">
        <v>12</v>
      </c>
      <c r="D918" s="17" t="s">
        <v>15</v>
      </c>
      <c r="E918" s="17" t="s">
        <v>14</v>
      </c>
      <c r="F918" s="25">
        <v>768</v>
      </c>
    </row>
    <row r="919" spans="2:6">
      <c r="B919" s="20">
        <v>39845</v>
      </c>
      <c r="C919" s="21" t="s">
        <v>12</v>
      </c>
      <c r="D919" s="22" t="s">
        <v>15</v>
      </c>
      <c r="E919" s="22" t="s">
        <v>9</v>
      </c>
      <c r="F919" s="23">
        <v>882</v>
      </c>
    </row>
    <row r="920" spans="2:6">
      <c r="B920" s="15">
        <v>39845</v>
      </c>
      <c r="C920" s="16" t="s">
        <v>12</v>
      </c>
      <c r="D920" s="17" t="s">
        <v>15</v>
      </c>
      <c r="E920" s="17" t="s">
        <v>11</v>
      </c>
      <c r="F920" s="25">
        <v>1773</v>
      </c>
    </row>
    <row r="921" spans="2:6">
      <c r="B921" s="20">
        <v>39845</v>
      </c>
      <c r="C921" s="21" t="s">
        <v>19</v>
      </c>
      <c r="D921" s="22" t="s">
        <v>8</v>
      </c>
      <c r="E921" s="22" t="s">
        <v>14</v>
      </c>
      <c r="F921" s="23">
        <v>1888</v>
      </c>
    </row>
    <row r="922" spans="2:6">
      <c r="B922" s="15">
        <v>39845</v>
      </c>
      <c r="C922" s="16" t="s">
        <v>19</v>
      </c>
      <c r="D922" s="17" t="s">
        <v>8</v>
      </c>
      <c r="E922" s="17" t="s">
        <v>9</v>
      </c>
      <c r="F922" s="25">
        <v>2100</v>
      </c>
    </row>
    <row r="923" spans="2:6">
      <c r="B923" s="20">
        <v>39845</v>
      </c>
      <c r="C923" s="21" t="s">
        <v>19</v>
      </c>
      <c r="D923" s="22" t="s">
        <v>8</v>
      </c>
      <c r="E923" s="22" t="s">
        <v>11</v>
      </c>
      <c r="F923" s="23">
        <v>1660</v>
      </c>
    </row>
    <row r="924" spans="2:6">
      <c r="B924" s="15">
        <v>39845</v>
      </c>
      <c r="C924" s="16" t="s">
        <v>19</v>
      </c>
      <c r="D924" s="17" t="s">
        <v>13</v>
      </c>
      <c r="E924" s="17" t="s">
        <v>14</v>
      </c>
      <c r="F924" s="25">
        <v>1197</v>
      </c>
    </row>
    <row r="925" spans="2:6">
      <c r="B925" s="20">
        <v>39845</v>
      </c>
      <c r="C925" s="21" t="s">
        <v>19</v>
      </c>
      <c r="D925" s="22" t="s">
        <v>13</v>
      </c>
      <c r="E925" s="22" t="s">
        <v>9</v>
      </c>
      <c r="F925" s="23">
        <v>1350</v>
      </c>
    </row>
    <row r="926" spans="2:6">
      <c r="B926" s="15">
        <v>39845</v>
      </c>
      <c r="C926" s="16" t="s">
        <v>19</v>
      </c>
      <c r="D926" s="17" t="s">
        <v>13</v>
      </c>
      <c r="E926" s="17" t="s">
        <v>11</v>
      </c>
      <c r="F926" s="25">
        <v>2296</v>
      </c>
    </row>
    <row r="927" spans="2:6">
      <c r="B927" s="20">
        <v>39845</v>
      </c>
      <c r="C927" s="21" t="s">
        <v>19</v>
      </c>
      <c r="D927" s="22" t="s">
        <v>15</v>
      </c>
      <c r="E927" s="22" t="s">
        <v>14</v>
      </c>
      <c r="F927" s="23">
        <v>1470</v>
      </c>
    </row>
    <row r="928" spans="2:6">
      <c r="B928" s="15">
        <v>39845</v>
      </c>
      <c r="C928" s="16" t="s">
        <v>19</v>
      </c>
      <c r="D928" s="17" t="s">
        <v>15</v>
      </c>
      <c r="E928" s="17" t="s">
        <v>9</v>
      </c>
      <c r="F928" s="25">
        <v>2169</v>
      </c>
    </row>
    <row r="929" spans="2:6">
      <c r="B929" s="20">
        <v>39845</v>
      </c>
      <c r="C929" s="21" t="s">
        <v>19</v>
      </c>
      <c r="D929" s="22" t="s">
        <v>15</v>
      </c>
      <c r="E929" s="22" t="s">
        <v>11</v>
      </c>
      <c r="F929" s="23">
        <v>1008</v>
      </c>
    </row>
    <row r="930" spans="2:6">
      <c r="B930" s="15">
        <v>39845</v>
      </c>
      <c r="C930" s="16" t="s">
        <v>21</v>
      </c>
      <c r="D930" s="17" t="s">
        <v>8</v>
      </c>
      <c r="E930" s="17" t="s">
        <v>14</v>
      </c>
      <c r="F930" s="25">
        <v>1407</v>
      </c>
    </row>
    <row r="931" spans="2:6">
      <c r="B931" s="20">
        <v>39845</v>
      </c>
      <c r="C931" s="21" t="s">
        <v>21</v>
      </c>
      <c r="D931" s="22" t="s">
        <v>8</v>
      </c>
      <c r="E931" s="22" t="s">
        <v>9</v>
      </c>
      <c r="F931" s="23">
        <v>1785</v>
      </c>
    </row>
    <row r="932" spans="2:6">
      <c r="B932" s="15">
        <v>39845</v>
      </c>
      <c r="C932" s="16" t="s">
        <v>21</v>
      </c>
      <c r="D932" s="17" t="s">
        <v>8</v>
      </c>
      <c r="E932" s="17" t="s">
        <v>11</v>
      </c>
      <c r="F932" s="25">
        <v>1206</v>
      </c>
    </row>
    <row r="933" spans="2:6">
      <c r="B933" s="20">
        <v>39845</v>
      </c>
      <c r="C933" s="21" t="s">
        <v>21</v>
      </c>
      <c r="D933" s="22" t="s">
        <v>13</v>
      </c>
      <c r="E933" s="22" t="s">
        <v>14</v>
      </c>
      <c r="F933" s="23">
        <v>2312</v>
      </c>
    </row>
    <row r="934" spans="2:6">
      <c r="B934" s="15">
        <v>39845</v>
      </c>
      <c r="C934" s="16" t="s">
        <v>21</v>
      </c>
      <c r="D934" s="17" t="s">
        <v>13</v>
      </c>
      <c r="E934" s="17" t="s">
        <v>9</v>
      </c>
      <c r="F934" s="25">
        <v>1179</v>
      </c>
    </row>
    <row r="935" spans="2:6">
      <c r="B935" s="20">
        <v>39845</v>
      </c>
      <c r="C935" s="21" t="s">
        <v>21</v>
      </c>
      <c r="D935" s="22" t="s">
        <v>13</v>
      </c>
      <c r="E935" s="22" t="s">
        <v>11</v>
      </c>
      <c r="F935" s="23">
        <v>1280</v>
      </c>
    </row>
    <row r="936" spans="2:6">
      <c r="B936" s="15">
        <v>39845</v>
      </c>
      <c r="C936" s="16" t="s">
        <v>21</v>
      </c>
      <c r="D936" s="17" t="s">
        <v>15</v>
      </c>
      <c r="E936" s="17" t="s">
        <v>14</v>
      </c>
      <c r="F936" s="25">
        <v>1278</v>
      </c>
    </row>
    <row r="937" spans="2:6">
      <c r="B937" s="20">
        <v>39845</v>
      </c>
      <c r="C937" s="21" t="s">
        <v>21</v>
      </c>
      <c r="D937" s="22" t="s">
        <v>15</v>
      </c>
      <c r="E937" s="22" t="s">
        <v>9</v>
      </c>
      <c r="F937" s="23">
        <v>1064</v>
      </c>
    </row>
    <row r="938" spans="2:6">
      <c r="B938" s="15">
        <v>39845</v>
      </c>
      <c r="C938" s="16" t="s">
        <v>21</v>
      </c>
      <c r="D938" s="17" t="s">
        <v>15</v>
      </c>
      <c r="E938" s="17" t="s">
        <v>11</v>
      </c>
      <c r="F938" s="25">
        <v>2250</v>
      </c>
    </row>
    <row r="939" spans="2:6">
      <c r="B939" s="20">
        <v>39873</v>
      </c>
      <c r="C939" s="21" t="s">
        <v>7</v>
      </c>
      <c r="D939" s="22" t="s">
        <v>8</v>
      </c>
      <c r="E939" s="22" t="s">
        <v>14</v>
      </c>
      <c r="F939" s="23">
        <v>2151</v>
      </c>
    </row>
    <row r="940" spans="2:6">
      <c r="B940" s="15">
        <v>39873</v>
      </c>
      <c r="C940" s="16" t="s">
        <v>7</v>
      </c>
      <c r="D940" s="17" t="s">
        <v>8</v>
      </c>
      <c r="E940" s="17" t="s">
        <v>9</v>
      </c>
      <c r="F940" s="25">
        <v>2392</v>
      </c>
    </row>
    <row r="941" spans="2:6">
      <c r="B941" s="20">
        <v>39873</v>
      </c>
      <c r="C941" s="21" t="s">
        <v>7</v>
      </c>
      <c r="D941" s="22" t="s">
        <v>8</v>
      </c>
      <c r="E941" s="22" t="s">
        <v>11</v>
      </c>
      <c r="F941" s="23">
        <v>870</v>
      </c>
    </row>
    <row r="942" spans="2:6">
      <c r="B942" s="15">
        <v>39873</v>
      </c>
      <c r="C942" s="16" t="s">
        <v>7</v>
      </c>
      <c r="D942" s="17" t="s">
        <v>13</v>
      </c>
      <c r="E942" s="17" t="s">
        <v>14</v>
      </c>
      <c r="F942" s="25">
        <v>846</v>
      </c>
    </row>
    <row r="943" spans="2:6">
      <c r="B943" s="20">
        <v>39873</v>
      </c>
      <c r="C943" s="21" t="s">
        <v>7</v>
      </c>
      <c r="D943" s="22" t="s">
        <v>13</v>
      </c>
      <c r="E943" s="22" t="s">
        <v>9</v>
      </c>
      <c r="F943" s="23">
        <v>1032</v>
      </c>
    </row>
    <row r="944" spans="2:6">
      <c r="B944" s="15">
        <v>39873</v>
      </c>
      <c r="C944" s="16" t="s">
        <v>7</v>
      </c>
      <c r="D944" s="17" t="s">
        <v>13</v>
      </c>
      <c r="E944" s="17" t="s">
        <v>11</v>
      </c>
      <c r="F944" s="25">
        <v>1490</v>
      </c>
    </row>
    <row r="945" spans="2:6">
      <c r="B945" s="20">
        <v>39873</v>
      </c>
      <c r="C945" s="21" t="s">
        <v>7</v>
      </c>
      <c r="D945" s="22" t="s">
        <v>15</v>
      </c>
      <c r="E945" s="22" t="s">
        <v>14</v>
      </c>
      <c r="F945" s="23">
        <v>1872</v>
      </c>
    </row>
    <row r="946" spans="2:6">
      <c r="B946" s="15">
        <v>39873</v>
      </c>
      <c r="C946" s="16" t="s">
        <v>7</v>
      </c>
      <c r="D946" s="17" t="s">
        <v>15</v>
      </c>
      <c r="E946" s="17" t="s">
        <v>9</v>
      </c>
      <c r="F946" s="25">
        <v>2530</v>
      </c>
    </row>
    <row r="947" spans="2:6">
      <c r="B947" s="20">
        <v>39873</v>
      </c>
      <c r="C947" s="21" t="s">
        <v>7</v>
      </c>
      <c r="D947" s="22" t="s">
        <v>15</v>
      </c>
      <c r="E947" s="22" t="s">
        <v>11</v>
      </c>
      <c r="F947" s="23">
        <v>660</v>
      </c>
    </row>
    <row r="948" spans="2:6">
      <c r="B948" s="15">
        <v>39873</v>
      </c>
      <c r="C948" s="16" t="s">
        <v>12</v>
      </c>
      <c r="D948" s="17" t="s">
        <v>8</v>
      </c>
      <c r="E948" s="17" t="s">
        <v>14</v>
      </c>
      <c r="F948" s="25">
        <v>2020</v>
      </c>
    </row>
    <row r="949" spans="2:6">
      <c r="B949" s="20">
        <v>39873</v>
      </c>
      <c r="C949" s="21" t="s">
        <v>12</v>
      </c>
      <c r="D949" s="22" t="s">
        <v>8</v>
      </c>
      <c r="E949" s="22" t="s">
        <v>9</v>
      </c>
      <c r="F949" s="23">
        <v>2070</v>
      </c>
    </row>
    <row r="950" spans="2:6">
      <c r="B950" s="15">
        <v>39873</v>
      </c>
      <c r="C950" s="16" t="s">
        <v>12</v>
      </c>
      <c r="D950" s="17" t="s">
        <v>8</v>
      </c>
      <c r="E950" s="17" t="s">
        <v>11</v>
      </c>
      <c r="F950" s="25">
        <v>2277</v>
      </c>
    </row>
    <row r="951" spans="2:6">
      <c r="B951" s="20">
        <v>39873</v>
      </c>
      <c r="C951" s="21" t="s">
        <v>12</v>
      </c>
      <c r="D951" s="22" t="s">
        <v>13</v>
      </c>
      <c r="E951" s="22" t="s">
        <v>14</v>
      </c>
      <c r="F951" s="23">
        <v>642</v>
      </c>
    </row>
    <row r="952" spans="2:6">
      <c r="B952" s="15">
        <v>39873</v>
      </c>
      <c r="C952" s="16" t="s">
        <v>12</v>
      </c>
      <c r="D952" s="17" t="s">
        <v>13</v>
      </c>
      <c r="E952" s="17" t="s">
        <v>9</v>
      </c>
      <c r="F952" s="25">
        <v>1448</v>
      </c>
    </row>
    <row r="953" spans="2:6">
      <c r="B953" s="20">
        <v>39873</v>
      </c>
      <c r="C953" s="21" t="s">
        <v>12</v>
      </c>
      <c r="D953" s="22" t="s">
        <v>13</v>
      </c>
      <c r="E953" s="22" t="s">
        <v>11</v>
      </c>
      <c r="F953" s="23">
        <v>1014</v>
      </c>
    </row>
    <row r="954" spans="2:6">
      <c r="B954" s="15">
        <v>39873</v>
      </c>
      <c r="C954" s="16" t="s">
        <v>12</v>
      </c>
      <c r="D954" s="17" t="s">
        <v>15</v>
      </c>
      <c r="E954" s="17" t="s">
        <v>14</v>
      </c>
      <c r="F954" s="25">
        <v>2502</v>
      </c>
    </row>
    <row r="955" spans="2:6">
      <c r="B955" s="20">
        <v>39873</v>
      </c>
      <c r="C955" s="21" t="s">
        <v>12</v>
      </c>
      <c r="D955" s="22" t="s">
        <v>15</v>
      </c>
      <c r="E955" s="22" t="s">
        <v>9</v>
      </c>
      <c r="F955" s="23">
        <v>1422</v>
      </c>
    </row>
    <row r="956" spans="2:6">
      <c r="B956" s="15">
        <v>39873</v>
      </c>
      <c r="C956" s="16" t="s">
        <v>12</v>
      </c>
      <c r="D956" s="17" t="s">
        <v>15</v>
      </c>
      <c r="E956" s="17" t="s">
        <v>11</v>
      </c>
      <c r="F956" s="25">
        <v>2673</v>
      </c>
    </row>
    <row r="957" spans="2:6">
      <c r="B957" s="20">
        <v>39873</v>
      </c>
      <c r="C957" s="21" t="s">
        <v>19</v>
      </c>
      <c r="D957" s="22" t="s">
        <v>8</v>
      </c>
      <c r="E957" s="22" t="s">
        <v>14</v>
      </c>
      <c r="F957" s="23">
        <v>984</v>
      </c>
    </row>
    <row r="958" spans="2:6">
      <c r="B958" s="15">
        <v>39873</v>
      </c>
      <c r="C958" s="16" t="s">
        <v>19</v>
      </c>
      <c r="D958" s="17" t="s">
        <v>8</v>
      </c>
      <c r="E958" s="17" t="s">
        <v>9</v>
      </c>
      <c r="F958" s="25">
        <v>1904</v>
      </c>
    </row>
    <row r="959" spans="2:6">
      <c r="B959" s="20">
        <v>39873</v>
      </c>
      <c r="C959" s="21" t="s">
        <v>19</v>
      </c>
      <c r="D959" s="22" t="s">
        <v>8</v>
      </c>
      <c r="E959" s="22" t="s">
        <v>11</v>
      </c>
      <c r="F959" s="23">
        <v>1925</v>
      </c>
    </row>
    <row r="960" spans="2:6">
      <c r="B960" s="15">
        <v>39873</v>
      </c>
      <c r="C960" s="16" t="s">
        <v>19</v>
      </c>
      <c r="D960" s="17" t="s">
        <v>13</v>
      </c>
      <c r="E960" s="17" t="s">
        <v>14</v>
      </c>
      <c r="F960" s="25">
        <v>2400</v>
      </c>
    </row>
    <row r="961" spans="2:6">
      <c r="B961" s="20">
        <v>39873</v>
      </c>
      <c r="C961" s="21" t="s">
        <v>19</v>
      </c>
      <c r="D961" s="22" t="s">
        <v>13</v>
      </c>
      <c r="E961" s="22" t="s">
        <v>9</v>
      </c>
      <c r="F961" s="23">
        <v>1130</v>
      </c>
    </row>
    <row r="962" spans="2:6">
      <c r="B962" s="15">
        <v>39873</v>
      </c>
      <c r="C962" s="16" t="s">
        <v>19</v>
      </c>
      <c r="D962" s="17" t="s">
        <v>13</v>
      </c>
      <c r="E962" s="17" t="s">
        <v>11</v>
      </c>
      <c r="F962" s="25">
        <v>1190</v>
      </c>
    </row>
    <row r="963" spans="2:6">
      <c r="B963" s="20">
        <v>39873</v>
      </c>
      <c r="C963" s="21" t="s">
        <v>19</v>
      </c>
      <c r="D963" s="22" t="s">
        <v>15</v>
      </c>
      <c r="E963" s="22" t="s">
        <v>14</v>
      </c>
      <c r="F963" s="23">
        <v>696</v>
      </c>
    </row>
    <row r="964" spans="2:6">
      <c r="B964" s="15">
        <v>39873</v>
      </c>
      <c r="C964" s="16" t="s">
        <v>19</v>
      </c>
      <c r="D964" s="17" t="s">
        <v>15</v>
      </c>
      <c r="E964" s="17" t="s">
        <v>9</v>
      </c>
      <c r="F964" s="25">
        <v>1072</v>
      </c>
    </row>
    <row r="965" spans="2:6">
      <c r="B965" s="20">
        <v>39873</v>
      </c>
      <c r="C965" s="21" t="s">
        <v>19</v>
      </c>
      <c r="D965" s="22" t="s">
        <v>15</v>
      </c>
      <c r="E965" s="22" t="s">
        <v>11</v>
      </c>
      <c r="F965" s="23">
        <v>2060</v>
      </c>
    </row>
    <row r="966" spans="2:6">
      <c r="B966" s="15">
        <v>39873</v>
      </c>
      <c r="C966" s="16" t="s">
        <v>21</v>
      </c>
      <c r="D966" s="17" t="s">
        <v>8</v>
      </c>
      <c r="E966" s="17" t="s">
        <v>14</v>
      </c>
      <c r="F966" s="25">
        <v>1452</v>
      </c>
    </row>
    <row r="967" spans="2:6">
      <c r="B967" s="20">
        <v>39873</v>
      </c>
      <c r="C967" s="21" t="s">
        <v>21</v>
      </c>
      <c r="D967" s="22" t="s">
        <v>8</v>
      </c>
      <c r="E967" s="22" t="s">
        <v>9</v>
      </c>
      <c r="F967" s="23">
        <v>1464</v>
      </c>
    </row>
    <row r="968" spans="2:6">
      <c r="B968" s="15">
        <v>39873</v>
      </c>
      <c r="C968" s="16" t="s">
        <v>21</v>
      </c>
      <c r="D968" s="17" t="s">
        <v>8</v>
      </c>
      <c r="E968" s="17" t="s">
        <v>11</v>
      </c>
      <c r="F968" s="25">
        <v>1420</v>
      </c>
    </row>
    <row r="969" spans="2:6">
      <c r="B969" s="20">
        <v>39873</v>
      </c>
      <c r="C969" s="21" t="s">
        <v>21</v>
      </c>
      <c r="D969" s="22" t="s">
        <v>13</v>
      </c>
      <c r="E969" s="22" t="s">
        <v>14</v>
      </c>
      <c r="F969" s="23">
        <v>2610</v>
      </c>
    </row>
    <row r="970" spans="2:6">
      <c r="B970" s="15">
        <v>39873</v>
      </c>
      <c r="C970" s="16" t="s">
        <v>21</v>
      </c>
      <c r="D970" s="17" t="s">
        <v>13</v>
      </c>
      <c r="E970" s="17" t="s">
        <v>9</v>
      </c>
      <c r="F970" s="25">
        <v>1734</v>
      </c>
    </row>
    <row r="971" spans="2:6">
      <c r="B971" s="20">
        <v>39873</v>
      </c>
      <c r="C971" s="21" t="s">
        <v>21</v>
      </c>
      <c r="D971" s="22" t="s">
        <v>13</v>
      </c>
      <c r="E971" s="22" t="s">
        <v>11</v>
      </c>
      <c r="F971" s="23">
        <v>2475</v>
      </c>
    </row>
    <row r="972" spans="2:6">
      <c r="B972" s="15">
        <v>39873</v>
      </c>
      <c r="C972" s="16" t="s">
        <v>21</v>
      </c>
      <c r="D972" s="17" t="s">
        <v>15</v>
      </c>
      <c r="E972" s="17" t="s">
        <v>14</v>
      </c>
      <c r="F972" s="25">
        <v>1740</v>
      </c>
    </row>
    <row r="973" spans="2:6">
      <c r="B973" s="20">
        <v>39873</v>
      </c>
      <c r="C973" s="21" t="s">
        <v>21</v>
      </c>
      <c r="D973" s="22" t="s">
        <v>15</v>
      </c>
      <c r="E973" s="22" t="s">
        <v>9</v>
      </c>
      <c r="F973" s="23">
        <v>2392</v>
      </c>
    </row>
    <row r="974" spans="2:6">
      <c r="B974" s="15">
        <v>39873</v>
      </c>
      <c r="C974" s="16" t="s">
        <v>21</v>
      </c>
      <c r="D974" s="17" t="s">
        <v>15</v>
      </c>
      <c r="E974" s="17" t="s">
        <v>11</v>
      </c>
      <c r="F974" s="25">
        <v>2650</v>
      </c>
    </row>
    <row r="975" spans="2:6">
      <c r="B975" s="20">
        <v>39904</v>
      </c>
      <c r="C975" s="21" t="s">
        <v>7</v>
      </c>
      <c r="D975" s="22" t="s">
        <v>8</v>
      </c>
      <c r="E975" s="22" t="s">
        <v>14</v>
      </c>
      <c r="F975" s="23">
        <v>1665</v>
      </c>
    </row>
    <row r="976" spans="2:6">
      <c r="B976" s="15">
        <v>39904</v>
      </c>
      <c r="C976" s="16" t="s">
        <v>7</v>
      </c>
      <c r="D976" s="17" t="s">
        <v>8</v>
      </c>
      <c r="E976" s="17" t="s">
        <v>9</v>
      </c>
      <c r="F976" s="25">
        <v>972</v>
      </c>
    </row>
    <row r="977" spans="2:6">
      <c r="B977" s="20">
        <v>39904</v>
      </c>
      <c r="C977" s="21" t="s">
        <v>7</v>
      </c>
      <c r="D977" s="22" t="s">
        <v>8</v>
      </c>
      <c r="E977" s="22" t="s">
        <v>11</v>
      </c>
      <c r="F977" s="23">
        <v>1638</v>
      </c>
    </row>
    <row r="978" spans="2:6">
      <c r="B978" s="15">
        <v>39904</v>
      </c>
      <c r="C978" s="16" t="s">
        <v>7</v>
      </c>
      <c r="D978" s="17" t="s">
        <v>13</v>
      </c>
      <c r="E978" s="17" t="s">
        <v>14</v>
      </c>
      <c r="F978" s="25">
        <v>2112</v>
      </c>
    </row>
    <row r="979" spans="2:6">
      <c r="B979" s="20">
        <v>39904</v>
      </c>
      <c r="C979" s="21" t="s">
        <v>7</v>
      </c>
      <c r="D979" s="22" t="s">
        <v>13</v>
      </c>
      <c r="E979" s="22" t="s">
        <v>9</v>
      </c>
      <c r="F979" s="23">
        <v>1421</v>
      </c>
    </row>
    <row r="980" spans="2:6">
      <c r="B980" s="15">
        <v>39904</v>
      </c>
      <c r="C980" s="16" t="s">
        <v>7</v>
      </c>
      <c r="D980" s="17" t="s">
        <v>13</v>
      </c>
      <c r="E980" s="17" t="s">
        <v>11</v>
      </c>
      <c r="F980" s="25">
        <v>1015</v>
      </c>
    </row>
    <row r="981" spans="2:6">
      <c r="B981" s="20">
        <v>39904</v>
      </c>
      <c r="C981" s="21" t="s">
        <v>7</v>
      </c>
      <c r="D981" s="22" t="s">
        <v>15</v>
      </c>
      <c r="E981" s="22" t="s">
        <v>14</v>
      </c>
      <c r="F981" s="23">
        <v>648</v>
      </c>
    </row>
    <row r="982" spans="2:6">
      <c r="B982" s="15">
        <v>39904</v>
      </c>
      <c r="C982" s="16" t="s">
        <v>7</v>
      </c>
      <c r="D982" s="17" t="s">
        <v>15</v>
      </c>
      <c r="E982" s="17" t="s">
        <v>9</v>
      </c>
      <c r="F982" s="25">
        <v>826</v>
      </c>
    </row>
    <row r="983" spans="2:6">
      <c r="B983" s="20">
        <v>39904</v>
      </c>
      <c r="C983" s="21" t="s">
        <v>7</v>
      </c>
      <c r="D983" s="22" t="s">
        <v>15</v>
      </c>
      <c r="E983" s="22" t="s">
        <v>11</v>
      </c>
      <c r="F983" s="23">
        <v>1736</v>
      </c>
    </row>
    <row r="984" spans="2:6">
      <c r="B984" s="15">
        <v>39904</v>
      </c>
      <c r="C984" s="16" t="s">
        <v>12</v>
      </c>
      <c r="D984" s="17" t="s">
        <v>8</v>
      </c>
      <c r="E984" s="17" t="s">
        <v>14</v>
      </c>
      <c r="F984" s="25">
        <v>984</v>
      </c>
    </row>
    <row r="985" spans="2:6">
      <c r="B985" s="20">
        <v>39904</v>
      </c>
      <c r="C985" s="21" t="s">
        <v>12</v>
      </c>
      <c r="D985" s="22" t="s">
        <v>8</v>
      </c>
      <c r="E985" s="22" t="s">
        <v>9</v>
      </c>
      <c r="F985" s="23">
        <v>984</v>
      </c>
    </row>
    <row r="986" spans="2:6">
      <c r="B986" s="15">
        <v>39904</v>
      </c>
      <c r="C986" s="16" t="s">
        <v>12</v>
      </c>
      <c r="D986" s="17" t="s">
        <v>8</v>
      </c>
      <c r="E986" s="17" t="s">
        <v>11</v>
      </c>
      <c r="F986" s="25">
        <v>1208</v>
      </c>
    </row>
    <row r="987" spans="2:6">
      <c r="B987" s="20">
        <v>39904</v>
      </c>
      <c r="C987" s="21" t="s">
        <v>12</v>
      </c>
      <c r="D987" s="22" t="s">
        <v>13</v>
      </c>
      <c r="E987" s="22" t="s">
        <v>14</v>
      </c>
      <c r="F987" s="23">
        <v>1232</v>
      </c>
    </row>
    <row r="988" spans="2:6">
      <c r="B988" s="15">
        <v>39904</v>
      </c>
      <c r="C988" s="16" t="s">
        <v>12</v>
      </c>
      <c r="D988" s="17" t="s">
        <v>13</v>
      </c>
      <c r="E988" s="17" t="s">
        <v>9</v>
      </c>
      <c r="F988" s="25">
        <v>2344</v>
      </c>
    </row>
    <row r="989" spans="2:6">
      <c r="B989" s="20">
        <v>39904</v>
      </c>
      <c r="C989" s="21" t="s">
        <v>12</v>
      </c>
      <c r="D989" s="22" t="s">
        <v>13</v>
      </c>
      <c r="E989" s="22" t="s">
        <v>11</v>
      </c>
      <c r="F989" s="23">
        <v>816</v>
      </c>
    </row>
    <row r="990" spans="2:6">
      <c r="B990" s="15">
        <v>39904</v>
      </c>
      <c r="C990" s="16" t="s">
        <v>12</v>
      </c>
      <c r="D990" s="17" t="s">
        <v>15</v>
      </c>
      <c r="E990" s="17" t="s">
        <v>14</v>
      </c>
      <c r="F990" s="25">
        <v>1098</v>
      </c>
    </row>
    <row r="991" spans="2:6">
      <c r="B991" s="20">
        <v>39904</v>
      </c>
      <c r="C991" s="21" t="s">
        <v>12</v>
      </c>
      <c r="D991" s="22" t="s">
        <v>15</v>
      </c>
      <c r="E991" s="22" t="s">
        <v>9</v>
      </c>
      <c r="F991" s="23">
        <v>1672</v>
      </c>
    </row>
    <row r="992" spans="2:6">
      <c r="B992" s="15">
        <v>39904</v>
      </c>
      <c r="C992" s="16" t="s">
        <v>12</v>
      </c>
      <c r="D992" s="17" t="s">
        <v>15</v>
      </c>
      <c r="E992" s="17" t="s">
        <v>11</v>
      </c>
      <c r="F992" s="25">
        <v>1022</v>
      </c>
    </row>
    <row r="993" spans="2:6">
      <c r="B993" s="20">
        <v>39904</v>
      </c>
      <c r="C993" s="21" t="s">
        <v>19</v>
      </c>
      <c r="D993" s="22" t="s">
        <v>8</v>
      </c>
      <c r="E993" s="22" t="s">
        <v>14</v>
      </c>
      <c r="F993" s="23">
        <v>1146</v>
      </c>
    </row>
    <row r="994" spans="2:6">
      <c r="B994" s="15">
        <v>39904</v>
      </c>
      <c r="C994" s="16" t="s">
        <v>19</v>
      </c>
      <c r="D994" s="17" t="s">
        <v>8</v>
      </c>
      <c r="E994" s="17" t="s">
        <v>9</v>
      </c>
      <c r="F994" s="25">
        <v>2079</v>
      </c>
    </row>
    <row r="995" spans="2:6">
      <c r="B995" s="20">
        <v>39904</v>
      </c>
      <c r="C995" s="21" t="s">
        <v>19</v>
      </c>
      <c r="D995" s="22" t="s">
        <v>8</v>
      </c>
      <c r="E995" s="22" t="s">
        <v>11</v>
      </c>
      <c r="F995" s="23">
        <v>1980</v>
      </c>
    </row>
    <row r="996" spans="2:6">
      <c r="B996" s="15">
        <v>39904</v>
      </c>
      <c r="C996" s="16" t="s">
        <v>19</v>
      </c>
      <c r="D996" s="17" t="s">
        <v>13</v>
      </c>
      <c r="E996" s="17" t="s">
        <v>14</v>
      </c>
      <c r="F996" s="25">
        <v>2044</v>
      </c>
    </row>
    <row r="997" spans="2:6">
      <c r="B997" s="20">
        <v>39904</v>
      </c>
      <c r="C997" s="21" t="s">
        <v>19</v>
      </c>
      <c r="D997" s="22" t="s">
        <v>13</v>
      </c>
      <c r="E997" s="22" t="s">
        <v>9</v>
      </c>
      <c r="F997" s="23">
        <v>2930</v>
      </c>
    </row>
    <row r="998" spans="2:6">
      <c r="B998" s="15">
        <v>39904</v>
      </c>
      <c r="C998" s="16" t="s">
        <v>19</v>
      </c>
      <c r="D998" s="17" t="s">
        <v>13</v>
      </c>
      <c r="E998" s="17" t="s">
        <v>11</v>
      </c>
      <c r="F998" s="25">
        <v>984</v>
      </c>
    </row>
    <row r="999" spans="2:6">
      <c r="B999" s="20">
        <v>39904</v>
      </c>
      <c r="C999" s="21" t="s">
        <v>19</v>
      </c>
      <c r="D999" s="22" t="s">
        <v>15</v>
      </c>
      <c r="E999" s="22" t="s">
        <v>14</v>
      </c>
      <c r="F999" s="23">
        <v>1680</v>
      </c>
    </row>
    <row r="1000" spans="2:6">
      <c r="B1000" s="15">
        <v>39904</v>
      </c>
      <c r="C1000" s="16" t="s">
        <v>19</v>
      </c>
      <c r="D1000" s="17" t="s">
        <v>15</v>
      </c>
      <c r="E1000" s="17" t="s">
        <v>9</v>
      </c>
      <c r="F1000" s="25">
        <v>1208</v>
      </c>
    </row>
    <row r="1001" spans="2:6">
      <c r="B1001" s="20">
        <v>39904</v>
      </c>
      <c r="C1001" s="21" t="s">
        <v>19</v>
      </c>
      <c r="D1001" s="22" t="s">
        <v>15</v>
      </c>
      <c r="E1001" s="22" t="s">
        <v>11</v>
      </c>
      <c r="F1001" s="23">
        <v>1504</v>
      </c>
    </row>
    <row r="1002" spans="2:6">
      <c r="B1002" s="15">
        <v>39904</v>
      </c>
      <c r="C1002" s="16" t="s">
        <v>21</v>
      </c>
      <c r="D1002" s="17" t="s">
        <v>8</v>
      </c>
      <c r="E1002" s="17" t="s">
        <v>14</v>
      </c>
      <c r="F1002" s="25">
        <v>2060</v>
      </c>
    </row>
    <row r="1003" spans="2:6">
      <c r="B1003" s="20">
        <v>39904</v>
      </c>
      <c r="C1003" s="21" t="s">
        <v>21</v>
      </c>
      <c r="D1003" s="22" t="s">
        <v>8</v>
      </c>
      <c r="E1003" s="22" t="s">
        <v>9</v>
      </c>
      <c r="F1003" s="23">
        <v>966</v>
      </c>
    </row>
    <row r="1004" spans="2:6">
      <c r="B1004" s="15">
        <v>39904</v>
      </c>
      <c r="C1004" s="16" t="s">
        <v>21</v>
      </c>
      <c r="D1004" s="17" t="s">
        <v>8</v>
      </c>
      <c r="E1004" s="17" t="s">
        <v>11</v>
      </c>
      <c r="F1004" s="25">
        <v>954</v>
      </c>
    </row>
    <row r="1005" spans="2:6">
      <c r="B1005" s="20">
        <v>39904</v>
      </c>
      <c r="C1005" s="21" t="s">
        <v>21</v>
      </c>
      <c r="D1005" s="22" t="s">
        <v>13</v>
      </c>
      <c r="E1005" s="22" t="s">
        <v>14</v>
      </c>
      <c r="F1005" s="23">
        <v>1608</v>
      </c>
    </row>
    <row r="1006" spans="2:6">
      <c r="B1006" s="15">
        <v>39904</v>
      </c>
      <c r="C1006" s="16" t="s">
        <v>21</v>
      </c>
      <c r="D1006" s="17" t="s">
        <v>13</v>
      </c>
      <c r="E1006" s="17" t="s">
        <v>9</v>
      </c>
      <c r="F1006" s="25">
        <v>2128</v>
      </c>
    </row>
    <row r="1007" spans="2:6">
      <c r="B1007" s="20">
        <v>39904</v>
      </c>
      <c r="C1007" s="21" t="s">
        <v>21</v>
      </c>
      <c r="D1007" s="22" t="s">
        <v>13</v>
      </c>
      <c r="E1007" s="22" t="s">
        <v>11</v>
      </c>
      <c r="F1007" s="23">
        <v>1240</v>
      </c>
    </row>
    <row r="1008" spans="2:6">
      <c r="B1008" s="15">
        <v>39904</v>
      </c>
      <c r="C1008" s="16" t="s">
        <v>21</v>
      </c>
      <c r="D1008" s="17" t="s">
        <v>15</v>
      </c>
      <c r="E1008" s="17" t="s">
        <v>14</v>
      </c>
      <c r="F1008" s="25">
        <v>1188</v>
      </c>
    </row>
    <row r="1009" spans="2:6">
      <c r="B1009" s="20">
        <v>39904</v>
      </c>
      <c r="C1009" s="21" t="s">
        <v>21</v>
      </c>
      <c r="D1009" s="22" t="s">
        <v>15</v>
      </c>
      <c r="E1009" s="22" t="s">
        <v>9</v>
      </c>
      <c r="F1009" s="23">
        <v>1608</v>
      </c>
    </row>
    <row r="1010" spans="2:6">
      <c r="B1010" s="15">
        <v>39904</v>
      </c>
      <c r="C1010" s="16" t="s">
        <v>21</v>
      </c>
      <c r="D1010" s="17" t="s">
        <v>15</v>
      </c>
      <c r="E1010" s="17" t="s">
        <v>11</v>
      </c>
      <c r="F1010" s="25">
        <v>1992</v>
      </c>
    </row>
    <row r="1011" spans="2:6">
      <c r="B1011" s="20">
        <v>39934</v>
      </c>
      <c r="C1011" s="21" t="s">
        <v>7</v>
      </c>
      <c r="D1011" s="22" t="s">
        <v>8</v>
      </c>
      <c r="E1011" s="22" t="s">
        <v>14</v>
      </c>
      <c r="F1011" s="23">
        <v>1168</v>
      </c>
    </row>
    <row r="1012" spans="2:6">
      <c r="B1012" s="15">
        <v>39934</v>
      </c>
      <c r="C1012" s="16" t="s">
        <v>7</v>
      </c>
      <c r="D1012" s="17" t="s">
        <v>8</v>
      </c>
      <c r="E1012" s="17" t="s">
        <v>9</v>
      </c>
      <c r="F1012" s="25">
        <v>1784</v>
      </c>
    </row>
    <row r="1013" spans="2:6">
      <c r="B1013" s="20">
        <v>39934</v>
      </c>
      <c r="C1013" s="21" t="s">
        <v>7</v>
      </c>
      <c r="D1013" s="22" t="s">
        <v>8</v>
      </c>
      <c r="E1013" s="22" t="s">
        <v>11</v>
      </c>
      <c r="F1013" s="23">
        <v>1512</v>
      </c>
    </row>
    <row r="1014" spans="2:6">
      <c r="B1014" s="15">
        <v>39934</v>
      </c>
      <c r="C1014" s="16" t="s">
        <v>7</v>
      </c>
      <c r="D1014" s="17" t="s">
        <v>13</v>
      </c>
      <c r="E1014" s="17" t="s">
        <v>14</v>
      </c>
      <c r="F1014" s="25">
        <v>1170</v>
      </c>
    </row>
    <row r="1015" spans="2:6">
      <c r="B1015" s="20">
        <v>39934</v>
      </c>
      <c r="C1015" s="21" t="s">
        <v>7</v>
      </c>
      <c r="D1015" s="22" t="s">
        <v>13</v>
      </c>
      <c r="E1015" s="22" t="s">
        <v>9</v>
      </c>
      <c r="F1015" s="23">
        <v>2100</v>
      </c>
    </row>
    <row r="1016" spans="2:6">
      <c r="B1016" s="15">
        <v>39934</v>
      </c>
      <c r="C1016" s="16" t="s">
        <v>7</v>
      </c>
      <c r="D1016" s="17" t="s">
        <v>13</v>
      </c>
      <c r="E1016" s="17" t="s">
        <v>11</v>
      </c>
      <c r="F1016" s="25">
        <v>1650</v>
      </c>
    </row>
    <row r="1017" spans="2:6">
      <c r="B1017" s="20">
        <v>39934</v>
      </c>
      <c r="C1017" s="21" t="s">
        <v>7</v>
      </c>
      <c r="D1017" s="22" t="s">
        <v>15</v>
      </c>
      <c r="E1017" s="22" t="s">
        <v>14</v>
      </c>
      <c r="F1017" s="23">
        <v>1392</v>
      </c>
    </row>
    <row r="1018" spans="2:6">
      <c r="B1018" s="15">
        <v>39934</v>
      </c>
      <c r="C1018" s="16" t="s">
        <v>7</v>
      </c>
      <c r="D1018" s="17" t="s">
        <v>15</v>
      </c>
      <c r="E1018" s="17" t="s">
        <v>9</v>
      </c>
      <c r="F1018" s="25">
        <v>1704</v>
      </c>
    </row>
    <row r="1019" spans="2:6">
      <c r="B1019" s="20">
        <v>39934</v>
      </c>
      <c r="C1019" s="21" t="s">
        <v>7</v>
      </c>
      <c r="D1019" s="22" t="s">
        <v>15</v>
      </c>
      <c r="E1019" s="22" t="s">
        <v>11</v>
      </c>
      <c r="F1019" s="23">
        <v>1251</v>
      </c>
    </row>
    <row r="1020" spans="2:6">
      <c r="B1020" s="15">
        <v>39934</v>
      </c>
      <c r="C1020" s="16" t="s">
        <v>12</v>
      </c>
      <c r="D1020" s="17" t="s">
        <v>8</v>
      </c>
      <c r="E1020" s="17" t="s">
        <v>14</v>
      </c>
      <c r="F1020" s="25">
        <v>1233</v>
      </c>
    </row>
    <row r="1021" spans="2:6">
      <c r="B1021" s="20">
        <v>39934</v>
      </c>
      <c r="C1021" s="21" t="s">
        <v>12</v>
      </c>
      <c r="D1021" s="22" t="s">
        <v>8</v>
      </c>
      <c r="E1021" s="22" t="s">
        <v>9</v>
      </c>
      <c r="F1021" s="23">
        <v>924</v>
      </c>
    </row>
    <row r="1022" spans="2:6">
      <c r="B1022" s="15">
        <v>39934</v>
      </c>
      <c r="C1022" s="16" t="s">
        <v>12</v>
      </c>
      <c r="D1022" s="17" t="s">
        <v>8</v>
      </c>
      <c r="E1022" s="17" t="s">
        <v>11</v>
      </c>
      <c r="F1022" s="25">
        <v>1176</v>
      </c>
    </row>
    <row r="1023" spans="2:6">
      <c r="B1023" s="20">
        <v>39934</v>
      </c>
      <c r="C1023" s="21" t="s">
        <v>12</v>
      </c>
      <c r="D1023" s="22" t="s">
        <v>13</v>
      </c>
      <c r="E1023" s="22" t="s">
        <v>14</v>
      </c>
      <c r="F1023" s="23">
        <v>1192</v>
      </c>
    </row>
    <row r="1024" spans="2:6">
      <c r="B1024" s="15">
        <v>39934</v>
      </c>
      <c r="C1024" s="16" t="s">
        <v>12</v>
      </c>
      <c r="D1024" s="17" t="s">
        <v>13</v>
      </c>
      <c r="E1024" s="17" t="s">
        <v>9</v>
      </c>
      <c r="F1024" s="25">
        <v>1896</v>
      </c>
    </row>
    <row r="1025" spans="2:6">
      <c r="B1025" s="20">
        <v>39934</v>
      </c>
      <c r="C1025" s="21" t="s">
        <v>12</v>
      </c>
      <c r="D1025" s="22" t="s">
        <v>13</v>
      </c>
      <c r="E1025" s="22" t="s">
        <v>11</v>
      </c>
      <c r="F1025" s="23">
        <v>2691</v>
      </c>
    </row>
    <row r="1026" spans="2:6">
      <c r="B1026" s="15">
        <v>39934</v>
      </c>
      <c r="C1026" s="16" t="s">
        <v>12</v>
      </c>
      <c r="D1026" s="17" t="s">
        <v>15</v>
      </c>
      <c r="E1026" s="17" t="s">
        <v>14</v>
      </c>
      <c r="F1026" s="25">
        <v>756</v>
      </c>
    </row>
    <row r="1027" spans="2:6">
      <c r="B1027" s="20">
        <v>39934</v>
      </c>
      <c r="C1027" s="21" t="s">
        <v>12</v>
      </c>
      <c r="D1027" s="22" t="s">
        <v>15</v>
      </c>
      <c r="E1027" s="22" t="s">
        <v>9</v>
      </c>
      <c r="F1027" s="23">
        <v>2511</v>
      </c>
    </row>
    <row r="1028" spans="2:6">
      <c r="B1028" s="15">
        <v>39934</v>
      </c>
      <c r="C1028" s="16" t="s">
        <v>12</v>
      </c>
      <c r="D1028" s="17" t="s">
        <v>15</v>
      </c>
      <c r="E1028" s="17" t="s">
        <v>11</v>
      </c>
      <c r="F1028" s="25">
        <v>1536</v>
      </c>
    </row>
    <row r="1029" spans="2:6">
      <c r="B1029" s="20">
        <v>39934</v>
      </c>
      <c r="C1029" s="21" t="s">
        <v>19</v>
      </c>
      <c r="D1029" s="22" t="s">
        <v>8</v>
      </c>
      <c r="E1029" s="22" t="s">
        <v>14</v>
      </c>
      <c r="F1029" s="23">
        <v>1320</v>
      </c>
    </row>
    <row r="1030" spans="2:6">
      <c r="B1030" s="15">
        <v>39934</v>
      </c>
      <c r="C1030" s="16" t="s">
        <v>19</v>
      </c>
      <c r="D1030" s="17" t="s">
        <v>8</v>
      </c>
      <c r="E1030" s="17" t="s">
        <v>9</v>
      </c>
      <c r="F1030" s="25">
        <v>1176</v>
      </c>
    </row>
    <row r="1031" spans="2:6">
      <c r="B1031" s="20">
        <v>39934</v>
      </c>
      <c r="C1031" s="21" t="s">
        <v>19</v>
      </c>
      <c r="D1031" s="22" t="s">
        <v>8</v>
      </c>
      <c r="E1031" s="22" t="s">
        <v>11</v>
      </c>
      <c r="F1031" s="23">
        <v>1722</v>
      </c>
    </row>
    <row r="1032" spans="2:6">
      <c r="B1032" s="15">
        <v>39934</v>
      </c>
      <c r="C1032" s="16" t="s">
        <v>19</v>
      </c>
      <c r="D1032" s="17" t="s">
        <v>13</v>
      </c>
      <c r="E1032" s="17" t="s">
        <v>14</v>
      </c>
      <c r="F1032" s="25">
        <v>1696</v>
      </c>
    </row>
    <row r="1033" spans="2:6">
      <c r="B1033" s="20">
        <v>39934</v>
      </c>
      <c r="C1033" s="21" t="s">
        <v>19</v>
      </c>
      <c r="D1033" s="22" t="s">
        <v>13</v>
      </c>
      <c r="E1033" s="22" t="s">
        <v>9</v>
      </c>
      <c r="F1033" s="23">
        <v>1112</v>
      </c>
    </row>
    <row r="1034" spans="2:6">
      <c r="B1034" s="15">
        <v>39934</v>
      </c>
      <c r="C1034" s="16" t="s">
        <v>19</v>
      </c>
      <c r="D1034" s="17" t="s">
        <v>13</v>
      </c>
      <c r="E1034" s="17" t="s">
        <v>11</v>
      </c>
      <c r="F1034" s="25">
        <v>1744</v>
      </c>
    </row>
    <row r="1035" spans="2:6">
      <c r="B1035" s="20">
        <v>39934</v>
      </c>
      <c r="C1035" s="21" t="s">
        <v>19</v>
      </c>
      <c r="D1035" s="22" t="s">
        <v>15</v>
      </c>
      <c r="E1035" s="22" t="s">
        <v>14</v>
      </c>
      <c r="F1035" s="23">
        <v>2048</v>
      </c>
    </row>
    <row r="1036" spans="2:6">
      <c r="B1036" s="15">
        <v>39934</v>
      </c>
      <c r="C1036" s="16" t="s">
        <v>19</v>
      </c>
      <c r="D1036" s="17" t="s">
        <v>15</v>
      </c>
      <c r="E1036" s="17" t="s">
        <v>9</v>
      </c>
      <c r="F1036" s="25">
        <v>1408</v>
      </c>
    </row>
    <row r="1037" spans="2:6">
      <c r="B1037" s="20">
        <v>39934</v>
      </c>
      <c r="C1037" s="21" t="s">
        <v>19</v>
      </c>
      <c r="D1037" s="22" t="s">
        <v>15</v>
      </c>
      <c r="E1037" s="22" t="s">
        <v>11</v>
      </c>
      <c r="F1037" s="23">
        <v>882</v>
      </c>
    </row>
    <row r="1038" spans="2:6">
      <c r="B1038" s="15">
        <v>39934</v>
      </c>
      <c r="C1038" s="16" t="s">
        <v>21</v>
      </c>
      <c r="D1038" s="17" t="s">
        <v>8</v>
      </c>
      <c r="E1038" s="17" t="s">
        <v>14</v>
      </c>
      <c r="F1038" s="25">
        <v>2466</v>
      </c>
    </row>
    <row r="1039" spans="2:6">
      <c r="B1039" s="20">
        <v>39934</v>
      </c>
      <c r="C1039" s="21" t="s">
        <v>21</v>
      </c>
      <c r="D1039" s="22" t="s">
        <v>8</v>
      </c>
      <c r="E1039" s="22" t="s">
        <v>9</v>
      </c>
      <c r="F1039" s="23">
        <v>2385</v>
      </c>
    </row>
    <row r="1040" spans="2:6">
      <c r="B1040" s="15">
        <v>39934</v>
      </c>
      <c r="C1040" s="16" t="s">
        <v>21</v>
      </c>
      <c r="D1040" s="17" t="s">
        <v>8</v>
      </c>
      <c r="E1040" s="17" t="s">
        <v>11</v>
      </c>
      <c r="F1040" s="25">
        <v>1827</v>
      </c>
    </row>
    <row r="1041" spans="2:6">
      <c r="B1041" s="20">
        <v>39934</v>
      </c>
      <c r="C1041" s="21" t="s">
        <v>21</v>
      </c>
      <c r="D1041" s="22" t="s">
        <v>13</v>
      </c>
      <c r="E1041" s="22" t="s">
        <v>14</v>
      </c>
      <c r="F1041" s="23">
        <v>1680</v>
      </c>
    </row>
    <row r="1042" spans="2:6">
      <c r="B1042" s="15">
        <v>39934</v>
      </c>
      <c r="C1042" s="16" t="s">
        <v>21</v>
      </c>
      <c r="D1042" s="17" t="s">
        <v>13</v>
      </c>
      <c r="E1042" s="17" t="s">
        <v>9</v>
      </c>
      <c r="F1042" s="25">
        <v>2160</v>
      </c>
    </row>
    <row r="1043" spans="2:6">
      <c r="B1043" s="20">
        <v>39934</v>
      </c>
      <c r="C1043" s="21" t="s">
        <v>21</v>
      </c>
      <c r="D1043" s="22" t="s">
        <v>13</v>
      </c>
      <c r="E1043" s="22" t="s">
        <v>11</v>
      </c>
      <c r="F1043" s="23">
        <v>1440</v>
      </c>
    </row>
    <row r="1044" spans="2:6">
      <c r="B1044" s="15">
        <v>39934</v>
      </c>
      <c r="C1044" s="16" t="s">
        <v>21</v>
      </c>
      <c r="D1044" s="17" t="s">
        <v>15</v>
      </c>
      <c r="E1044" s="17" t="s">
        <v>14</v>
      </c>
      <c r="F1044" s="25">
        <v>984</v>
      </c>
    </row>
    <row r="1045" spans="2:6">
      <c r="B1045" s="20">
        <v>39934</v>
      </c>
      <c r="C1045" s="21" t="s">
        <v>21</v>
      </c>
      <c r="D1045" s="22" t="s">
        <v>15</v>
      </c>
      <c r="E1045" s="22" t="s">
        <v>9</v>
      </c>
      <c r="F1045" s="23">
        <v>642</v>
      </c>
    </row>
    <row r="1046" spans="2:6">
      <c r="B1046" s="15">
        <v>39934</v>
      </c>
      <c r="C1046" s="16" t="s">
        <v>21</v>
      </c>
      <c r="D1046" s="17" t="s">
        <v>15</v>
      </c>
      <c r="E1046" s="17" t="s">
        <v>11</v>
      </c>
      <c r="F1046" s="25">
        <v>1644</v>
      </c>
    </row>
    <row r="1047" spans="2:6">
      <c r="B1047" s="20">
        <v>39965</v>
      </c>
      <c r="C1047" s="21" t="s">
        <v>7</v>
      </c>
      <c r="D1047" s="22" t="s">
        <v>8</v>
      </c>
      <c r="E1047" s="22" t="s">
        <v>14</v>
      </c>
      <c r="F1047" s="23">
        <v>1968</v>
      </c>
    </row>
    <row r="1048" spans="2:6">
      <c r="B1048" s="15">
        <v>39965</v>
      </c>
      <c r="C1048" s="16" t="s">
        <v>7</v>
      </c>
      <c r="D1048" s="17" t="s">
        <v>8</v>
      </c>
      <c r="E1048" s="17" t="s">
        <v>9</v>
      </c>
      <c r="F1048" s="25">
        <v>960</v>
      </c>
    </row>
    <row r="1049" spans="2:6">
      <c r="B1049" s="20">
        <v>39965</v>
      </c>
      <c r="C1049" s="21" t="s">
        <v>7</v>
      </c>
      <c r="D1049" s="22" t="s">
        <v>8</v>
      </c>
      <c r="E1049" s="22" t="s">
        <v>11</v>
      </c>
      <c r="F1049" s="23">
        <v>1125</v>
      </c>
    </row>
    <row r="1050" spans="2:6">
      <c r="B1050" s="15">
        <v>39965</v>
      </c>
      <c r="C1050" s="16" t="s">
        <v>7</v>
      </c>
      <c r="D1050" s="17" t="s">
        <v>13</v>
      </c>
      <c r="E1050" s="17" t="s">
        <v>14</v>
      </c>
      <c r="F1050" s="25">
        <v>1602</v>
      </c>
    </row>
    <row r="1051" spans="2:6">
      <c r="B1051" s="20">
        <v>39965</v>
      </c>
      <c r="C1051" s="21" t="s">
        <v>7</v>
      </c>
      <c r="D1051" s="22" t="s">
        <v>13</v>
      </c>
      <c r="E1051" s="22" t="s">
        <v>9</v>
      </c>
      <c r="F1051" s="23">
        <v>2088</v>
      </c>
    </row>
    <row r="1052" spans="2:6">
      <c r="B1052" s="15">
        <v>39965</v>
      </c>
      <c r="C1052" s="16" t="s">
        <v>7</v>
      </c>
      <c r="D1052" s="17" t="s">
        <v>13</v>
      </c>
      <c r="E1052" s="17" t="s">
        <v>11</v>
      </c>
      <c r="F1052" s="25">
        <v>1020</v>
      </c>
    </row>
    <row r="1053" spans="2:6">
      <c r="B1053" s="20">
        <v>39965</v>
      </c>
      <c r="C1053" s="21" t="s">
        <v>7</v>
      </c>
      <c r="D1053" s="22" t="s">
        <v>15</v>
      </c>
      <c r="E1053" s="22" t="s">
        <v>14</v>
      </c>
      <c r="F1053" s="23">
        <v>1434</v>
      </c>
    </row>
    <row r="1054" spans="2:6">
      <c r="B1054" s="15">
        <v>39965</v>
      </c>
      <c r="C1054" s="16" t="s">
        <v>7</v>
      </c>
      <c r="D1054" s="17" t="s">
        <v>15</v>
      </c>
      <c r="E1054" s="17" t="s">
        <v>9</v>
      </c>
      <c r="F1054" s="25">
        <v>1316</v>
      </c>
    </row>
    <row r="1055" spans="2:6">
      <c r="B1055" s="20">
        <v>39965</v>
      </c>
      <c r="C1055" s="21" t="s">
        <v>7</v>
      </c>
      <c r="D1055" s="22" t="s">
        <v>15</v>
      </c>
      <c r="E1055" s="22" t="s">
        <v>11</v>
      </c>
      <c r="F1055" s="23">
        <v>2079</v>
      </c>
    </row>
    <row r="1056" spans="2:6">
      <c r="B1056" s="15">
        <v>39965</v>
      </c>
      <c r="C1056" s="16" t="s">
        <v>12</v>
      </c>
      <c r="D1056" s="17" t="s">
        <v>8</v>
      </c>
      <c r="E1056" s="17" t="s">
        <v>14</v>
      </c>
      <c r="F1056" s="25">
        <v>1490</v>
      </c>
    </row>
    <row r="1057" spans="2:6">
      <c r="B1057" s="20">
        <v>39965</v>
      </c>
      <c r="C1057" s="21" t="s">
        <v>12</v>
      </c>
      <c r="D1057" s="22" t="s">
        <v>8</v>
      </c>
      <c r="E1057" s="22" t="s">
        <v>9</v>
      </c>
      <c r="F1057" s="23">
        <v>2930</v>
      </c>
    </row>
    <row r="1058" spans="2:6">
      <c r="B1058" s="15">
        <v>39965</v>
      </c>
      <c r="C1058" s="16" t="s">
        <v>12</v>
      </c>
      <c r="D1058" s="17" t="s">
        <v>8</v>
      </c>
      <c r="E1058" s="17" t="s">
        <v>11</v>
      </c>
      <c r="F1058" s="25">
        <v>1890</v>
      </c>
    </row>
    <row r="1059" spans="2:6">
      <c r="B1059" s="20">
        <v>39965</v>
      </c>
      <c r="C1059" s="21" t="s">
        <v>12</v>
      </c>
      <c r="D1059" s="22" t="s">
        <v>13</v>
      </c>
      <c r="E1059" s="22" t="s">
        <v>14</v>
      </c>
      <c r="F1059" s="23">
        <v>2080</v>
      </c>
    </row>
    <row r="1060" spans="2:6">
      <c r="B1060" s="15">
        <v>39965</v>
      </c>
      <c r="C1060" s="16" t="s">
        <v>12</v>
      </c>
      <c r="D1060" s="17" t="s">
        <v>13</v>
      </c>
      <c r="E1060" s="17" t="s">
        <v>9</v>
      </c>
      <c r="F1060" s="25">
        <v>1071</v>
      </c>
    </row>
    <row r="1061" spans="2:6">
      <c r="B1061" s="20">
        <v>39965</v>
      </c>
      <c r="C1061" s="21" t="s">
        <v>12</v>
      </c>
      <c r="D1061" s="22" t="s">
        <v>13</v>
      </c>
      <c r="E1061" s="22" t="s">
        <v>11</v>
      </c>
      <c r="F1061" s="23">
        <v>861</v>
      </c>
    </row>
    <row r="1062" spans="2:6">
      <c r="B1062" s="15">
        <v>39965</v>
      </c>
      <c r="C1062" s="16" t="s">
        <v>12</v>
      </c>
      <c r="D1062" s="17" t="s">
        <v>15</v>
      </c>
      <c r="E1062" s="17" t="s">
        <v>14</v>
      </c>
      <c r="F1062" s="25">
        <v>1296</v>
      </c>
    </row>
    <row r="1063" spans="2:6">
      <c r="B1063" s="20">
        <v>39965</v>
      </c>
      <c r="C1063" s="21" t="s">
        <v>12</v>
      </c>
      <c r="D1063" s="22" t="s">
        <v>15</v>
      </c>
      <c r="E1063" s="22" t="s">
        <v>9</v>
      </c>
      <c r="F1063" s="23">
        <v>714</v>
      </c>
    </row>
    <row r="1064" spans="2:6">
      <c r="B1064" s="15">
        <v>39965</v>
      </c>
      <c r="C1064" s="16" t="s">
        <v>12</v>
      </c>
      <c r="D1064" s="17" t="s">
        <v>15</v>
      </c>
      <c r="E1064" s="17" t="s">
        <v>11</v>
      </c>
      <c r="F1064" s="25">
        <v>1660</v>
      </c>
    </row>
    <row r="1065" spans="2:6">
      <c r="B1065" s="20">
        <v>39965</v>
      </c>
      <c r="C1065" s="21" t="s">
        <v>19</v>
      </c>
      <c r="D1065" s="22" t="s">
        <v>8</v>
      </c>
      <c r="E1065" s="22" t="s">
        <v>14</v>
      </c>
      <c r="F1065" s="23">
        <v>1672</v>
      </c>
    </row>
    <row r="1066" spans="2:6">
      <c r="B1066" s="15">
        <v>39965</v>
      </c>
      <c r="C1066" s="16" t="s">
        <v>19</v>
      </c>
      <c r="D1066" s="17" t="s">
        <v>8</v>
      </c>
      <c r="E1066" s="17" t="s">
        <v>9</v>
      </c>
      <c r="F1066" s="25">
        <v>1510</v>
      </c>
    </row>
    <row r="1067" spans="2:6">
      <c r="B1067" s="20">
        <v>39965</v>
      </c>
      <c r="C1067" s="21" t="s">
        <v>19</v>
      </c>
      <c r="D1067" s="22" t="s">
        <v>8</v>
      </c>
      <c r="E1067" s="22" t="s">
        <v>11</v>
      </c>
      <c r="F1067" s="23">
        <v>1656</v>
      </c>
    </row>
    <row r="1068" spans="2:6">
      <c r="B1068" s="15">
        <v>39965</v>
      </c>
      <c r="C1068" s="16" t="s">
        <v>19</v>
      </c>
      <c r="D1068" s="17" t="s">
        <v>13</v>
      </c>
      <c r="E1068" s="17" t="s">
        <v>14</v>
      </c>
      <c r="F1068" s="25">
        <v>1656</v>
      </c>
    </row>
    <row r="1069" spans="2:6">
      <c r="B1069" s="20">
        <v>39965</v>
      </c>
      <c r="C1069" s="21" t="s">
        <v>19</v>
      </c>
      <c r="D1069" s="22" t="s">
        <v>13</v>
      </c>
      <c r="E1069" s="22" t="s">
        <v>9</v>
      </c>
      <c r="F1069" s="23">
        <v>928</v>
      </c>
    </row>
    <row r="1070" spans="2:6">
      <c r="B1070" s="15">
        <v>39965</v>
      </c>
      <c r="C1070" s="16" t="s">
        <v>19</v>
      </c>
      <c r="D1070" s="17" t="s">
        <v>13</v>
      </c>
      <c r="E1070" s="17" t="s">
        <v>11</v>
      </c>
      <c r="F1070" s="25">
        <v>1698</v>
      </c>
    </row>
    <row r="1071" spans="2:6">
      <c r="B1071" s="20">
        <v>39965</v>
      </c>
      <c r="C1071" s="21" t="s">
        <v>19</v>
      </c>
      <c r="D1071" s="22" t="s">
        <v>15</v>
      </c>
      <c r="E1071" s="22" t="s">
        <v>14</v>
      </c>
      <c r="F1071" s="23">
        <v>1575</v>
      </c>
    </row>
    <row r="1072" spans="2:6">
      <c r="B1072" s="15">
        <v>39965</v>
      </c>
      <c r="C1072" s="16" t="s">
        <v>19</v>
      </c>
      <c r="D1072" s="17" t="s">
        <v>15</v>
      </c>
      <c r="E1072" s="17" t="s">
        <v>9</v>
      </c>
      <c r="F1072" s="25">
        <v>1666</v>
      </c>
    </row>
    <row r="1073" spans="2:6">
      <c r="B1073" s="20">
        <v>39965</v>
      </c>
      <c r="C1073" s="21" t="s">
        <v>19</v>
      </c>
      <c r="D1073" s="22" t="s">
        <v>15</v>
      </c>
      <c r="E1073" s="22" t="s">
        <v>11</v>
      </c>
      <c r="F1073" s="23">
        <v>1611</v>
      </c>
    </row>
    <row r="1074" spans="2:6">
      <c r="B1074" s="15">
        <v>39965</v>
      </c>
      <c r="C1074" s="16" t="s">
        <v>21</v>
      </c>
      <c r="D1074" s="17" t="s">
        <v>8</v>
      </c>
      <c r="E1074" s="17" t="s">
        <v>14</v>
      </c>
      <c r="F1074" s="25">
        <v>1584</v>
      </c>
    </row>
    <row r="1075" spans="2:6">
      <c r="B1075" s="20">
        <v>39965</v>
      </c>
      <c r="C1075" s="21" t="s">
        <v>21</v>
      </c>
      <c r="D1075" s="22" t="s">
        <v>8</v>
      </c>
      <c r="E1075" s="22" t="s">
        <v>9</v>
      </c>
      <c r="F1075" s="23">
        <v>2628</v>
      </c>
    </row>
    <row r="1076" spans="2:6">
      <c r="B1076" s="15">
        <v>39965</v>
      </c>
      <c r="C1076" s="16" t="s">
        <v>21</v>
      </c>
      <c r="D1076" s="17" t="s">
        <v>8</v>
      </c>
      <c r="E1076" s="17" t="s">
        <v>11</v>
      </c>
      <c r="F1076" s="25">
        <v>1600</v>
      </c>
    </row>
    <row r="1077" spans="2:6">
      <c r="B1077" s="20">
        <v>39965</v>
      </c>
      <c r="C1077" s="21" t="s">
        <v>21</v>
      </c>
      <c r="D1077" s="22" t="s">
        <v>13</v>
      </c>
      <c r="E1077" s="22" t="s">
        <v>14</v>
      </c>
      <c r="F1077" s="23">
        <v>1512</v>
      </c>
    </row>
    <row r="1078" spans="2:6">
      <c r="B1078" s="15">
        <v>39965</v>
      </c>
      <c r="C1078" s="16" t="s">
        <v>21</v>
      </c>
      <c r="D1078" s="17" t="s">
        <v>13</v>
      </c>
      <c r="E1078" s="17" t="s">
        <v>9</v>
      </c>
      <c r="F1078" s="25">
        <v>1590</v>
      </c>
    </row>
    <row r="1079" spans="2:6">
      <c r="B1079" s="20">
        <v>39965</v>
      </c>
      <c r="C1079" s="21" t="s">
        <v>21</v>
      </c>
      <c r="D1079" s="22" t="s">
        <v>13</v>
      </c>
      <c r="E1079" s="22" t="s">
        <v>11</v>
      </c>
      <c r="F1079" s="23">
        <v>2660</v>
      </c>
    </row>
    <row r="1080" spans="2:6">
      <c r="B1080" s="15">
        <v>39965</v>
      </c>
      <c r="C1080" s="16" t="s">
        <v>21</v>
      </c>
      <c r="D1080" s="17" t="s">
        <v>15</v>
      </c>
      <c r="E1080" s="17" t="s">
        <v>14</v>
      </c>
      <c r="F1080" s="25">
        <v>2097</v>
      </c>
    </row>
    <row r="1081" spans="2:6">
      <c r="B1081" s="20">
        <v>39965</v>
      </c>
      <c r="C1081" s="21" t="s">
        <v>21</v>
      </c>
      <c r="D1081" s="22" t="s">
        <v>15</v>
      </c>
      <c r="E1081" s="22" t="s">
        <v>9</v>
      </c>
      <c r="F1081" s="23">
        <v>1015</v>
      </c>
    </row>
    <row r="1082" spans="2:6">
      <c r="B1082" s="46">
        <v>39965</v>
      </c>
      <c r="C1082" s="47" t="s">
        <v>21</v>
      </c>
      <c r="D1082" s="48" t="s">
        <v>15</v>
      </c>
      <c r="E1082" s="48" t="s">
        <v>11</v>
      </c>
      <c r="F1082" s="49">
        <v>945</v>
      </c>
    </row>
    <row r="1084" spans="6:6">
      <c r="F1084" s="28"/>
    </row>
  </sheetData>
  <mergeCells count="12">
    <mergeCell ref="B1:J1"/>
    <mergeCell ref="H3:J3"/>
    <mergeCell ref="H14:J14"/>
    <mergeCell ref="H24:J24"/>
    <mergeCell ref="H26:J26"/>
    <mergeCell ref="H36:J36"/>
    <mergeCell ref="H38:J38"/>
    <mergeCell ref="H48:J48"/>
    <mergeCell ref="H9:J10"/>
    <mergeCell ref="H21:J22"/>
    <mergeCell ref="H33:J34"/>
    <mergeCell ref="H45:J4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21"/>
  <sheetViews>
    <sheetView workbookViewId="0">
      <selection activeCell="C19" sqref="C19"/>
    </sheetView>
  </sheetViews>
  <sheetFormatPr defaultColWidth="8.88888888888889" defaultRowHeight="14.4"/>
  <cols>
    <col min="3" max="3" width="18.2222222222222" customWidth="1"/>
    <col min="4" max="4" width="61.4444444444444" style="1" customWidth="1"/>
    <col min="6" max="6" width="19.6666666666667" customWidth="1"/>
    <col min="9" max="9" width="12.8888888888889"/>
  </cols>
  <sheetData>
    <row r="2" spans="3:6">
      <c r="C2" s="2">
        <f ca="1">NOW()</f>
        <v>45812.4831365741</v>
      </c>
      <c r="D2" s="1">
        <f ca="1">MONTH(C2)</f>
        <v>6</v>
      </c>
      <c r="E2">
        <f ca="1">DAY(C2)</f>
        <v>4</v>
      </c>
      <c r="F2">
        <f ca="1">YEAR(C2)</f>
        <v>2025</v>
      </c>
    </row>
    <row r="4" spans="3:4">
      <c r="C4" s="3">
        <f ca="1">NOW()</f>
        <v>45812.4831365741</v>
      </c>
      <c r="D4" s="4"/>
    </row>
    <row r="7" spans="3:3">
      <c r="C7" s="2">
        <f ca="1">NOW()</f>
        <v>45812.4831365741</v>
      </c>
    </row>
    <row r="8" spans="4:4">
      <c r="D8" s="1">
        <v>45811</v>
      </c>
    </row>
    <row r="10" spans="3:3">
      <c r="C10" s="2">
        <f ca="1">NOW()</f>
        <v>45812.4831365741</v>
      </c>
    </row>
    <row r="12" spans="3:6">
      <c r="C12" s="2">
        <v>44710</v>
      </c>
      <c r="F12" s="5">
        <f ca="1">NOW()</f>
        <v>45812.4831365741</v>
      </c>
    </row>
    <row r="14" spans="4:4">
      <c r="D14" s="4">
        <f ca="1">DATEDIF(C10,C12,"YM")</f>
        <v>0</v>
      </c>
    </row>
    <row r="15" spans="6:6">
      <c r="F15" s="2">
        <v>45048</v>
      </c>
    </row>
    <row r="16" spans="8:9">
      <c r="H16">
        <f>DATEDIF(F18,F15,"D")</f>
        <v>730</v>
      </c>
      <c r="I16">
        <f>H16/12</f>
        <v>60.8333333333333</v>
      </c>
    </row>
    <row r="17" spans="4:4">
      <c r="D17" s="4">
        <f ca="1">DATEDIF(C12,C10,"YD")</f>
        <v>6</v>
      </c>
    </row>
    <row r="18" spans="6:6">
      <c r="F18" s="2">
        <v>44318</v>
      </c>
    </row>
    <row r="19" spans="3:3">
      <c r="C19" s="5">
        <f ca="1">NOW()</f>
        <v>45812.4831365741</v>
      </c>
    </row>
    <row r="21" spans="4:9">
      <c r="D21" s="1" t="str">
        <f ca="1">TEXT(C19,"hh:mm")</f>
        <v>11:35</v>
      </c>
      <c r="H21">
        <v>730</v>
      </c>
      <c r="I21">
        <f>(H21/365)*12</f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r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SUMIFS, COUNTIFS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RWn. Mayur Vaishnav</cp:lastModifiedBy>
  <dcterms:created xsi:type="dcterms:W3CDTF">2010-02-14T15:37:00Z</dcterms:created>
  <dcterms:modified xsi:type="dcterms:W3CDTF">2025-06-04T06:09:27Z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D5E60E6937C342E08CBB182A31C19EA5_12</vt:lpwstr>
  </property>
  <property fmtid="{D5CDD505-2E9C-101B-9397-08002B2CF9AE}" pid="3" name="KSOProductBuildVer">
    <vt:lpwstr>1033-12.2.0.21179</vt:lpwstr>
  </property>
</Properties>
</file>