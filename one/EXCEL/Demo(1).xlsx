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<sst xmlns="http://schemas.openxmlformats.org/spreadsheetml/2006/main" count="48" uniqueCount="34">
  <si>
    <t>Company</t>
  </si>
  <si>
    <t>Headcount</t>
  </si>
  <si>
    <t>Sales</t>
  </si>
  <si>
    <t>Type</t>
  </si>
  <si>
    <t>UBL</t>
  </si>
  <si>
    <t>A</t>
  </si>
  <si>
    <t>ENGRO</t>
  </si>
  <si>
    <t>HBL</t>
  </si>
  <si>
    <t>B</t>
  </si>
  <si>
    <t>Codes</t>
  </si>
  <si>
    <t>C</t>
  </si>
  <si>
    <t>abc-177</t>
  </si>
  <si>
    <t>MCB</t>
  </si>
  <si>
    <t>D</t>
  </si>
  <si>
    <t>def-156</t>
  </si>
  <si>
    <t>ABL</t>
  </si>
  <si>
    <t>E</t>
  </si>
  <si>
    <t>ghi-122</t>
  </si>
  <si>
    <t>DHL</t>
  </si>
  <si>
    <t>F</t>
  </si>
  <si>
    <t>jkl-170</t>
  </si>
  <si>
    <t>UNILEVER</t>
  </si>
  <si>
    <t>G</t>
  </si>
  <si>
    <t>mno-159</t>
  </si>
  <si>
    <t>pqr-121</t>
  </si>
  <si>
    <t>stu-189</t>
  </si>
  <si>
    <t>vwk-145</t>
  </si>
  <si>
    <t>yz-151</t>
  </si>
  <si>
    <t>Lookup</t>
  </si>
  <si>
    <t>st*</t>
  </si>
  <si>
    <t>Unit</t>
  </si>
  <si>
    <t>Value</t>
  </si>
  <si>
    <t>Discount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</si>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</sst>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(* #,##0_);_(* \(#,##0\);_(* &quot;-&quot;??_);_(@_)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80" fontId="0" fillId="0" borderId="1" xfId="1" applyNumberFormat="1" applyFont="1" applyBorder="1" applyAlignment="1">
      <alignment horizontal="center" vertical="center"/>
    </xf>
    <xf numFmtId="9" fontId="0" fillId="0" borderId="0" xfId="0" applyNumberForma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9" fontId="0" fillId="0" borderId="0" xfId="3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P30"/>
  <sheetViews>
    <sheetView tabSelected="1" workbookViewId="0">
      <selection activeCell="O20" sqref="O20"/>
    </sheetView>
  </sheetViews>
  <sheetFormatPr defaultColWidth="8.88888888888889" defaultRowHeight="14.4"/>
  <cols>
    <col min="3" max="3" width="15.2222222222222" customWidth="1"/>
    <col min="4" max="4" width="9.44444444444444"/>
    <col min="16" max="16" width="11.6666666666667" customWidth="1"/>
  </cols>
  <sheetData>
    <row r="4" spans="2:5">
      <c r="B4" s="1" t="s">
        <v>0</v>
      </c>
      <c r="C4" s="1" t="s">
        <v>1</v>
      </c>
      <c r="D4" s="1" t="s">
        <v>2</v>
      </c>
      <c r="E4" s="2" t="s">
        <v>3</v>
      </c>
    </row>
    <row r="5" spans="2:12">
      <c r="B5" s="3" t="s">
        <v>4</v>
      </c>
      <c r="C5" s="4">
        <v>8725</v>
      </c>
      <c r="D5" s="4">
        <v>255249</v>
      </c>
      <c r="E5" s="3" t="s">
        <v>5</v>
      </c>
      <c r="K5" t="s">
        <v>6</v>
      </c>
      <c r="L5" t="e">
        <f>VLOOKUP(K5,$B$5:$E$11,2,TRUE)</f>
        <v>#N/A</v>
      </c>
    </row>
    <row r="6" spans="2:16">
      <c r="B6" s="3" t="s">
        <v>7</v>
      </c>
      <c r="C6" s="4">
        <v>3199</v>
      </c>
      <c r="D6" s="4">
        <v>309731</v>
      </c>
      <c r="E6" s="3" t="s">
        <v>8</v>
      </c>
      <c r="H6" t="s">
        <v>9</v>
      </c>
      <c r="K6" t="s">
        <v>6</v>
      </c>
      <c r="L6" t="str" cm="1">
        <f t="array" ref="L6">INDEX(B5:B11,MATCH(C7,C5:C11,0))</f>
        <v>ENGRO</v>
      </c>
      <c r="O6" s="6" t="s">
        <v>3</v>
      </c>
      <c r="P6" s="7" t="s">
        <v>1</v>
      </c>
    </row>
    <row r="7" spans="2:16">
      <c r="B7" s="3" t="s">
        <v>6</v>
      </c>
      <c r="C7" s="4">
        <v>5084</v>
      </c>
      <c r="D7" s="4">
        <v>231925</v>
      </c>
      <c r="E7" s="3" t="s">
        <v>10</v>
      </c>
      <c r="H7" t="s">
        <v>11</v>
      </c>
      <c r="K7" t="s">
        <v>6</v>
      </c>
      <c r="L7">
        <f>_xlfn.XLOOKUP(K7,B5:B11,C5:C11)</f>
        <v>5084</v>
      </c>
      <c r="O7" s="3" t="s">
        <v>5</v>
      </c>
      <c r="P7">
        <f>_xlfn.XLOOKUP(O7,E5:E11,C5:C11)</f>
        <v>8725</v>
      </c>
    </row>
    <row r="8" spans="2:16">
      <c r="B8" s="3" t="s">
        <v>12</v>
      </c>
      <c r="C8" s="4">
        <v>4327</v>
      </c>
      <c r="D8" s="4">
        <v>218368</v>
      </c>
      <c r="E8" s="3" t="s">
        <v>13</v>
      </c>
      <c r="H8" t="s">
        <v>14</v>
      </c>
      <c r="O8" s="3" t="s">
        <v>8</v>
      </c>
      <c r="P8">
        <f t="shared" ref="P8:P13" si="0">_xlfn.XLOOKUP(O8,E6:E12,C6:C12)</f>
        <v>3199</v>
      </c>
    </row>
    <row r="9" spans="2:16">
      <c r="B9" s="3" t="s">
        <v>15</v>
      </c>
      <c r="C9" s="4">
        <v>6589</v>
      </c>
      <c r="D9" s="4">
        <v>290117</v>
      </c>
      <c r="E9" s="3" t="s">
        <v>16</v>
      </c>
      <c r="H9" t="s">
        <v>17</v>
      </c>
      <c r="O9" s="3" t="s">
        <v>10</v>
      </c>
      <c r="P9">
        <f t="shared" si="0"/>
        <v>5084</v>
      </c>
    </row>
    <row r="10" spans="2:16">
      <c r="B10" s="3" t="s">
        <v>18</v>
      </c>
      <c r="C10" s="4">
        <v>6682</v>
      </c>
      <c r="D10" s="4">
        <v>416515</v>
      </c>
      <c r="E10" s="3" t="s">
        <v>19</v>
      </c>
      <c r="H10" t="s">
        <v>20</v>
      </c>
      <c r="O10" s="3" t="s">
        <v>13</v>
      </c>
      <c r="P10">
        <f t="shared" si="0"/>
        <v>4327</v>
      </c>
    </row>
    <row r="11" spans="2:16">
      <c r="B11" s="3" t="s">
        <v>21</v>
      </c>
      <c r="C11" s="4">
        <v>8326</v>
      </c>
      <c r="D11" s="4">
        <v>127560</v>
      </c>
      <c r="E11" s="3" t="s">
        <v>22</v>
      </c>
      <c r="H11" t="s">
        <v>23</v>
      </c>
      <c r="O11" s="3" t="s">
        <v>16</v>
      </c>
      <c r="P11">
        <f t="shared" si="0"/>
        <v>6589</v>
      </c>
    </row>
    <row r="12" spans="8:16">
      <c r="H12" t="s">
        <v>24</v>
      </c>
      <c r="O12" s="3" t="s">
        <v>19</v>
      </c>
      <c r="P12">
        <f t="shared" si="0"/>
        <v>6682</v>
      </c>
    </row>
    <row r="13" spans="8:16">
      <c r="H13" t="s">
        <v>25</v>
      </c>
      <c r="O13" s="3" t="s">
        <v>22</v>
      </c>
      <c r="P13">
        <f t="shared" si="0"/>
        <v>8326</v>
      </c>
    </row>
    <row r="14" spans="8:8">
      <c r="H14" t="s">
        <v>26</v>
      </c>
    </row>
    <row r="15" spans="8:8">
      <c r="H15" t="s">
        <v>27</v>
      </c>
    </row>
    <row r="18" spans="13:14">
      <c r="M18" t="s">
        <v>28</v>
      </c>
      <c r="N18" t="s">
        <v>29</v>
      </c>
    </row>
    <row r="19" spans="1:14">
      <c r="A19" t="s">
        <v>30</v>
      </c>
      <c r="B19">
        <v>10</v>
      </c>
      <c r="C19">
        <v>25</v>
      </c>
      <c r="D19">
        <v>35</v>
      </c>
      <c r="E19">
        <v>50</v>
      </c>
      <c r="M19" t="s">
        <v>31</v>
      </c>
      <c r="N19">
        <f>MATCH(N18,H7:H15,0)</f>
        <v>7</v>
      </c>
    </row>
    <row r="20" spans="1:14">
      <c r="A20" t="s">
        <v>32</v>
      </c>
      <c r="B20" s="5">
        <v>0.01</v>
      </c>
      <c r="C20" s="5">
        <v>0.05</v>
      </c>
      <c r="D20" s="5">
        <v>0.07</v>
      </c>
      <c r="E20" s="5">
        <v>0.1</v>
      </c>
      <c r="H20" t="s">
        <v>30</v>
      </c>
      <c r="I20" t="s">
        <v>32</v>
      </c>
      <c r="M20" t="s">
        <v>33</v>
      </c>
      <c r="N20" t="str" cm="1">
        <f t="array" ref="N20">INDEX(H7:H15,MATCH(N18,H7:H15,0))</f>
        <v>stu-189</v>
      </c>
    </row>
    <row r="21" spans="8:9">
      <c r="H21">
        <v>25</v>
      </c>
      <c r="I21" s="8" cm="1">
        <f t="array" ref="I21">_xlfn.XLOOKUP(H21,B19:E19,B20:E20,,0)</f>
        <v>0.05</v>
      </c>
    </row>
    <row r="22" spans="8:9">
      <c r="H22">
        <v>26</v>
      </c>
      <c r="I22" s="8" cm="1">
        <f t="array" ref="I22">_xlfn.XLOOKUP(H22,B19:E19,B20:E20,,1)</f>
        <v>0.07</v>
      </c>
    </row>
    <row r="23" spans="8:9">
      <c r="H23">
        <v>27</v>
      </c>
      <c r="I23" s="8" cm="1">
        <f t="array" ref="I23">_xlfn.XLOOKUP(H23,B19:E19,B20:E20,,1)</f>
        <v>0.07</v>
      </c>
    </row>
    <row r="24" spans="8:9">
      <c r="H24">
        <v>28</v>
      </c>
      <c r="I24" s="8" cm="1">
        <f t="array" ref="I24">_xlfn.XLOOKUP(H24,B19:E19,B20:E20,,1)</f>
        <v>0.07</v>
      </c>
    </row>
    <row r="25" spans="8:9">
      <c r="H25">
        <v>29</v>
      </c>
      <c r="I25" s="8" cm="1">
        <f t="array" ref="I25">_xlfn.XLOOKUP(H25,B19:E19,B20:E20,,1)</f>
        <v>0.07</v>
      </c>
    </row>
    <row r="26" spans="8:9">
      <c r="H26">
        <v>30</v>
      </c>
      <c r="I26" s="8" cm="1">
        <f t="array" ref="I26">_xlfn.XLOOKUP(H26,B19:E19,B20:E20,,1)</f>
        <v>0.07</v>
      </c>
    </row>
    <row r="27" spans="8:9">
      <c r="H27">
        <v>35</v>
      </c>
      <c r="I27" s="8" cm="1">
        <f t="array" ref="I27">_xlfn.XLOOKUP(H27,B19:E19,B20:E20,,0)</f>
        <v>0.07</v>
      </c>
    </row>
    <row r="28" spans="8:9">
      <c r="H28">
        <v>40</v>
      </c>
      <c r="I28" s="8" cm="1">
        <f t="array" ref="I28">_xlfn.XLOOKUP(H28,B19:E19,B20:E20,,1)</f>
        <v>0.1</v>
      </c>
    </row>
    <row r="29" spans="8:9">
      <c r="H29">
        <v>45</v>
      </c>
      <c r="I29" s="8" cm="1">
        <f t="array" ref="I29">_xlfn.XLOOKUP(H29,B19:E19,B20:E20,,1)</f>
        <v>0.1</v>
      </c>
    </row>
    <row r="30" spans="8:9">
      <c r="H30">
        <v>50</v>
      </c>
      <c r="I30" s="8" cm="1">
        <f t="array" ref="I30">_xlfn.XLOOKUP(H30,B19:E19,B20:E20,,0)</f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RWn. Mayur Vaishnav</dc:creator>
  <cp:lastModifiedBy>HP</cp:lastModifiedBy>
  <dcterms:created xsi:type="dcterms:W3CDTF">2025-10-06T12:16:00Z</dcterms:created>
  <dcterms:modified xsi:type="dcterms:W3CDTF">2025-10-06T13:06:57Z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B525B9094C234BB0A6C929F6EDABEB4F_13</vt:lpwstr>
  </property>
  <property fmtid="{D5CDD505-2E9C-101B-9397-08002B2CF9AE}" pid="3" name="KSOProductBuildVer">
    <vt:lpwstr>1033-12.2.0.22549</vt:lpwstr>
  </property>
</Properties>
</file>