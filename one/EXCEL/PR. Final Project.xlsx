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firstSheet="5" activeTab="5"/>
  </bookViews>
  <sheets>
    <sheet name="Project Instructions" sheetId="1" r:id="rId1"/>
    <sheet name="Dashboard" sheetId="8" r:id="rId2"/>
    <sheet name="Final Project Dataset" sheetId="2" r:id="rId3"/>
    <sheet name="Total Amount by Region." sheetId="4" r:id="rId4"/>
    <sheet name=" Total Amount by Product_Name." sheetId="5" r:id="rId5"/>
    <sheet name="Quantity by Customer Segment" sheetId="6" r:id="rId6"/>
    <sheet name="Total Amount by Date" sheetId="10" r:id="rId7"/>
  </sheets>
  <definedNames>
    <definedName name="Slicer_Category">#N/A</definedName>
    <definedName name="Slicer_Region">#N/A</definedName>
    <definedName name="Slicer_Month_Year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<sst xmlns="http://schemas.openxmlformats.org/spreadsheetml/2006/main" count="2327" uniqueCount="437">
  <si>
    <t>PR. Final Project - "Data Intelligence Dashboard"</t>
  </si>
  <si>
    <r>
      <rPr>
        <b/>
        <sz val="11"/>
        <color theme="1"/>
        <rFont val="Calibri"/>
        <charset val="134"/>
      </rPr>
      <t xml:space="preserve">Dataset: </t>
    </r>
    <r>
      <rPr>
        <sz val="11"/>
        <color theme="1"/>
        <rFont val="Calibri"/>
        <charset val="134"/>
      </rPr>
      <t xml:space="preserve">Use the 'Final Project Dataset' sheet containing 200+ records of customer transactions.
</t>
    </r>
    <r>
      <rPr>
        <b/>
        <sz val="11"/>
        <color theme="1"/>
        <rFont val="Calibri"/>
        <charset val="134"/>
      </rPr>
      <t xml:space="preserve">Objective: </t>
    </r>
    <r>
      <rPr>
        <sz val="11"/>
        <color theme="1"/>
        <rFont val="Calibri"/>
        <charset val="134"/>
      </rPr>
      <t xml:space="preserve">
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  <charset val="134"/>
      </rPr>
      <t xml:space="preserve">Key Topics to Implement:
</t>
    </r>
    <r>
      <rPr>
        <sz val="11"/>
        <color rgb="FF38761D"/>
        <rFont val="Calibri"/>
        <charset val="134"/>
      </rPr>
      <t>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dataset.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</t>
    </r>
    <r>
      <rPr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 xml:space="preserve">Deliverable:
</t>
    </r>
    <r>
      <rPr>
        <sz val="11"/>
        <color theme="1"/>
        <rFont val="Calibri"/>
        <charset val="134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</si>
  <si>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Transaction_ID</t>
  </si>
  <si>
    <t>Date</t>
  </si>
  <si>
    <t>Month-Year</t>
  </si>
  <si>
    <t>Customer_ID</t>
  </si>
  <si>
    <t>Customer_Name</t>
  </si>
  <si>
    <t>Initial Name</t>
  </si>
  <si>
    <t>Name_count</t>
  </si>
  <si>
    <t>Product_ID</t>
  </si>
  <si>
    <t>Product_Name</t>
  </si>
  <si>
    <t>Product_Count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</si>
  <si>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</si>
  <si>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</si>
  <si>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</si>
  <si>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</si>
  <si>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</si>
  <si>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</si>
  <si>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</si>
  <si>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</si>
  <si>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 xml:space="preserve">High-Value-Customer 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</si>
  <si>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</si>
  <si>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</si>
  <si>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</si>
  <si>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</si>
  <si>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</si>
  <si>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</si>
  <si>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</si>
  <si>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</si>
  <si>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</si>
  <si>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</si>
  <si>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</si>
  <si>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</si>
  <si>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</si>
  <si>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</si>
  <si>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</si>
  <si>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</si>
  <si>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</si>
  <si>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</si>
  <si>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</si>
  <si>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</si>
  <si>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</si>
  <si>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</si>
  <si>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</si>
  <si>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</si>
  <si>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</si>
  <si>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</si>
  <si>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</si>
  <si>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</si>
  <si>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</si>
  <si>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</si>
  <si>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</si>
  <si>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</si>
  <si>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</si>
  <si>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Date and Time Function</t>
  </si>
  <si>
    <t>TRX0092</t>
  </si>
  <si>
    <t>CUST024</t>
  </si>
  <si>
    <t>Dorothy Nelson</t>
  </si>
  <si>
    <t>West</t>
  </si>
  <si>
    <t xml:space="preserve">TODAY </t>
  </si>
  <si>
    <t>TRX0193</t>
  </si>
  <si>
    <t>P003</t>
  </si>
  <si>
    <t>Headphones</t>
  </si>
  <si>
    <t>NOW</t>
  </si>
  <si>
    <t>Timestamp</t>
  </si>
  <si>
    <t>Total spend by unique customer</t>
  </si>
  <si>
    <t>TRX0240</t>
  </si>
  <si>
    <t>CUST017</t>
  </si>
  <si>
    <t>Charles Allen</t>
  </si>
  <si>
    <t>Debit Card</t>
  </si>
  <si>
    <t xml:space="preserve"> DATEDIF in year</t>
  </si>
  <si>
    <t>Column1</t>
  </si>
  <si>
    <t>Column2</t>
  </si>
  <si>
    <t>Total_Spend</t>
  </si>
  <si>
    <t>TRX0135</t>
  </si>
  <si>
    <t>CUST009</t>
  </si>
  <si>
    <t>Robert Thomas</t>
  </si>
  <si>
    <t>P001</t>
  </si>
  <si>
    <t>Laptop</t>
  </si>
  <si>
    <t>East</t>
  </si>
  <si>
    <t xml:space="preserve"> EOMONTH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</si>
  <si>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</si>
  <si>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</si>
  <si>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</si>
  <si>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</si>
  <si>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</si>
  <si>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</si>
  <si>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</si>
  <si>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</si>
  <si>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</si>
  <si>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</si>
  <si>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Filter Function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</si>
  <si>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</si>
  <si>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</si>
  <si>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</si>
  <si>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</si>
  <si>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</si>
  <si>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</si>
  <si>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</si>
  <si>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</si>
  <si>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</si>
  <si>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</si>
  <si>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</si>
  <si>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</si>
  <si>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</si>
  <si>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</si>
  <si>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</si>
  <si>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</si>
  <si>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</si>
  <si>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What-IF analysis</t>
  </si>
  <si>
    <t>TRX0122</t>
  </si>
  <si>
    <t>TRX0222</t>
  </si>
  <si>
    <t>CUST048</t>
  </si>
  <si>
    <t>Virginia Sanders</t>
  </si>
  <si>
    <t>After</t>
  </si>
  <si>
    <t>TRX0231</t>
  </si>
  <si>
    <t>CUST018</t>
  </si>
  <si>
    <t>Barbara Young</t>
  </si>
  <si>
    <t>Before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</si>
  <si>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</si>
  <si>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</si>
  <si>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</si>
  <si>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</si>
  <si>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</si>
  <si>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</si>
  <si>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</si>
  <si>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</si>
  <si>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</si>
  <si>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</si>
  <si>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</si>
  <si>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</si>
  <si>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Most Frequently Purchased Product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</si>
  <si>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</si>
  <si>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</si>
  <si>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</si>
  <si>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</si>
  <si>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</si>
  <si>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</si>
  <si>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</si>
  <si>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</si>
  <si>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</si>
  <si>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</si>
  <si>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</si>
  <si>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</si>
  <si>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</si>
  <si>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</si>
  <si>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</si>
  <si>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</si>
  <si>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</si>
  <si>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</si>
  <si>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</si>
  <si>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</si>
  <si>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</si>
  <si>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</si>
  <si>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</si>
  <si>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</si>
  <si>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</si>
  <si>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</si>
  <si>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</si>
  <si>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</si>
  <si>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</si>
  <si>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</si>
  <si>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</si>
  <si>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</si>
  <si>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</si>
  <si>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</si>
  <si>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</si>
  <si>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</si>
  <si>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</si>
  <si>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</si>
  <si>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</si>
  <si>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</si>
  <si>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</si>
  <si>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</si>
  <si>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</si>
  <si>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</si>
  <si>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</si>
  <si>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</si>
  <si>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</si>
  <si>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</si>
  <si>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</si>
  <si>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</si>
  <si>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</si>
  <si>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</si>
  <si>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</si>
  <si>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</si>
  <si>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</si>
  <si>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</si>
  <si>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</si>
  <si>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</si>
  <si>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</si>
  <si>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</si>
  <si>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</si>
  <si>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</si>
  <si>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</si>
  <si>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</si>
  <si>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</si>
  <si>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</si>
  <si>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</si>
  <si>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</si>
  <si>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</si>
  <si>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</si>
  <si>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</si>
  <si>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</si>
  <si>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</si>
  <si>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</si>
  <si>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</si>
  <si>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</si>
  <si>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</si>
  <si>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</si>
  <si>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</si>
  <si>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</si>
  <si>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</si>
  <si>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</si>
  <si>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</si>
  <si>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</si>
  <si>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</si>
  <si>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</si>
  <si>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</si>
  <si>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</si>
  <si>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</si>
  <si>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</si>
  <si>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</si>
  <si>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</si>
  <si>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</si>
  <si>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</si>
  <si>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</si>
  <si>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</si>
  <si>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</si>
  <si>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</si>
  <si>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</si>
  <si>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</si>
  <si>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</si>
  <si>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</si>
  <si>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</si>
  <si>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</si>
  <si>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</si>
  <si>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</si>
  <si>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</si>
  <si>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</si>
  <si>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</si>
  <si>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</si>
  <si>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</si>
  <si>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</si>
  <si>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</si>
  <si>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</si>
  <si>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</si>
  <si>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</si>
  <si>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</si>
  <si>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</si>
  <si>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</si>
  <si>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</si>
  <si>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</si>
  <si>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</si>
  <si>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</si>
  <si>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</si>
  <si>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</si>
  <si>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</si>
  <si>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</si>
  <si>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</si>
  <si>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</si>
  <si>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</si>
  <si>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</si>
  <si>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</si>
  <si>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</si>
  <si>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</si>
  <si>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</si>
  <si>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</si>
  <si>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</si>
  <si>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</si>
  <si>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</si>
  <si>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</si>
  <si>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</si>
  <si>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</si>
  <si>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</si>
  <si>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</si>
  <si>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</si>
  <si>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</si>
  <si>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</si>
  <si>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</si>
  <si>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</si>
  <si>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</si>
  <si>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</si>
  <si>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</si>
  <si>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</si>
  <si>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</si>
  <si>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</si>
  <si>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</si>
  <si>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</si>
  <si>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</si>
  <si>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</si>
  <si>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</si>
  <si>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</si>
  <si>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</si>
  <si>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</si>
  <si>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</si>
  <si>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</si>
  <si>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</si>
  <si>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</si>
  <si>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</si>
  <si>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</si>
  <si>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</si>
  <si>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</si>
  <si>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</si>
  <si>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</si>
  <si>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</si>
  <si>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</si>
  <si>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</si>
  <si>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</si>
  <si>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</si>
  <si>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</si>
  <si>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</si>
  <si>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</si>
  <si>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</si>
  <si>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</si>
  <si>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</si>
  <si>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</si>
  <si>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</si>
  <si>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</si>
  <si>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</si>
  <si>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</si>
  <si>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</si>
  <si>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</si>
  <si>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</si>
  <si>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</si>
  <si>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</si>
  <si>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</si>
  <si>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</si>
  <si>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</si>
  <si>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</si>
  <si>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</si>
  <si>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</si>
  <si>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</si>
  <si>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</si>
  <si>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</si>
  <si>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</si>
  <si>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</si>
  <si>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</si>
  <si>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</si>
  <si>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</si>
  <si>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</si>
  <si>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</si>
  <si>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</si>
  <si>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</si>
  <si>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</si>
  <si>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</si>
  <si>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</si>
  <si>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</si>
  <si>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</si>
  <si>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</si>
  <si>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</si>
  <si>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</si>
  <si>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</si>
  <si>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</si>
  <si>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</si>
  <si>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</si>
  <si>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</si>
  <si>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</si>
  <si>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</si>
  <si>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</si>
  <si>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</si>
  <si>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</si>
  <si>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</si>
  <si>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</si>
  <si>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</si>
  <si>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</si>
  <si>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</si>
  <si>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</si>
  <si>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</si>
  <si>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</si>
  <si>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</si>
  <si>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</si>
  <si>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</si>
  <si>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</si>
  <si>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</si>
  <si>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</si>
  <si>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</si>
  <si>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</si>
  <si>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</si>
  <si>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</si>
  <si>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</si>
  <si>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</si>
  <si>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</si>
  <si>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</si>
  <si>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</si>
  <si>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</si>
  <si>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</si>
  <si>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</si>
  <si>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</si>
  <si>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</si>
  <si>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</si>
  <si>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</si>
  <si>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</si>
  <si>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</si>
  <si>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</si>
  <si>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</si>
  <si>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</si>
  <si>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</si>
  <si>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</si>
  <si>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</si>
  <si>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</si>
  <si>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</si>
  <si>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</si>
  <si>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</si>
  <si>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</si>
  <si>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</si>
  <si>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</si>
  <si>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</si>
  <si>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</si>
  <si>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</si>
  <si>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</si>
  <si>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</si>
  <si>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</si>
  <si>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</si>
  <si>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</si>
  <si>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</si>
  <si>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</si>
  <si>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</si>
  <si>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</si>
  <si>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</si>
  <si>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</si>
  <si>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Sum of Total_Amount</t>
  </si>
  <si>
    <t>Grand Total</t>
  </si>
  <si>
    <t>Sum of Quantity</t>
  </si>
  <si>
    <t>Apr-2024</t>
  </si>
  <si>
    <t>Apr-2025</t>
  </si>
  <si>
    <t>Aug-2024</t>
  </si>
  <si>
    <t>Dec-2024</t>
  </si>
  <si>
    <t>Feb-2025</t>
  </si>
  <si>
    <t>Jan-2025</t>
  </si>
  <si>
    <t>Jul-2024</t>
  </si>
  <si>
    <t>Jun-2024</t>
  </si>
  <si>
    <t>Mar-2025</t>
  </si>
  <si>
    <t>May-2024</t>
  </si>
  <si>
    <t>Nov-2024</t>
  </si>
  <si>
    <t>Oct-2024</t>
  </si>
  <si>
    <t>Sep-2024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</si>
</sst>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dd/mm/yyyy"/>
    <numFmt numFmtId="182" formatCode="dd/mm/yyyy\ hh:mm"/>
    <numFmt numFmtId="183" formatCode="[$-809]dd\ mmmm\ yyyy;@"/>
  </numFmts>
  <fonts count="25">
    <font>
      <sz val="11"/>
      <color theme="1"/>
      <name val="Book Antiqua"/>
      <charset val="134"/>
      <scheme val="minor"/>
    </font>
    <font>
      <b/>
      <sz val="11"/>
      <color theme="1"/>
      <name val="Book Antiqua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Book Antiqua"/>
      <charset val="0"/>
      <scheme val="minor"/>
    </font>
    <font>
      <u/>
      <sz val="11"/>
      <color rgb="FF800080"/>
      <name val="Book Antiqua"/>
      <charset val="0"/>
      <scheme val="minor"/>
    </font>
    <font>
      <sz val="11"/>
      <color rgb="FFFF0000"/>
      <name val="Book Antiqua"/>
      <charset val="0"/>
      <scheme val="minor"/>
    </font>
    <font>
      <b/>
      <sz val="18"/>
      <color theme="3"/>
      <name val="Book Antiqua"/>
      <charset val="134"/>
      <scheme val="minor"/>
    </font>
    <font>
      <i/>
      <sz val="11"/>
      <color rgb="FF7F7F7F"/>
      <name val="Book Antiqua"/>
      <charset val="0"/>
      <scheme val="minor"/>
    </font>
    <font>
      <b/>
      <sz val="15"/>
      <color theme="3"/>
      <name val="Book Antiqua"/>
      <charset val="134"/>
      <scheme val="minor"/>
    </font>
    <font>
      <b/>
      <sz val="13"/>
      <color theme="3"/>
      <name val="Book Antiqua"/>
      <charset val="134"/>
      <scheme val="minor"/>
    </font>
    <font>
      <b/>
      <sz val="11"/>
      <color theme="3"/>
      <name val="Book Antiqua"/>
      <charset val="134"/>
      <scheme val="minor"/>
    </font>
    <font>
      <sz val="11"/>
      <color rgb="FF3F3F76"/>
      <name val="Book Antiqua"/>
      <charset val="0"/>
      <scheme val="minor"/>
    </font>
    <font>
      <b/>
      <sz val="11"/>
      <color rgb="FF3F3F3F"/>
      <name val="Book Antiqua"/>
      <charset val="0"/>
      <scheme val="minor"/>
    </font>
    <font>
      <b/>
      <sz val="11"/>
      <color rgb="FFFA7D00"/>
      <name val="Book Antiqua"/>
      <charset val="0"/>
      <scheme val="minor"/>
    </font>
    <font>
      <b/>
      <sz val="11"/>
      <color rgb="FFFFFFFF"/>
      <name val="Book Antiqua"/>
      <charset val="0"/>
      <scheme val="minor"/>
    </font>
    <font>
      <sz val="11"/>
      <color rgb="FFFA7D00"/>
      <name val="Book Antiqua"/>
      <charset val="0"/>
      <scheme val="minor"/>
    </font>
    <font>
      <b/>
      <sz val="11"/>
      <color theme="1"/>
      <name val="Book Antiqua"/>
      <charset val="0"/>
      <scheme val="minor"/>
    </font>
    <font>
      <sz val="11"/>
      <color rgb="FF006100"/>
      <name val="Book Antiqua"/>
      <charset val="0"/>
      <scheme val="minor"/>
    </font>
    <font>
      <sz val="11"/>
      <color rgb="FF9C0006"/>
      <name val="Book Antiqua"/>
      <charset val="0"/>
      <scheme val="minor"/>
    </font>
    <font>
      <sz val="11"/>
      <color rgb="FF9C6500"/>
      <name val="Book Antiqua"/>
      <charset val="0"/>
      <scheme val="minor"/>
    </font>
    <font>
      <sz val="11"/>
      <color theme="0"/>
      <name val="Book Antiqua"/>
      <charset val="0"/>
      <scheme val="minor"/>
    </font>
    <font>
      <sz val="11"/>
      <color theme="1"/>
      <name val="Book Antiqua"/>
      <charset val="0"/>
      <scheme val="minor"/>
    </font>
    <font>
      <sz val="11"/>
      <color theme="1"/>
      <name val="Calibri"/>
      <charset val="134"/>
    </font>
    <font>
      <b/>
      <sz val="11"/>
      <color rgb="FF367526"/>
      <name val="Calibri"/>
      <charset val="134"/>
    </font>
    <font>
      <sz val="11"/>
      <color rgb="FF38761D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/>
    <xf numFmtId="180" fontId="0" fillId="0" borderId="0" xfId="0" applyNumberFormat="1" applyFont="1" applyAlignment="1"/>
    <xf numFmtId="0" fontId="1" fillId="0" borderId="0" xfId="0" applyFont="1"/>
    <xf numFmtId="0" fontId="0" fillId="2" borderId="0" xfId="0" applyFont="1" applyFill="1" applyAlignment="1">
      <alignment horizontal="center"/>
    </xf>
    <xf numFmtId="181" fontId="0" fillId="0" borderId="0" xfId="0" applyNumberFormat="1" applyFont="1" applyAlignment="1"/>
    <xf numFmtId="182" fontId="0" fillId="0" borderId="0" xfId="0" applyNumberFormat="1" applyFont="1" applyAlignment="1"/>
    <xf numFmtId="0" fontId="0" fillId="2" borderId="0" xfId="0" applyFont="1" applyFill="1" applyAlignment="1"/>
    <xf numFmtId="0" fontId="0" fillId="0" borderId="0" xfId="0" applyNumberFormat="1" applyFont="1" applyAlignment="1"/>
    <xf numFmtId="183" fontId="0" fillId="0" borderId="0" xfId="0" applyNumberFormat="1" applyFont="1" applyAlignment="1"/>
    <xf numFmtId="183" fontId="0" fillId="2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Book Antiqua"/>
        <scheme val="none"/>
        <charset val="134"/>
        <family val="0"/>
        <b val="0"/>
        <i val="0"/>
        <strike val="0"/>
        <u val="none"/>
        <sz val="11"/>
        <color theme="1"/>
      </font>
      <numFmt numFmtId="183" formatCode="[$-809]dd\ mmmm\ yyyy;@"/>
    </dxf>
    <dxf>
      <font>
        <name val="Book Antiqua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Project.xlsx]Total Amount by Region.!PivotTable1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Total Amount by Region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Amount by Region.'!$B$3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'Total Amount by Region.'!$A$4:$A$5</c:f>
              <c:strCache>
                <c:ptCount val="1"/>
                <c:pt idx="0">
                  <c:v>North</c:v>
                </c:pt>
              </c:strCache>
            </c:strRef>
          </c:cat>
          <c:val>
            <c:numRef>
              <c:f>'Total Amount by Region.'!$B$4:$B$5</c:f>
              <c:numCache>
                <c:formatCode>General</c:formatCode>
                <c:ptCount val="1"/>
                <c:pt idx="0">
                  <c:v>39239.04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4302446"/>
        <c:axId val="916000953"/>
      </c:barChart>
      <c:catAx>
        <c:axId val="2243024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6000953"/>
        <c:crosses val="autoZero"/>
        <c:auto val="1"/>
        <c:lblAlgn val="ctr"/>
        <c:lblOffset val="100"/>
        <c:noMultiLvlLbl val="0"/>
      </c:catAx>
      <c:valAx>
        <c:axId val="9160009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302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3ba6e0-87ec-4ab4-9832-e0f1fff9e7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Project.xlsx]Quantity by Customer Segment!PivotTable1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Quantity by Customer Segment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'Quantity by Customer Segment'!$B$3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by Customer Segment'!$A$4:$A$7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'Quantity by Customer Segment'!$B$4:$B$7</c:f>
              <c:numCache>
                <c:formatCode>General</c:formatCode>
                <c:ptCount val="3"/>
                <c:pt idx="0">
                  <c:v>23</c:v>
                </c:pt>
                <c:pt idx="1">
                  <c:v>55</c:v>
                </c:pt>
                <c:pt idx="2">
                  <c:v>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0413c7-af02-4c41-bdfd-fcc45b13c5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Project.xlsx]Total Amount by Date!PivotTable6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 Amount by Month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Amount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'Total Amount by Date'!$A$4:$A$17</c:f>
              <c:strCache>
                <c:ptCount val="13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Feb-2025</c:v>
                </c:pt>
                <c:pt idx="5">
                  <c:v>Jan-2025</c:v>
                </c:pt>
                <c:pt idx="6">
                  <c:v>Jul-2024</c:v>
                </c:pt>
                <c:pt idx="7">
                  <c:v>Jun-2024</c:v>
                </c:pt>
                <c:pt idx="8">
                  <c:v>Mar-2025</c:v>
                </c:pt>
                <c:pt idx="9">
                  <c:v>May-2024</c:v>
                </c:pt>
                <c:pt idx="10">
                  <c:v>Nov-2024</c:v>
                </c:pt>
                <c:pt idx="11">
                  <c:v>Oct-2024</c:v>
                </c:pt>
                <c:pt idx="12">
                  <c:v>Sep-2024</c:v>
                </c:pt>
              </c:strCache>
            </c:strRef>
          </c:cat>
          <c:val>
            <c:numRef>
              <c:f>'Total Amount by Date'!$B$4:$B$17</c:f>
              <c:numCache>
                <c:formatCode>General</c:formatCode>
                <c:ptCount val="13"/>
                <c:pt idx="0">
                  <c:v>20919.33</c:v>
                </c:pt>
                <c:pt idx="1">
                  <c:v>6979.83</c:v>
                </c:pt>
                <c:pt idx="2">
                  <c:v>15759.43</c:v>
                </c:pt>
                <c:pt idx="3">
                  <c:v>23039.3</c:v>
                </c:pt>
                <c:pt idx="4">
                  <c:v>16069.38</c:v>
                </c:pt>
                <c:pt idx="5">
                  <c:v>25799.15</c:v>
                </c:pt>
                <c:pt idx="6">
                  <c:v>18479.4</c:v>
                </c:pt>
                <c:pt idx="7">
                  <c:v>19299.45</c:v>
                </c:pt>
                <c:pt idx="8">
                  <c:v>19899.38</c:v>
                </c:pt>
                <c:pt idx="9">
                  <c:v>17039.35</c:v>
                </c:pt>
                <c:pt idx="10">
                  <c:v>12309.44</c:v>
                </c:pt>
                <c:pt idx="11">
                  <c:v>20609.52</c:v>
                </c:pt>
                <c:pt idx="12">
                  <c:v>12989.51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84854"/>
        <c:axId val="95637075"/>
      </c:lineChart>
      <c:catAx>
        <c:axId val="5255848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37075"/>
        <c:crosses val="autoZero"/>
        <c:auto val="1"/>
        <c:lblAlgn val="ctr"/>
        <c:lblOffset val="100"/>
        <c:noMultiLvlLbl val="0"/>
      </c:catAx>
      <c:valAx>
        <c:axId val="956370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5848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33428b0-25ad-4322-8727-7097adb5f4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 Total Amount by Product_Name.!PivotTable1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IN" altLang="en-US"/>
              <a:t> Amount by Product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Total Amount by Product_Name.'!$B$3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 Total Amount by Product_Name.'!$A$4:$A$9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</c:strCache>
            </c:strRef>
          </c:cat>
          <c:val>
            <c:numRef>
              <c:f>' Total Amount by Product_Name.'!$B$4:$B$9</c:f>
              <c:numCache>
                <c:formatCode>General</c:formatCode>
                <c:ptCount val="5"/>
                <c:pt idx="0">
                  <c:v>1949.87</c:v>
                </c:pt>
                <c:pt idx="1">
                  <c:v>1889.79</c:v>
                </c:pt>
                <c:pt idx="2">
                  <c:v>12599.86</c:v>
                </c:pt>
                <c:pt idx="3">
                  <c:v>5999.76</c:v>
                </c:pt>
                <c:pt idx="4">
                  <c:v>16799.76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51701982"/>
        <c:axId val="522445141"/>
      </c:barChart>
      <c:catAx>
        <c:axId val="75170198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445141"/>
        <c:crosses val="autoZero"/>
        <c:auto val="1"/>
        <c:lblAlgn val="ctr"/>
        <c:lblOffset val="100"/>
        <c:noMultiLvlLbl val="0"/>
      </c:catAx>
      <c:valAx>
        <c:axId val="5224451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7019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da7dbf-c487-4b9e-a394-cf3b87b44f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558800</xdr:colOff>
      <xdr:row>19</xdr:row>
      <xdr:rowOff>0</xdr:rowOff>
    </xdr:to>
    <xdr:graphicFrame>
      <xdr:nvGraphicFramePr>
        <xdr:cNvPr id="2" name="Chart 1"/>
        <xdr:cNvGraphicFramePr/>
      </xdr:nvGraphicFramePr>
      <xdr:xfrm>
        <a:off x="609600" y="731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</xdr:row>
      <xdr:rowOff>0</xdr:rowOff>
    </xdr:from>
    <xdr:to>
      <xdr:col>18</xdr:col>
      <xdr:colOff>558800</xdr:colOff>
      <xdr:row>19</xdr:row>
      <xdr:rowOff>0</xdr:rowOff>
    </xdr:to>
    <xdr:graphicFrame>
      <xdr:nvGraphicFramePr>
        <xdr:cNvPr id="3" name="Chart 2"/>
        <xdr:cNvGraphicFramePr/>
      </xdr:nvGraphicFramePr>
      <xdr:xfrm>
        <a:off x="6705600" y="7315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558800</xdr:colOff>
      <xdr:row>38</xdr:row>
      <xdr:rowOff>0</xdr:rowOff>
    </xdr:to>
    <xdr:graphicFrame>
      <xdr:nvGraphicFramePr>
        <xdr:cNvPr id="4" name="Chart 3"/>
        <xdr:cNvGraphicFramePr/>
      </xdr:nvGraphicFramePr>
      <xdr:xfrm>
        <a:off x="609600" y="42062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18</xdr:col>
      <xdr:colOff>558800</xdr:colOff>
      <xdr:row>38</xdr:row>
      <xdr:rowOff>0</xdr:rowOff>
    </xdr:to>
    <xdr:graphicFrame>
      <xdr:nvGraphicFramePr>
        <xdr:cNvPr id="5" name="Chart 4"/>
        <xdr:cNvGraphicFramePr/>
      </xdr:nvGraphicFramePr>
      <xdr:xfrm>
        <a:off x="6705600" y="42062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255270</xdr:colOff>
      <xdr:row>0</xdr:row>
      <xdr:rowOff>102870</xdr:rowOff>
    </xdr:from>
    <xdr:to>
      <xdr:col>28</xdr:col>
      <xdr:colOff>46355</xdr:colOff>
      <xdr:row>3</xdr:row>
      <xdr:rowOff>92710</xdr:rowOff>
    </xdr:to>
    <xdr:sp>
      <xdr:nvSpPr>
        <xdr:cNvPr id="7" name="Rounded Rectangle 6"/>
        <xdr:cNvSpPr/>
      </xdr:nvSpPr>
      <xdr:spPr>
        <a:xfrm>
          <a:off x="255270" y="102870"/>
          <a:ext cx="16981805" cy="5384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302895</xdr:colOff>
      <xdr:row>0</xdr:row>
      <xdr:rowOff>121920</xdr:rowOff>
    </xdr:from>
    <xdr:to>
      <xdr:col>19</xdr:col>
      <xdr:colOff>169545</xdr:colOff>
      <xdr:row>3</xdr:row>
      <xdr:rowOff>160020</xdr:rowOff>
    </xdr:to>
    <xdr:sp>
      <xdr:nvSpPr>
        <xdr:cNvPr id="8" name="Text Box 7"/>
        <xdr:cNvSpPr txBox="1"/>
      </xdr:nvSpPr>
      <xdr:spPr>
        <a:xfrm>
          <a:off x="7008495" y="121920"/>
          <a:ext cx="4743450" cy="5867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threePt" dir="t"/>
          </a:scene3d>
        </a:bodyPr>
        <a:p>
          <a:pPr algn="l"/>
          <a:r>
            <a:rPr lang="en-IN" altLang="en-US" sz="2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Data Intelligence Dashboard</a:t>
          </a:r>
          <a:endParaRPr lang="en-IN" altLang="en-US" sz="24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20</xdr:col>
      <xdr:colOff>231775</xdr:colOff>
      <xdr:row>6</xdr:row>
      <xdr:rowOff>158115</xdr:rowOff>
    </xdr:from>
    <xdr:to>
      <xdr:col>23</xdr:col>
      <xdr:colOff>231140</xdr:colOff>
      <xdr:row>14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3775" y="1255395"/>
              <a:ext cx="1828165" cy="1355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24</xdr:col>
      <xdr:colOff>379095</xdr:colOff>
      <xdr:row>5</xdr:row>
      <xdr:rowOff>150495</xdr:rowOff>
    </xdr:from>
    <xdr:to>
      <xdr:col>27</xdr:col>
      <xdr:colOff>364490</xdr:colOff>
      <xdr:row>29</xdr:row>
      <xdr:rowOff>68580</xdr:rowOff>
    </xdr:to>
    <xdr:grpSp>
      <xdr:nvGrpSpPr>
        <xdr:cNvPr id="28" name="Group 27"/>
        <xdr:cNvGrpSpPr/>
      </xdr:nvGrpSpPr>
      <xdr:grpSpPr>
        <a:xfrm>
          <a:off x="15009495" y="1064895"/>
          <a:ext cx="1814195" cy="4307205"/>
          <a:chOff x="23992" y="1691"/>
          <a:chExt cx="2866" cy="7099"/>
        </a:xfrm>
      </xdr:grpSpPr>
      <xdr:grpSp>
        <xdr:nvGrpSpPr>
          <xdr:cNvPr id="20" name="Group 19"/>
          <xdr:cNvGrpSpPr/>
        </xdr:nvGrpSpPr>
        <xdr:grpSpPr>
          <a:xfrm rot="0">
            <a:off x="23992" y="1691"/>
            <a:ext cx="2867" cy="4360"/>
            <a:chOff x="24595" y="1704"/>
            <a:chExt cx="2883" cy="4360"/>
          </a:xfrm>
        </xdr:grpSpPr>
        <xdr:grpSp>
          <xdr:nvGrpSpPr>
            <xdr:cNvPr id="19" name="Group 18"/>
            <xdr:cNvGrpSpPr/>
          </xdr:nvGrpSpPr>
          <xdr:grpSpPr>
            <a:xfrm>
              <a:off x="24595" y="1704"/>
              <a:ext cx="2753" cy="1683"/>
              <a:chOff x="24595" y="1705"/>
              <a:chExt cx="2754" cy="1683"/>
            </a:xfrm>
          </xdr:grpSpPr>
          <xdr:sp>
            <xdr:nvSpPr>
              <xdr:cNvPr id="10" name="Rounded Rectangle 9"/>
              <xdr:cNvSpPr/>
            </xdr:nvSpPr>
            <xdr:spPr>
              <a:xfrm>
                <a:off x="24644" y="1705"/>
                <a:ext cx="2659" cy="1683"/>
              </a:xfrm>
              <a:prstGeom prst="roundRect">
                <a:avLst/>
              </a:prstGeom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p>
                <a:pPr algn="l"/>
                <a:endParaRPr lang="en-US" sz="1100"/>
              </a:p>
            </xdr:txBody>
          </xdr:sp>
          <xdr:sp>
            <xdr:nvSpPr>
              <xdr:cNvPr id="11" name="Text Box 10"/>
              <xdr:cNvSpPr txBox="1"/>
            </xdr:nvSpPr>
            <xdr:spPr>
              <a:xfrm>
                <a:off x="24676" y="1804"/>
                <a:ext cx="2673" cy="601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p>
                <a:pPr algn="l"/>
                <a:r>
                  <a:rPr lang="en-US" sz="1300" b="1">
                    <a:solidFill>
                      <a:schemeClr val="bg1"/>
                    </a:solidFill>
                    <a:latin typeface="Times New Roman" panose="02020603050405020304" charset="0"/>
                    <a:cs typeface="Times New Roman" panose="02020603050405020304" charset="0"/>
                  </a:rPr>
                  <a:t>TOTAL REVENUE	</a:t>
                </a:r>
                <a:endParaRPr lang="en-US" sz="1300" b="1"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endParaRPr>
              </a:p>
              <a:p>
                <a:pPr algn="l"/>
                <a:endParaRPr lang="en-US" sz="1300" b="1"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endParaRPr>
              </a:p>
            </xdr:txBody>
          </xdr:sp>
          <xdr:sp>
            <xdr:nvSpPr>
              <xdr:cNvPr id="12" name="Text Box 11"/>
              <xdr:cNvSpPr txBox="1"/>
            </xdr:nvSpPr>
            <xdr:spPr>
              <a:xfrm>
                <a:off x="24595" y="2629"/>
                <a:ext cx="2676" cy="606"/>
              </a:xfrm>
              <a:prstGeom prst="rect">
                <a:avLst/>
              </a:prstGeom>
              <a:noFill/>
              <a:ln w="9525" cmpd="sng"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chemeClr val="lt1"/>
                    </a:solidFill>
                  </a14:hiddenFill>
                </a:ext>
              </a:extLst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>
                <a:defPPr>
                  <a:defRPr lang="en-US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600" b="1">
                    <a:solidFill>
                      <a:schemeClr val="bg1"/>
                    </a:solidFill>
                    <a:latin typeface="Times New Roman" panose="02020603050405020304" charset="0"/>
                    <a:cs typeface="Times New Roman" panose="02020603050405020304" charset="0"/>
                  </a:rPr>
                  <a:t>₹2,29,192.47</a:t>
                </a:r>
                <a:r>
                  <a:rPr lang="en-US" sz="1600" b="1">
                    <a:latin typeface="Times New Roman" panose="02020603050405020304" charset="0"/>
                    <a:cs typeface="Times New Roman" panose="02020603050405020304" charset="0"/>
                  </a:rPr>
                  <a:t> 	</a:t>
                </a:r>
                <a:endParaRPr lang="en-US" sz="1600" b="1">
                  <a:latin typeface="Times New Roman" panose="02020603050405020304" charset="0"/>
                  <a:cs typeface="Times New Roman" panose="02020603050405020304" charset="0"/>
                </a:endParaRPr>
              </a:p>
              <a:p>
                <a:pPr algn="ctr"/>
                <a:endParaRPr lang="en-US" sz="1600" b="1">
                  <a:latin typeface="Times New Roman" panose="02020603050405020304" charset="0"/>
                  <a:cs typeface="Times New Roman" panose="02020603050405020304" charset="0"/>
                </a:endParaRPr>
              </a:p>
            </xdr:txBody>
          </xdr:sp>
        </xdr:grpSp>
        <xdr:sp>
          <xdr:nvSpPr>
            <xdr:cNvPr id="13" name="Rounded Rectangle 12"/>
            <xdr:cNvSpPr/>
          </xdr:nvSpPr>
          <xdr:spPr>
            <a:xfrm>
              <a:off x="24686" y="4379"/>
              <a:ext cx="2660" cy="1685"/>
            </a:xfrm>
            <a:prstGeom prst="roundRect">
              <a:avLst/>
            </a:prstGeom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sp>
          <xdr:nvSpPr>
            <xdr:cNvPr id="14" name="Text Box 13"/>
            <xdr:cNvSpPr txBox="1"/>
          </xdr:nvSpPr>
          <xdr:spPr>
            <a:xfrm>
              <a:off x="24804" y="4478"/>
              <a:ext cx="2674" cy="601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300" b="1"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rPr>
                <a:t>Total Transactions	</a:t>
              </a:r>
              <a:endParaRPr lang="en-US" sz="1300" b="1"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l"/>
              <a:endParaRPr lang="en-US" sz="1300" b="1"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  <xdr:sp>
          <xdr:nvSpPr>
            <xdr:cNvPr id="15" name="Text Box 14"/>
            <xdr:cNvSpPr txBox="1"/>
          </xdr:nvSpPr>
          <xdr:spPr>
            <a:xfrm>
              <a:off x="24722" y="5308"/>
              <a:ext cx="2673" cy="598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 anchorCtr="0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altLang="en-US" sz="1600" b="1"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rPr>
                <a:t>      </a:t>
              </a:r>
              <a:r>
                <a:rPr lang="en-US" sz="1600" b="1"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rPr>
                <a:t>250</a:t>
              </a:r>
              <a:r>
                <a:rPr lang="en-US" sz="1600" b="1">
                  <a:latin typeface="Times New Roman" panose="02020603050405020304" charset="0"/>
                  <a:cs typeface="Times New Roman" panose="02020603050405020304" charset="0"/>
                </a:rPr>
                <a:t>	</a:t>
              </a:r>
              <a:endParaRPr lang="en-US" sz="1600" b="1"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ctr"/>
              <a:endParaRPr lang="en-US" sz="1600" b="1"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</xdr:grpSp>
      <xdr:grpSp>
        <xdr:nvGrpSpPr>
          <xdr:cNvPr id="22" name="Group 21"/>
          <xdr:cNvGrpSpPr/>
        </xdr:nvGrpSpPr>
        <xdr:grpSpPr>
          <a:xfrm rot="0">
            <a:off x="24055" y="7106"/>
            <a:ext cx="2727" cy="1684"/>
            <a:chOff x="24658" y="7109"/>
            <a:chExt cx="2733" cy="1684"/>
          </a:xfrm>
        </xdr:grpSpPr>
        <xdr:sp>
          <xdr:nvSpPr>
            <xdr:cNvPr id="16" name="Rounded Rectangle 15"/>
            <xdr:cNvSpPr/>
          </xdr:nvSpPr>
          <xdr:spPr>
            <a:xfrm>
              <a:off x="24688" y="7109"/>
              <a:ext cx="2659" cy="1685"/>
            </a:xfrm>
            <a:prstGeom prst="roundRect">
              <a:avLst/>
            </a:prstGeom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sp>
          <xdr:nvSpPr>
            <xdr:cNvPr id="17" name="Text Box 16"/>
            <xdr:cNvSpPr txBox="1"/>
          </xdr:nvSpPr>
          <xdr:spPr>
            <a:xfrm>
              <a:off x="24719" y="7207"/>
              <a:ext cx="2672" cy="599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300" b="1"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rPr>
                <a:t>Total Quantity Sold	</a:t>
              </a:r>
              <a:endParaRPr lang="en-US" sz="1300" b="1"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l"/>
              <a:endParaRPr lang="en-US" sz="1300" b="1">
                <a:solidFill>
                  <a:schemeClr val="bg1"/>
                </a:solidFill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  <xdr:sp>
          <xdr:nvSpPr>
            <xdr:cNvPr id="18" name="Text Box 17"/>
            <xdr:cNvSpPr txBox="1"/>
          </xdr:nvSpPr>
          <xdr:spPr>
            <a:xfrm>
              <a:off x="24658" y="8036"/>
              <a:ext cx="2672" cy="601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 anchorCtr="0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altLang="en-US" sz="1600" b="1">
                  <a:ln>
                    <a:noFill/>
                  </a:ln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rPr>
                <a:t>      </a:t>
              </a:r>
              <a:r>
                <a:rPr lang="en-US" sz="1600" b="1">
                  <a:ln>
                    <a:noFill/>
                  </a:ln>
                  <a:solidFill>
                    <a:schemeClr val="bg1"/>
                  </a:solidFill>
                  <a:latin typeface="Times New Roman" panose="02020603050405020304" charset="0"/>
                  <a:cs typeface="Times New Roman" panose="02020603050405020304" charset="0"/>
                </a:rPr>
                <a:t>753</a:t>
              </a:r>
              <a:r>
                <a:rPr lang="en-US" sz="1600" b="1">
                  <a:latin typeface="Times New Roman" panose="02020603050405020304" charset="0"/>
                  <a:cs typeface="Times New Roman" panose="02020603050405020304" charset="0"/>
                </a:rPr>
                <a:t>	</a:t>
              </a:r>
              <a:endParaRPr lang="en-US" sz="1600" b="1">
                <a:latin typeface="Times New Roman" panose="02020603050405020304" charset="0"/>
                <a:cs typeface="Times New Roman" panose="02020603050405020304" charset="0"/>
              </a:endParaRPr>
            </a:p>
            <a:p>
              <a:pPr algn="ctr"/>
              <a:endParaRPr lang="en-US" sz="1600" b="1"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</xdr:grpSp>
    </xdr:grpSp>
    <xdr:clientData/>
  </xdr:twoCellAnchor>
  <xdr:twoCellAnchor editAs="oneCell">
    <xdr:from>
      <xdr:col>20</xdr:col>
      <xdr:colOff>208280</xdr:colOff>
      <xdr:row>17</xdr:row>
      <xdr:rowOff>25400</xdr:rowOff>
    </xdr:from>
    <xdr:to>
      <xdr:col>23</xdr:col>
      <xdr:colOff>207645</xdr:colOff>
      <xdr:row>26</xdr:row>
      <xdr:rowOff>84455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00280" y="3134360"/>
              <a:ext cx="1828165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235585</xdr:colOff>
      <xdr:row>29</xdr:row>
      <xdr:rowOff>22860</xdr:rowOff>
    </xdr:from>
    <xdr:to>
      <xdr:col>23</xdr:col>
      <xdr:colOff>235585</xdr:colOff>
      <xdr:row>41</xdr:row>
      <xdr:rowOff>142240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Month-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-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7585" y="5326380"/>
              <a:ext cx="1828800" cy="2313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9</xdr:row>
          <xdr:rowOff>5715</xdr:rowOff>
        </xdr:from>
        <xdr:to>
          <xdr:col>27</xdr:col>
          <xdr:colOff>874395</xdr:colOff>
          <xdr:row>10</xdr:row>
          <xdr:rowOff>20955</xdr:rowOff>
        </xdr:to>
        <xdr:sp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23298150" y="1651635"/>
              <a:ext cx="714375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10</xdr:row>
          <xdr:rowOff>5715</xdr:rowOff>
        </xdr:from>
        <xdr:to>
          <xdr:col>27</xdr:col>
          <xdr:colOff>874395</xdr:colOff>
          <xdr:row>11</xdr:row>
          <xdr:rowOff>20955</xdr:rowOff>
        </xdr:to>
        <xdr:sp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23298150" y="1834515"/>
              <a:ext cx="714375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11</xdr:row>
          <xdr:rowOff>5715</xdr:rowOff>
        </xdr:from>
        <xdr:to>
          <xdr:col>27</xdr:col>
          <xdr:colOff>874395</xdr:colOff>
          <xdr:row>12</xdr:row>
          <xdr:rowOff>20955</xdr:rowOff>
        </xdr:to>
        <xdr:sp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23298150" y="2017395"/>
              <a:ext cx="714375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12</xdr:row>
          <xdr:rowOff>5715</xdr:rowOff>
        </xdr:from>
        <xdr:to>
          <xdr:col>27</xdr:col>
          <xdr:colOff>874395</xdr:colOff>
          <xdr:row>13</xdr:row>
          <xdr:rowOff>20955</xdr:rowOff>
        </xdr:to>
        <xdr:sp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23298150" y="2200275"/>
              <a:ext cx="714375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12</xdr:row>
          <xdr:rowOff>5715</xdr:rowOff>
        </xdr:from>
        <xdr:to>
          <xdr:col>27</xdr:col>
          <xdr:colOff>874395</xdr:colOff>
          <xdr:row>13</xdr:row>
          <xdr:rowOff>20955</xdr:rowOff>
        </xdr:to>
        <xdr:sp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23298150" y="2200275"/>
              <a:ext cx="714375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13</xdr:row>
          <xdr:rowOff>5715</xdr:rowOff>
        </xdr:from>
        <xdr:to>
          <xdr:col>27</xdr:col>
          <xdr:colOff>874395</xdr:colOff>
          <xdr:row>14</xdr:row>
          <xdr:rowOff>20955</xdr:rowOff>
        </xdr:to>
        <xdr:sp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23298150" y="2383155"/>
              <a:ext cx="714375" cy="198120"/>
            </a:xfrm>
            <a:prstGeom prst="rect">
              <a:avLst/>
            </a:prstGeom>
          </xdr:spPr>
          <xdr:txBody>
            <a:bodyPr wrap="square" anchor="ctr" upright="1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  <a:p>
              <a:pPr algn="l" rtl="0"/>
              <a:endParaRPr lang="zh-CN" altLang="en-US" sz="800">
                <a:solidFill>
                  <a:srgbClr val="000000"/>
                </a:solidFill>
                <a:latin typeface="Tahoma" panose="020B0604030504040204" charset="0"/>
                <a:ea typeface="Tahoma" panose="020B0604030504040204" charset="0"/>
                <a:cs typeface="Tahoma" panose="020B0604030504040204" charset="0"/>
                <a:sym typeface="Tahoma" panose="020B0604030504040204" charset="0"/>
              </a:endParaRPr>
            </a:p>
          </xdr:txBody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5412615741" refreshedBy="HP" recordCount="250">
  <cacheSource type="worksheet">
    <worksheetSource ref="A1:S251" sheet="Final Project Dataset"/>
  </cacheSource>
  <cacheFields count="18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80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Initial Name" numFmtId="0">
      <sharedItems count="49">
        <s v="PB"/>
        <s v="JJ"/>
        <s v="KS"/>
        <s v="KB"/>
        <s v="MB"/>
        <s v="DN"/>
        <s v="CA"/>
        <s v="RT"/>
        <s v="KH"/>
        <s v="SG"/>
        <s v="PR"/>
        <s v="DG"/>
        <s v="MR"/>
        <s v="GA"/>
        <s v="MC"/>
        <s v="MG"/>
        <s v="VS"/>
        <s v="BY"/>
        <s v="PM"/>
        <s v="CP"/>
        <s v="NC"/>
        <s v="LM"/>
        <s v="HR"/>
        <s v="EM"/>
        <s v="LA"/>
        <s v="EW"/>
        <s v="ST"/>
        <s v="JT"/>
        <s v="HM"/>
        <s v="DK"/>
        <s v="SB"/>
        <s v="SD"/>
        <s v="BC"/>
        <s v="JF"/>
        <s v="RR"/>
        <s v="DM"/>
        <s v="MW"/>
        <s v="FT"/>
        <s v="GM"/>
        <s v="EH"/>
        <s v="LR"/>
        <s v="CE"/>
        <s v="SP"/>
        <s v="RB"/>
        <s v="WW"/>
        <s v="RL"/>
        <s v="DW"/>
        <s v="AE"/>
        <s v="JS"/>
      </sharedItems>
    </cacheField>
    <cacheField name="Name_count" numFmtId="0">
      <sharedItems containsSemiMixedTypes="0" containsString="0" containsNumber="1" containsInteger="1" minValue="1" maxValue="12" count="10">
        <n v="8"/>
        <n v="5"/>
        <n v="6"/>
        <n v="9"/>
        <n v="4"/>
        <n v="2"/>
        <n v="3"/>
        <n v="12"/>
        <n v="7"/>
        <n v="1"/>
      </sharedItems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Product_Count" numFmtId="0">
      <sharedItems containsSemiMixedTypes="0" containsString="0" containsNumber="1" containsInteger="1" minValue="14" maxValue="35" count="9">
        <n v="26"/>
        <n v="29"/>
        <n v="35"/>
        <n v="16"/>
        <n v="24"/>
        <n v="31"/>
        <n v="14"/>
        <n v="34"/>
        <n v="15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Unit_Price" numFmtId="0">
      <sharedItems containsSemiMixedTypes="0" containsString="0" containsNumber="1" minValue="59.99" maxValue="899.99" count="9">
        <n v="249.99"/>
        <n v="59.99"/>
        <n v="149.99"/>
        <n v="899.99"/>
        <n v="699.99"/>
        <n v="299.99"/>
        <n v="79.99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80">
      <sharedItems containsSemiMixedTypes="0" containsString="0" containsNonDate="0" containsDate="1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59.99" maxValue="4499.95" count="44">
        <n v="749.97"/>
        <n v="179.97"/>
        <n v="749.95"/>
        <n v="119.98"/>
        <n v="2699.97"/>
        <n v="149.99"/>
        <n v="449.97"/>
        <n v="2099.97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"/>
        <n v="79.99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6"/>
        <n v="199.99"/>
        <n v="299.95"/>
        <n v="1799.98"/>
      </sharedItems>
    </cacheField>
    <cacheField name="High-Value-Customer " numFmtId="0">
      <sharedItems count="2">
        <s v="Other"/>
        <s v="High-Value Customer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5499305556" refreshedBy="HP" recordCount="250">
  <cacheSource type="worksheet">
    <worksheetSource ref="C1:R251" sheet="Final Project Dataset"/>
  </cacheSource>
  <cacheFields count="16">
    <cacheField name="Month-Year" numFmtId="0">
      <sharedItems count="13">
        <s v="Apr-2024"/>
        <s v="May-2024"/>
        <s v="Jun-2024"/>
        <s v="Jul-2024"/>
        <s v="Aug-2024"/>
        <s v="Sep-2024"/>
        <s v="Oct-2024"/>
        <s v="Nov-2024"/>
        <s v="Dec-2024"/>
        <s v="Jan-2025"/>
        <s v="Feb-2025"/>
        <s v="Mar-2025"/>
        <s v="Apr-2025"/>
      </sharedItems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Initial Name" numFmtId="0">
      <sharedItems count="49">
        <s v="PB"/>
        <s v="JJ"/>
        <s v="KS"/>
        <s v="KB"/>
        <s v="MB"/>
        <s v="DN"/>
        <s v="CA"/>
        <s v="RT"/>
        <s v="KH"/>
        <s v="SG"/>
        <s v="PR"/>
        <s v="DG"/>
        <s v="MR"/>
        <s v="GA"/>
        <s v="MC"/>
        <s v="MG"/>
        <s v="VS"/>
        <s v="BY"/>
        <s v="PM"/>
        <s v="CP"/>
        <s v="NC"/>
        <s v="LM"/>
        <s v="HR"/>
        <s v="EM"/>
        <s v="LA"/>
        <s v="EW"/>
        <s v="ST"/>
        <s v="JT"/>
        <s v="HM"/>
        <s v="DK"/>
        <s v="SB"/>
        <s v="SD"/>
        <s v="BC"/>
        <s v="JF"/>
        <s v="RR"/>
        <s v="DM"/>
        <s v="MW"/>
        <s v="FT"/>
        <s v="GM"/>
        <s v="EH"/>
        <s v="LR"/>
        <s v="CE"/>
        <s v="SP"/>
        <s v="RB"/>
        <s v="WW"/>
        <s v="RL"/>
        <s v="DW"/>
        <s v="AE"/>
        <s v="JS"/>
      </sharedItems>
    </cacheField>
    <cacheField name="Name_count" numFmtId="0">
      <sharedItems containsSemiMixedTypes="0" containsString="0" containsNumber="1" containsInteger="1" minValue="0" maxValue="12" count="10">
        <n v="8"/>
        <n v="5"/>
        <n v="6"/>
        <n v="9"/>
        <n v="4"/>
        <n v="2"/>
        <n v="3"/>
        <n v="12"/>
        <n v="7"/>
        <n v="1"/>
      </sharedItems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Product_Count" numFmtId="0">
      <sharedItems containsSemiMixedTypes="0" containsString="0" containsNumber="1" containsInteger="1" minValue="0" maxValue="35" count="9">
        <n v="26"/>
        <n v="29"/>
        <n v="35"/>
        <n v="16"/>
        <n v="24"/>
        <n v="31"/>
        <n v="14"/>
        <n v="34"/>
        <n v="15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0" maxValue="5" count="5">
        <n v="3"/>
        <n v="5"/>
        <n v="2"/>
        <n v="1"/>
        <n v="4"/>
      </sharedItems>
    </cacheField>
    <cacheField name="Unit_Price" numFmtId="0">
      <sharedItems containsSemiMixedTypes="0" containsString="0" containsNumber="1" minValue="0" maxValue="899.99" count="9">
        <n v="249.99"/>
        <n v="59.99"/>
        <n v="149.99"/>
        <n v="899.99"/>
        <n v="699.99"/>
        <n v="299.99"/>
        <n v="79.99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80">
      <sharedItems containsSemiMixedTypes="0" containsString="0" containsNonDate="0" containsDate="1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0" maxValue="4499.95" count="44">
        <n v="749.97"/>
        <n v="179.97"/>
        <n v="749.95"/>
        <n v="119.98"/>
        <n v="2699.97"/>
        <n v="149.99"/>
        <n v="449.97"/>
        <n v="2099.97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"/>
        <n v="79.99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6"/>
        <n v="199.99"/>
        <n v="299.95"/>
        <n v="1799.98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0"/>
    <x v="0"/>
    <x v="0"/>
    <x v="0"/>
    <x v="1"/>
    <x v="0"/>
    <x v="1"/>
    <x v="1"/>
    <x v="0"/>
    <x v="0"/>
  </r>
  <r>
    <x v="2"/>
    <x v="2"/>
    <x v="2"/>
    <x v="2"/>
    <x v="2"/>
    <x v="2"/>
    <x v="1"/>
    <x v="1"/>
    <x v="1"/>
    <x v="1"/>
    <x v="0"/>
    <x v="1"/>
    <x v="2"/>
    <x v="1"/>
    <x v="2"/>
    <x v="2"/>
    <x v="1"/>
    <x v="0"/>
  </r>
  <r>
    <x v="3"/>
    <x v="3"/>
    <x v="3"/>
    <x v="3"/>
    <x v="3"/>
    <x v="2"/>
    <x v="1"/>
    <x v="1"/>
    <x v="1"/>
    <x v="1"/>
    <x v="0"/>
    <x v="1"/>
    <x v="0"/>
    <x v="2"/>
    <x v="1"/>
    <x v="3"/>
    <x v="1"/>
    <x v="0"/>
  </r>
  <r>
    <x v="4"/>
    <x v="3"/>
    <x v="4"/>
    <x v="4"/>
    <x v="4"/>
    <x v="3"/>
    <x v="2"/>
    <x v="2"/>
    <x v="2"/>
    <x v="2"/>
    <x v="1"/>
    <x v="2"/>
    <x v="1"/>
    <x v="2"/>
    <x v="1"/>
    <x v="4"/>
    <x v="2"/>
    <x v="0"/>
  </r>
  <r>
    <x v="5"/>
    <x v="4"/>
    <x v="5"/>
    <x v="5"/>
    <x v="5"/>
    <x v="2"/>
    <x v="1"/>
    <x v="1"/>
    <x v="1"/>
    <x v="1"/>
    <x v="2"/>
    <x v="1"/>
    <x v="0"/>
    <x v="3"/>
    <x v="2"/>
    <x v="5"/>
    <x v="3"/>
    <x v="0"/>
  </r>
  <r>
    <x v="6"/>
    <x v="4"/>
    <x v="5"/>
    <x v="5"/>
    <x v="5"/>
    <x v="2"/>
    <x v="3"/>
    <x v="3"/>
    <x v="3"/>
    <x v="0"/>
    <x v="1"/>
    <x v="2"/>
    <x v="1"/>
    <x v="0"/>
    <x v="2"/>
    <x v="6"/>
    <x v="2"/>
    <x v="0"/>
  </r>
  <r>
    <x v="7"/>
    <x v="4"/>
    <x v="6"/>
    <x v="6"/>
    <x v="6"/>
    <x v="3"/>
    <x v="1"/>
    <x v="1"/>
    <x v="1"/>
    <x v="1"/>
    <x v="0"/>
    <x v="1"/>
    <x v="3"/>
    <x v="1"/>
    <x v="0"/>
    <x v="7"/>
    <x v="1"/>
    <x v="0"/>
  </r>
  <r>
    <x v="8"/>
    <x v="5"/>
    <x v="7"/>
    <x v="7"/>
    <x v="7"/>
    <x v="1"/>
    <x v="4"/>
    <x v="4"/>
    <x v="4"/>
    <x v="0"/>
    <x v="0"/>
    <x v="3"/>
    <x v="2"/>
    <x v="4"/>
    <x v="2"/>
    <x v="8"/>
    <x v="4"/>
    <x v="1"/>
  </r>
  <r>
    <x v="9"/>
    <x v="6"/>
    <x v="8"/>
    <x v="8"/>
    <x v="8"/>
    <x v="0"/>
    <x v="1"/>
    <x v="1"/>
    <x v="1"/>
    <x v="1"/>
    <x v="0"/>
    <x v="1"/>
    <x v="0"/>
    <x v="3"/>
    <x v="1"/>
    <x v="9"/>
    <x v="1"/>
    <x v="0"/>
  </r>
  <r>
    <x v="10"/>
    <x v="6"/>
    <x v="9"/>
    <x v="9"/>
    <x v="9"/>
    <x v="4"/>
    <x v="2"/>
    <x v="2"/>
    <x v="2"/>
    <x v="2"/>
    <x v="3"/>
    <x v="2"/>
    <x v="1"/>
    <x v="3"/>
    <x v="2"/>
    <x v="10"/>
    <x v="5"/>
    <x v="0"/>
  </r>
  <r>
    <x v="11"/>
    <x v="6"/>
    <x v="3"/>
    <x v="3"/>
    <x v="3"/>
    <x v="2"/>
    <x v="2"/>
    <x v="2"/>
    <x v="2"/>
    <x v="2"/>
    <x v="1"/>
    <x v="2"/>
    <x v="3"/>
    <x v="2"/>
    <x v="0"/>
    <x v="11"/>
    <x v="2"/>
    <x v="0"/>
  </r>
  <r>
    <x v="12"/>
    <x v="6"/>
    <x v="10"/>
    <x v="10"/>
    <x v="10"/>
    <x v="1"/>
    <x v="2"/>
    <x v="2"/>
    <x v="2"/>
    <x v="2"/>
    <x v="0"/>
    <x v="2"/>
    <x v="0"/>
    <x v="2"/>
    <x v="1"/>
    <x v="12"/>
    <x v="6"/>
    <x v="0"/>
  </r>
  <r>
    <x v="13"/>
    <x v="7"/>
    <x v="11"/>
    <x v="11"/>
    <x v="11"/>
    <x v="5"/>
    <x v="1"/>
    <x v="1"/>
    <x v="1"/>
    <x v="1"/>
    <x v="0"/>
    <x v="1"/>
    <x v="1"/>
    <x v="2"/>
    <x v="2"/>
    <x v="13"/>
    <x v="1"/>
    <x v="0"/>
  </r>
  <r>
    <x v="14"/>
    <x v="7"/>
    <x v="12"/>
    <x v="12"/>
    <x v="12"/>
    <x v="5"/>
    <x v="5"/>
    <x v="5"/>
    <x v="5"/>
    <x v="0"/>
    <x v="0"/>
    <x v="4"/>
    <x v="1"/>
    <x v="3"/>
    <x v="0"/>
    <x v="14"/>
    <x v="7"/>
    <x v="1"/>
  </r>
  <r>
    <x v="15"/>
    <x v="7"/>
    <x v="13"/>
    <x v="13"/>
    <x v="13"/>
    <x v="6"/>
    <x v="4"/>
    <x v="4"/>
    <x v="4"/>
    <x v="0"/>
    <x v="3"/>
    <x v="3"/>
    <x v="3"/>
    <x v="2"/>
    <x v="2"/>
    <x v="15"/>
    <x v="8"/>
    <x v="0"/>
  </r>
  <r>
    <x v="16"/>
    <x v="8"/>
    <x v="14"/>
    <x v="14"/>
    <x v="14"/>
    <x v="7"/>
    <x v="2"/>
    <x v="2"/>
    <x v="2"/>
    <x v="2"/>
    <x v="4"/>
    <x v="2"/>
    <x v="3"/>
    <x v="2"/>
    <x v="1"/>
    <x v="16"/>
    <x v="9"/>
    <x v="0"/>
  </r>
  <r>
    <x v="17"/>
    <x v="8"/>
    <x v="15"/>
    <x v="15"/>
    <x v="15"/>
    <x v="4"/>
    <x v="5"/>
    <x v="5"/>
    <x v="5"/>
    <x v="0"/>
    <x v="2"/>
    <x v="4"/>
    <x v="0"/>
    <x v="2"/>
    <x v="0"/>
    <x v="17"/>
    <x v="10"/>
    <x v="0"/>
  </r>
  <r>
    <x v="18"/>
    <x v="8"/>
    <x v="14"/>
    <x v="14"/>
    <x v="14"/>
    <x v="7"/>
    <x v="4"/>
    <x v="4"/>
    <x v="4"/>
    <x v="0"/>
    <x v="4"/>
    <x v="3"/>
    <x v="1"/>
    <x v="3"/>
    <x v="2"/>
    <x v="18"/>
    <x v="11"/>
    <x v="1"/>
  </r>
  <r>
    <x v="19"/>
    <x v="8"/>
    <x v="16"/>
    <x v="16"/>
    <x v="16"/>
    <x v="2"/>
    <x v="0"/>
    <x v="0"/>
    <x v="0"/>
    <x v="0"/>
    <x v="0"/>
    <x v="0"/>
    <x v="1"/>
    <x v="2"/>
    <x v="1"/>
    <x v="19"/>
    <x v="0"/>
    <x v="0"/>
  </r>
  <r>
    <x v="20"/>
    <x v="9"/>
    <x v="17"/>
    <x v="17"/>
    <x v="17"/>
    <x v="1"/>
    <x v="5"/>
    <x v="5"/>
    <x v="5"/>
    <x v="0"/>
    <x v="1"/>
    <x v="4"/>
    <x v="0"/>
    <x v="3"/>
    <x v="0"/>
    <x v="20"/>
    <x v="12"/>
    <x v="1"/>
  </r>
  <r>
    <x v="21"/>
    <x v="10"/>
    <x v="18"/>
    <x v="18"/>
    <x v="18"/>
    <x v="0"/>
    <x v="5"/>
    <x v="5"/>
    <x v="5"/>
    <x v="0"/>
    <x v="4"/>
    <x v="4"/>
    <x v="0"/>
    <x v="4"/>
    <x v="2"/>
    <x v="21"/>
    <x v="13"/>
    <x v="1"/>
  </r>
  <r>
    <x v="22"/>
    <x v="11"/>
    <x v="19"/>
    <x v="19"/>
    <x v="19"/>
    <x v="1"/>
    <x v="0"/>
    <x v="0"/>
    <x v="0"/>
    <x v="0"/>
    <x v="4"/>
    <x v="0"/>
    <x v="2"/>
    <x v="2"/>
    <x v="2"/>
    <x v="22"/>
    <x v="14"/>
    <x v="0"/>
  </r>
  <r>
    <x v="23"/>
    <x v="12"/>
    <x v="14"/>
    <x v="14"/>
    <x v="14"/>
    <x v="7"/>
    <x v="6"/>
    <x v="6"/>
    <x v="0"/>
    <x v="2"/>
    <x v="4"/>
    <x v="5"/>
    <x v="0"/>
    <x v="3"/>
    <x v="1"/>
    <x v="23"/>
    <x v="15"/>
    <x v="0"/>
  </r>
  <r>
    <x v="24"/>
    <x v="13"/>
    <x v="20"/>
    <x v="20"/>
    <x v="20"/>
    <x v="2"/>
    <x v="0"/>
    <x v="0"/>
    <x v="0"/>
    <x v="0"/>
    <x v="1"/>
    <x v="0"/>
    <x v="1"/>
    <x v="3"/>
    <x v="2"/>
    <x v="24"/>
    <x v="16"/>
    <x v="0"/>
  </r>
  <r>
    <x v="25"/>
    <x v="14"/>
    <x v="9"/>
    <x v="9"/>
    <x v="9"/>
    <x v="4"/>
    <x v="6"/>
    <x v="6"/>
    <x v="0"/>
    <x v="2"/>
    <x v="1"/>
    <x v="5"/>
    <x v="2"/>
    <x v="4"/>
    <x v="0"/>
    <x v="25"/>
    <x v="17"/>
    <x v="0"/>
  </r>
  <r>
    <x v="26"/>
    <x v="14"/>
    <x v="21"/>
    <x v="21"/>
    <x v="21"/>
    <x v="4"/>
    <x v="7"/>
    <x v="7"/>
    <x v="6"/>
    <x v="1"/>
    <x v="0"/>
    <x v="6"/>
    <x v="2"/>
    <x v="4"/>
    <x v="1"/>
    <x v="26"/>
    <x v="18"/>
    <x v="0"/>
  </r>
  <r>
    <x v="27"/>
    <x v="14"/>
    <x v="18"/>
    <x v="18"/>
    <x v="18"/>
    <x v="0"/>
    <x v="8"/>
    <x v="8"/>
    <x v="7"/>
    <x v="0"/>
    <x v="1"/>
    <x v="7"/>
    <x v="0"/>
    <x v="2"/>
    <x v="1"/>
    <x v="27"/>
    <x v="19"/>
    <x v="0"/>
  </r>
  <r>
    <x v="28"/>
    <x v="15"/>
    <x v="22"/>
    <x v="22"/>
    <x v="22"/>
    <x v="8"/>
    <x v="1"/>
    <x v="1"/>
    <x v="1"/>
    <x v="1"/>
    <x v="2"/>
    <x v="1"/>
    <x v="3"/>
    <x v="0"/>
    <x v="2"/>
    <x v="28"/>
    <x v="3"/>
    <x v="0"/>
  </r>
  <r>
    <x v="29"/>
    <x v="16"/>
    <x v="23"/>
    <x v="23"/>
    <x v="23"/>
    <x v="2"/>
    <x v="1"/>
    <x v="1"/>
    <x v="1"/>
    <x v="1"/>
    <x v="4"/>
    <x v="1"/>
    <x v="3"/>
    <x v="4"/>
    <x v="2"/>
    <x v="29"/>
    <x v="20"/>
    <x v="0"/>
  </r>
  <r>
    <x v="30"/>
    <x v="16"/>
    <x v="6"/>
    <x v="6"/>
    <x v="6"/>
    <x v="3"/>
    <x v="9"/>
    <x v="9"/>
    <x v="8"/>
    <x v="2"/>
    <x v="1"/>
    <x v="8"/>
    <x v="0"/>
    <x v="1"/>
    <x v="2"/>
    <x v="30"/>
    <x v="21"/>
    <x v="0"/>
  </r>
  <r>
    <x v="31"/>
    <x v="17"/>
    <x v="24"/>
    <x v="24"/>
    <x v="24"/>
    <x v="1"/>
    <x v="2"/>
    <x v="2"/>
    <x v="2"/>
    <x v="2"/>
    <x v="2"/>
    <x v="2"/>
    <x v="1"/>
    <x v="3"/>
    <x v="0"/>
    <x v="31"/>
    <x v="22"/>
    <x v="0"/>
  </r>
  <r>
    <x v="32"/>
    <x v="18"/>
    <x v="25"/>
    <x v="25"/>
    <x v="25"/>
    <x v="1"/>
    <x v="2"/>
    <x v="2"/>
    <x v="2"/>
    <x v="2"/>
    <x v="0"/>
    <x v="2"/>
    <x v="1"/>
    <x v="3"/>
    <x v="1"/>
    <x v="32"/>
    <x v="6"/>
    <x v="0"/>
  </r>
  <r>
    <x v="33"/>
    <x v="19"/>
    <x v="2"/>
    <x v="2"/>
    <x v="2"/>
    <x v="2"/>
    <x v="4"/>
    <x v="4"/>
    <x v="4"/>
    <x v="0"/>
    <x v="3"/>
    <x v="3"/>
    <x v="1"/>
    <x v="3"/>
    <x v="1"/>
    <x v="33"/>
    <x v="8"/>
    <x v="0"/>
  </r>
  <r>
    <x v="34"/>
    <x v="20"/>
    <x v="18"/>
    <x v="18"/>
    <x v="18"/>
    <x v="0"/>
    <x v="6"/>
    <x v="6"/>
    <x v="0"/>
    <x v="2"/>
    <x v="0"/>
    <x v="5"/>
    <x v="1"/>
    <x v="4"/>
    <x v="0"/>
    <x v="34"/>
    <x v="23"/>
    <x v="0"/>
  </r>
  <r>
    <x v="35"/>
    <x v="21"/>
    <x v="24"/>
    <x v="24"/>
    <x v="24"/>
    <x v="1"/>
    <x v="7"/>
    <x v="7"/>
    <x v="6"/>
    <x v="1"/>
    <x v="0"/>
    <x v="6"/>
    <x v="0"/>
    <x v="1"/>
    <x v="0"/>
    <x v="35"/>
    <x v="18"/>
    <x v="0"/>
  </r>
  <r>
    <x v="36"/>
    <x v="22"/>
    <x v="26"/>
    <x v="26"/>
    <x v="26"/>
    <x v="2"/>
    <x v="9"/>
    <x v="9"/>
    <x v="8"/>
    <x v="2"/>
    <x v="0"/>
    <x v="8"/>
    <x v="1"/>
    <x v="2"/>
    <x v="1"/>
    <x v="36"/>
    <x v="24"/>
    <x v="0"/>
  </r>
  <r>
    <x v="37"/>
    <x v="23"/>
    <x v="27"/>
    <x v="27"/>
    <x v="27"/>
    <x v="4"/>
    <x v="5"/>
    <x v="5"/>
    <x v="5"/>
    <x v="0"/>
    <x v="1"/>
    <x v="4"/>
    <x v="2"/>
    <x v="3"/>
    <x v="2"/>
    <x v="37"/>
    <x v="12"/>
    <x v="1"/>
  </r>
  <r>
    <x v="38"/>
    <x v="24"/>
    <x v="28"/>
    <x v="28"/>
    <x v="28"/>
    <x v="4"/>
    <x v="8"/>
    <x v="8"/>
    <x v="7"/>
    <x v="0"/>
    <x v="0"/>
    <x v="7"/>
    <x v="2"/>
    <x v="0"/>
    <x v="1"/>
    <x v="38"/>
    <x v="25"/>
    <x v="0"/>
  </r>
  <r>
    <x v="39"/>
    <x v="25"/>
    <x v="29"/>
    <x v="29"/>
    <x v="29"/>
    <x v="8"/>
    <x v="7"/>
    <x v="7"/>
    <x v="6"/>
    <x v="1"/>
    <x v="3"/>
    <x v="6"/>
    <x v="0"/>
    <x v="2"/>
    <x v="2"/>
    <x v="39"/>
    <x v="26"/>
    <x v="0"/>
  </r>
  <r>
    <x v="40"/>
    <x v="26"/>
    <x v="30"/>
    <x v="30"/>
    <x v="30"/>
    <x v="2"/>
    <x v="1"/>
    <x v="1"/>
    <x v="1"/>
    <x v="1"/>
    <x v="2"/>
    <x v="1"/>
    <x v="0"/>
    <x v="3"/>
    <x v="0"/>
    <x v="40"/>
    <x v="3"/>
    <x v="0"/>
  </r>
  <r>
    <x v="41"/>
    <x v="26"/>
    <x v="6"/>
    <x v="6"/>
    <x v="6"/>
    <x v="3"/>
    <x v="8"/>
    <x v="8"/>
    <x v="7"/>
    <x v="0"/>
    <x v="3"/>
    <x v="7"/>
    <x v="0"/>
    <x v="2"/>
    <x v="0"/>
    <x v="41"/>
    <x v="27"/>
    <x v="0"/>
  </r>
  <r>
    <x v="42"/>
    <x v="27"/>
    <x v="31"/>
    <x v="31"/>
    <x v="31"/>
    <x v="1"/>
    <x v="8"/>
    <x v="8"/>
    <x v="7"/>
    <x v="0"/>
    <x v="1"/>
    <x v="7"/>
    <x v="1"/>
    <x v="4"/>
    <x v="2"/>
    <x v="42"/>
    <x v="19"/>
    <x v="0"/>
  </r>
  <r>
    <x v="43"/>
    <x v="28"/>
    <x v="1"/>
    <x v="1"/>
    <x v="1"/>
    <x v="1"/>
    <x v="0"/>
    <x v="0"/>
    <x v="0"/>
    <x v="0"/>
    <x v="1"/>
    <x v="0"/>
    <x v="1"/>
    <x v="4"/>
    <x v="2"/>
    <x v="43"/>
    <x v="16"/>
    <x v="0"/>
  </r>
  <r>
    <x v="44"/>
    <x v="28"/>
    <x v="32"/>
    <x v="32"/>
    <x v="32"/>
    <x v="1"/>
    <x v="8"/>
    <x v="8"/>
    <x v="7"/>
    <x v="0"/>
    <x v="3"/>
    <x v="7"/>
    <x v="1"/>
    <x v="1"/>
    <x v="2"/>
    <x v="44"/>
    <x v="27"/>
    <x v="0"/>
  </r>
  <r>
    <x v="45"/>
    <x v="29"/>
    <x v="4"/>
    <x v="4"/>
    <x v="4"/>
    <x v="3"/>
    <x v="2"/>
    <x v="2"/>
    <x v="2"/>
    <x v="2"/>
    <x v="2"/>
    <x v="2"/>
    <x v="0"/>
    <x v="4"/>
    <x v="1"/>
    <x v="45"/>
    <x v="22"/>
    <x v="0"/>
  </r>
  <r>
    <x v="46"/>
    <x v="30"/>
    <x v="33"/>
    <x v="33"/>
    <x v="33"/>
    <x v="9"/>
    <x v="1"/>
    <x v="1"/>
    <x v="1"/>
    <x v="1"/>
    <x v="4"/>
    <x v="1"/>
    <x v="0"/>
    <x v="4"/>
    <x v="2"/>
    <x v="46"/>
    <x v="20"/>
    <x v="0"/>
  </r>
  <r>
    <x v="47"/>
    <x v="31"/>
    <x v="24"/>
    <x v="24"/>
    <x v="24"/>
    <x v="1"/>
    <x v="8"/>
    <x v="8"/>
    <x v="7"/>
    <x v="0"/>
    <x v="1"/>
    <x v="7"/>
    <x v="0"/>
    <x v="0"/>
    <x v="1"/>
    <x v="47"/>
    <x v="19"/>
    <x v="0"/>
  </r>
  <r>
    <x v="48"/>
    <x v="32"/>
    <x v="18"/>
    <x v="18"/>
    <x v="18"/>
    <x v="0"/>
    <x v="8"/>
    <x v="8"/>
    <x v="7"/>
    <x v="0"/>
    <x v="2"/>
    <x v="7"/>
    <x v="1"/>
    <x v="1"/>
    <x v="1"/>
    <x v="48"/>
    <x v="28"/>
    <x v="0"/>
  </r>
  <r>
    <x v="49"/>
    <x v="32"/>
    <x v="0"/>
    <x v="0"/>
    <x v="0"/>
    <x v="0"/>
    <x v="4"/>
    <x v="4"/>
    <x v="4"/>
    <x v="0"/>
    <x v="1"/>
    <x v="3"/>
    <x v="1"/>
    <x v="1"/>
    <x v="2"/>
    <x v="49"/>
    <x v="29"/>
    <x v="1"/>
  </r>
  <r>
    <x v="50"/>
    <x v="32"/>
    <x v="23"/>
    <x v="23"/>
    <x v="23"/>
    <x v="2"/>
    <x v="4"/>
    <x v="4"/>
    <x v="4"/>
    <x v="0"/>
    <x v="1"/>
    <x v="3"/>
    <x v="2"/>
    <x v="4"/>
    <x v="1"/>
    <x v="50"/>
    <x v="29"/>
    <x v="1"/>
  </r>
  <r>
    <x v="51"/>
    <x v="33"/>
    <x v="32"/>
    <x v="32"/>
    <x v="32"/>
    <x v="1"/>
    <x v="1"/>
    <x v="1"/>
    <x v="1"/>
    <x v="1"/>
    <x v="3"/>
    <x v="1"/>
    <x v="3"/>
    <x v="3"/>
    <x v="1"/>
    <x v="51"/>
    <x v="30"/>
    <x v="0"/>
  </r>
  <r>
    <x v="52"/>
    <x v="33"/>
    <x v="27"/>
    <x v="27"/>
    <x v="27"/>
    <x v="4"/>
    <x v="6"/>
    <x v="6"/>
    <x v="0"/>
    <x v="2"/>
    <x v="2"/>
    <x v="5"/>
    <x v="3"/>
    <x v="4"/>
    <x v="2"/>
    <x v="52"/>
    <x v="31"/>
    <x v="0"/>
  </r>
  <r>
    <x v="53"/>
    <x v="34"/>
    <x v="34"/>
    <x v="34"/>
    <x v="34"/>
    <x v="4"/>
    <x v="8"/>
    <x v="8"/>
    <x v="7"/>
    <x v="0"/>
    <x v="4"/>
    <x v="7"/>
    <x v="3"/>
    <x v="1"/>
    <x v="0"/>
    <x v="53"/>
    <x v="32"/>
    <x v="0"/>
  </r>
  <r>
    <x v="54"/>
    <x v="35"/>
    <x v="2"/>
    <x v="2"/>
    <x v="2"/>
    <x v="2"/>
    <x v="7"/>
    <x v="7"/>
    <x v="6"/>
    <x v="1"/>
    <x v="3"/>
    <x v="6"/>
    <x v="2"/>
    <x v="0"/>
    <x v="1"/>
    <x v="54"/>
    <x v="26"/>
    <x v="0"/>
  </r>
  <r>
    <x v="55"/>
    <x v="35"/>
    <x v="7"/>
    <x v="7"/>
    <x v="7"/>
    <x v="1"/>
    <x v="8"/>
    <x v="8"/>
    <x v="7"/>
    <x v="0"/>
    <x v="2"/>
    <x v="7"/>
    <x v="0"/>
    <x v="3"/>
    <x v="0"/>
    <x v="55"/>
    <x v="28"/>
    <x v="0"/>
  </r>
  <r>
    <x v="56"/>
    <x v="36"/>
    <x v="3"/>
    <x v="3"/>
    <x v="3"/>
    <x v="2"/>
    <x v="5"/>
    <x v="5"/>
    <x v="5"/>
    <x v="0"/>
    <x v="0"/>
    <x v="4"/>
    <x v="1"/>
    <x v="4"/>
    <x v="1"/>
    <x v="56"/>
    <x v="7"/>
    <x v="1"/>
  </r>
  <r>
    <x v="57"/>
    <x v="36"/>
    <x v="18"/>
    <x v="18"/>
    <x v="18"/>
    <x v="0"/>
    <x v="4"/>
    <x v="4"/>
    <x v="4"/>
    <x v="0"/>
    <x v="4"/>
    <x v="3"/>
    <x v="1"/>
    <x v="4"/>
    <x v="1"/>
    <x v="57"/>
    <x v="11"/>
    <x v="1"/>
  </r>
  <r>
    <x v="58"/>
    <x v="37"/>
    <x v="22"/>
    <x v="22"/>
    <x v="22"/>
    <x v="8"/>
    <x v="2"/>
    <x v="2"/>
    <x v="2"/>
    <x v="2"/>
    <x v="3"/>
    <x v="2"/>
    <x v="2"/>
    <x v="4"/>
    <x v="0"/>
    <x v="58"/>
    <x v="5"/>
    <x v="0"/>
  </r>
  <r>
    <x v="59"/>
    <x v="38"/>
    <x v="25"/>
    <x v="25"/>
    <x v="25"/>
    <x v="1"/>
    <x v="8"/>
    <x v="8"/>
    <x v="7"/>
    <x v="0"/>
    <x v="2"/>
    <x v="7"/>
    <x v="2"/>
    <x v="0"/>
    <x v="1"/>
    <x v="59"/>
    <x v="28"/>
    <x v="0"/>
  </r>
  <r>
    <x v="60"/>
    <x v="39"/>
    <x v="6"/>
    <x v="6"/>
    <x v="6"/>
    <x v="3"/>
    <x v="8"/>
    <x v="8"/>
    <x v="7"/>
    <x v="0"/>
    <x v="3"/>
    <x v="7"/>
    <x v="2"/>
    <x v="3"/>
    <x v="2"/>
    <x v="60"/>
    <x v="27"/>
    <x v="0"/>
  </r>
  <r>
    <x v="61"/>
    <x v="40"/>
    <x v="9"/>
    <x v="9"/>
    <x v="9"/>
    <x v="4"/>
    <x v="8"/>
    <x v="8"/>
    <x v="7"/>
    <x v="0"/>
    <x v="3"/>
    <x v="7"/>
    <x v="0"/>
    <x v="1"/>
    <x v="2"/>
    <x v="61"/>
    <x v="27"/>
    <x v="0"/>
  </r>
  <r>
    <x v="62"/>
    <x v="40"/>
    <x v="35"/>
    <x v="35"/>
    <x v="35"/>
    <x v="2"/>
    <x v="7"/>
    <x v="7"/>
    <x v="6"/>
    <x v="1"/>
    <x v="1"/>
    <x v="6"/>
    <x v="3"/>
    <x v="0"/>
    <x v="0"/>
    <x v="62"/>
    <x v="33"/>
    <x v="0"/>
  </r>
  <r>
    <x v="63"/>
    <x v="41"/>
    <x v="36"/>
    <x v="36"/>
    <x v="36"/>
    <x v="4"/>
    <x v="2"/>
    <x v="2"/>
    <x v="2"/>
    <x v="2"/>
    <x v="3"/>
    <x v="2"/>
    <x v="2"/>
    <x v="2"/>
    <x v="0"/>
    <x v="63"/>
    <x v="5"/>
    <x v="0"/>
  </r>
  <r>
    <x v="64"/>
    <x v="41"/>
    <x v="4"/>
    <x v="4"/>
    <x v="4"/>
    <x v="3"/>
    <x v="5"/>
    <x v="5"/>
    <x v="5"/>
    <x v="0"/>
    <x v="2"/>
    <x v="4"/>
    <x v="2"/>
    <x v="4"/>
    <x v="1"/>
    <x v="64"/>
    <x v="10"/>
    <x v="0"/>
  </r>
  <r>
    <x v="65"/>
    <x v="41"/>
    <x v="17"/>
    <x v="17"/>
    <x v="17"/>
    <x v="1"/>
    <x v="8"/>
    <x v="8"/>
    <x v="7"/>
    <x v="0"/>
    <x v="1"/>
    <x v="7"/>
    <x v="3"/>
    <x v="2"/>
    <x v="1"/>
    <x v="65"/>
    <x v="19"/>
    <x v="0"/>
  </r>
  <r>
    <x v="66"/>
    <x v="42"/>
    <x v="34"/>
    <x v="34"/>
    <x v="34"/>
    <x v="4"/>
    <x v="1"/>
    <x v="1"/>
    <x v="1"/>
    <x v="1"/>
    <x v="4"/>
    <x v="1"/>
    <x v="0"/>
    <x v="1"/>
    <x v="2"/>
    <x v="66"/>
    <x v="20"/>
    <x v="0"/>
  </r>
  <r>
    <x v="67"/>
    <x v="43"/>
    <x v="1"/>
    <x v="1"/>
    <x v="1"/>
    <x v="1"/>
    <x v="3"/>
    <x v="3"/>
    <x v="3"/>
    <x v="0"/>
    <x v="3"/>
    <x v="2"/>
    <x v="0"/>
    <x v="0"/>
    <x v="2"/>
    <x v="67"/>
    <x v="5"/>
    <x v="0"/>
  </r>
  <r>
    <x v="68"/>
    <x v="43"/>
    <x v="37"/>
    <x v="37"/>
    <x v="37"/>
    <x v="1"/>
    <x v="6"/>
    <x v="6"/>
    <x v="0"/>
    <x v="2"/>
    <x v="3"/>
    <x v="5"/>
    <x v="1"/>
    <x v="2"/>
    <x v="1"/>
    <x v="68"/>
    <x v="34"/>
    <x v="0"/>
  </r>
  <r>
    <x v="69"/>
    <x v="44"/>
    <x v="37"/>
    <x v="37"/>
    <x v="37"/>
    <x v="1"/>
    <x v="9"/>
    <x v="9"/>
    <x v="8"/>
    <x v="2"/>
    <x v="2"/>
    <x v="8"/>
    <x v="0"/>
    <x v="2"/>
    <x v="0"/>
    <x v="69"/>
    <x v="35"/>
    <x v="0"/>
  </r>
  <r>
    <x v="70"/>
    <x v="45"/>
    <x v="38"/>
    <x v="38"/>
    <x v="38"/>
    <x v="4"/>
    <x v="1"/>
    <x v="1"/>
    <x v="1"/>
    <x v="1"/>
    <x v="0"/>
    <x v="1"/>
    <x v="1"/>
    <x v="3"/>
    <x v="0"/>
    <x v="70"/>
    <x v="1"/>
    <x v="0"/>
  </r>
  <r>
    <x v="71"/>
    <x v="45"/>
    <x v="10"/>
    <x v="10"/>
    <x v="10"/>
    <x v="1"/>
    <x v="2"/>
    <x v="2"/>
    <x v="2"/>
    <x v="2"/>
    <x v="0"/>
    <x v="2"/>
    <x v="0"/>
    <x v="0"/>
    <x v="1"/>
    <x v="71"/>
    <x v="6"/>
    <x v="0"/>
  </r>
  <r>
    <x v="72"/>
    <x v="46"/>
    <x v="8"/>
    <x v="8"/>
    <x v="8"/>
    <x v="0"/>
    <x v="9"/>
    <x v="9"/>
    <x v="8"/>
    <x v="2"/>
    <x v="0"/>
    <x v="8"/>
    <x v="0"/>
    <x v="2"/>
    <x v="1"/>
    <x v="72"/>
    <x v="24"/>
    <x v="0"/>
  </r>
  <r>
    <x v="73"/>
    <x v="47"/>
    <x v="30"/>
    <x v="30"/>
    <x v="30"/>
    <x v="2"/>
    <x v="4"/>
    <x v="4"/>
    <x v="4"/>
    <x v="0"/>
    <x v="3"/>
    <x v="3"/>
    <x v="0"/>
    <x v="0"/>
    <x v="2"/>
    <x v="73"/>
    <x v="8"/>
    <x v="0"/>
  </r>
  <r>
    <x v="74"/>
    <x v="48"/>
    <x v="1"/>
    <x v="1"/>
    <x v="1"/>
    <x v="1"/>
    <x v="4"/>
    <x v="4"/>
    <x v="4"/>
    <x v="0"/>
    <x v="1"/>
    <x v="3"/>
    <x v="3"/>
    <x v="1"/>
    <x v="2"/>
    <x v="74"/>
    <x v="29"/>
    <x v="1"/>
  </r>
  <r>
    <x v="75"/>
    <x v="49"/>
    <x v="35"/>
    <x v="35"/>
    <x v="35"/>
    <x v="2"/>
    <x v="1"/>
    <x v="1"/>
    <x v="1"/>
    <x v="1"/>
    <x v="2"/>
    <x v="1"/>
    <x v="0"/>
    <x v="2"/>
    <x v="2"/>
    <x v="75"/>
    <x v="3"/>
    <x v="0"/>
  </r>
  <r>
    <x v="76"/>
    <x v="49"/>
    <x v="38"/>
    <x v="38"/>
    <x v="38"/>
    <x v="4"/>
    <x v="0"/>
    <x v="0"/>
    <x v="0"/>
    <x v="0"/>
    <x v="4"/>
    <x v="0"/>
    <x v="3"/>
    <x v="0"/>
    <x v="2"/>
    <x v="76"/>
    <x v="14"/>
    <x v="0"/>
  </r>
  <r>
    <x v="77"/>
    <x v="50"/>
    <x v="17"/>
    <x v="17"/>
    <x v="17"/>
    <x v="1"/>
    <x v="0"/>
    <x v="0"/>
    <x v="0"/>
    <x v="0"/>
    <x v="2"/>
    <x v="0"/>
    <x v="0"/>
    <x v="2"/>
    <x v="1"/>
    <x v="77"/>
    <x v="36"/>
    <x v="0"/>
  </r>
  <r>
    <x v="78"/>
    <x v="50"/>
    <x v="29"/>
    <x v="29"/>
    <x v="29"/>
    <x v="8"/>
    <x v="6"/>
    <x v="6"/>
    <x v="0"/>
    <x v="2"/>
    <x v="3"/>
    <x v="5"/>
    <x v="0"/>
    <x v="1"/>
    <x v="0"/>
    <x v="78"/>
    <x v="34"/>
    <x v="0"/>
  </r>
  <r>
    <x v="79"/>
    <x v="51"/>
    <x v="14"/>
    <x v="14"/>
    <x v="14"/>
    <x v="7"/>
    <x v="8"/>
    <x v="8"/>
    <x v="7"/>
    <x v="0"/>
    <x v="2"/>
    <x v="7"/>
    <x v="2"/>
    <x v="1"/>
    <x v="0"/>
    <x v="79"/>
    <x v="28"/>
    <x v="0"/>
  </r>
  <r>
    <x v="80"/>
    <x v="51"/>
    <x v="29"/>
    <x v="29"/>
    <x v="29"/>
    <x v="8"/>
    <x v="6"/>
    <x v="6"/>
    <x v="0"/>
    <x v="2"/>
    <x v="0"/>
    <x v="5"/>
    <x v="0"/>
    <x v="0"/>
    <x v="0"/>
    <x v="80"/>
    <x v="23"/>
    <x v="0"/>
  </r>
  <r>
    <x v="81"/>
    <x v="52"/>
    <x v="14"/>
    <x v="14"/>
    <x v="14"/>
    <x v="7"/>
    <x v="5"/>
    <x v="5"/>
    <x v="5"/>
    <x v="0"/>
    <x v="2"/>
    <x v="4"/>
    <x v="1"/>
    <x v="2"/>
    <x v="1"/>
    <x v="81"/>
    <x v="10"/>
    <x v="0"/>
  </r>
  <r>
    <x v="82"/>
    <x v="53"/>
    <x v="22"/>
    <x v="22"/>
    <x v="22"/>
    <x v="8"/>
    <x v="4"/>
    <x v="4"/>
    <x v="4"/>
    <x v="0"/>
    <x v="4"/>
    <x v="3"/>
    <x v="3"/>
    <x v="1"/>
    <x v="2"/>
    <x v="82"/>
    <x v="11"/>
    <x v="1"/>
  </r>
  <r>
    <x v="83"/>
    <x v="54"/>
    <x v="39"/>
    <x v="39"/>
    <x v="39"/>
    <x v="4"/>
    <x v="2"/>
    <x v="2"/>
    <x v="2"/>
    <x v="2"/>
    <x v="2"/>
    <x v="2"/>
    <x v="1"/>
    <x v="3"/>
    <x v="0"/>
    <x v="83"/>
    <x v="22"/>
    <x v="0"/>
  </r>
  <r>
    <x v="84"/>
    <x v="55"/>
    <x v="19"/>
    <x v="19"/>
    <x v="19"/>
    <x v="1"/>
    <x v="2"/>
    <x v="2"/>
    <x v="2"/>
    <x v="2"/>
    <x v="2"/>
    <x v="2"/>
    <x v="3"/>
    <x v="4"/>
    <x v="2"/>
    <x v="84"/>
    <x v="22"/>
    <x v="0"/>
  </r>
  <r>
    <x v="85"/>
    <x v="56"/>
    <x v="15"/>
    <x v="15"/>
    <x v="15"/>
    <x v="4"/>
    <x v="8"/>
    <x v="8"/>
    <x v="7"/>
    <x v="0"/>
    <x v="3"/>
    <x v="7"/>
    <x v="1"/>
    <x v="2"/>
    <x v="2"/>
    <x v="85"/>
    <x v="27"/>
    <x v="0"/>
  </r>
  <r>
    <x v="86"/>
    <x v="57"/>
    <x v="14"/>
    <x v="14"/>
    <x v="14"/>
    <x v="7"/>
    <x v="6"/>
    <x v="6"/>
    <x v="0"/>
    <x v="2"/>
    <x v="1"/>
    <x v="5"/>
    <x v="1"/>
    <x v="2"/>
    <x v="0"/>
    <x v="86"/>
    <x v="17"/>
    <x v="0"/>
  </r>
  <r>
    <x v="87"/>
    <x v="58"/>
    <x v="35"/>
    <x v="35"/>
    <x v="35"/>
    <x v="2"/>
    <x v="3"/>
    <x v="3"/>
    <x v="3"/>
    <x v="0"/>
    <x v="4"/>
    <x v="2"/>
    <x v="3"/>
    <x v="1"/>
    <x v="1"/>
    <x v="87"/>
    <x v="9"/>
    <x v="0"/>
  </r>
  <r>
    <x v="88"/>
    <x v="58"/>
    <x v="36"/>
    <x v="36"/>
    <x v="36"/>
    <x v="4"/>
    <x v="0"/>
    <x v="0"/>
    <x v="0"/>
    <x v="0"/>
    <x v="1"/>
    <x v="0"/>
    <x v="2"/>
    <x v="4"/>
    <x v="1"/>
    <x v="88"/>
    <x v="16"/>
    <x v="0"/>
  </r>
  <r>
    <x v="89"/>
    <x v="58"/>
    <x v="8"/>
    <x v="8"/>
    <x v="8"/>
    <x v="0"/>
    <x v="0"/>
    <x v="0"/>
    <x v="0"/>
    <x v="0"/>
    <x v="0"/>
    <x v="0"/>
    <x v="2"/>
    <x v="2"/>
    <x v="1"/>
    <x v="89"/>
    <x v="0"/>
    <x v="0"/>
  </r>
  <r>
    <x v="90"/>
    <x v="58"/>
    <x v="3"/>
    <x v="3"/>
    <x v="3"/>
    <x v="2"/>
    <x v="9"/>
    <x v="9"/>
    <x v="8"/>
    <x v="2"/>
    <x v="4"/>
    <x v="8"/>
    <x v="0"/>
    <x v="2"/>
    <x v="2"/>
    <x v="90"/>
    <x v="37"/>
    <x v="0"/>
  </r>
  <r>
    <x v="91"/>
    <x v="59"/>
    <x v="32"/>
    <x v="32"/>
    <x v="32"/>
    <x v="1"/>
    <x v="9"/>
    <x v="9"/>
    <x v="8"/>
    <x v="2"/>
    <x v="1"/>
    <x v="8"/>
    <x v="0"/>
    <x v="2"/>
    <x v="1"/>
    <x v="91"/>
    <x v="21"/>
    <x v="0"/>
  </r>
  <r>
    <x v="92"/>
    <x v="60"/>
    <x v="14"/>
    <x v="14"/>
    <x v="14"/>
    <x v="7"/>
    <x v="8"/>
    <x v="8"/>
    <x v="7"/>
    <x v="0"/>
    <x v="2"/>
    <x v="7"/>
    <x v="0"/>
    <x v="4"/>
    <x v="1"/>
    <x v="92"/>
    <x v="28"/>
    <x v="0"/>
  </r>
  <r>
    <x v="93"/>
    <x v="61"/>
    <x v="38"/>
    <x v="38"/>
    <x v="38"/>
    <x v="4"/>
    <x v="4"/>
    <x v="4"/>
    <x v="4"/>
    <x v="0"/>
    <x v="1"/>
    <x v="3"/>
    <x v="3"/>
    <x v="4"/>
    <x v="0"/>
    <x v="93"/>
    <x v="29"/>
    <x v="1"/>
  </r>
  <r>
    <x v="94"/>
    <x v="61"/>
    <x v="20"/>
    <x v="20"/>
    <x v="20"/>
    <x v="2"/>
    <x v="3"/>
    <x v="3"/>
    <x v="3"/>
    <x v="0"/>
    <x v="0"/>
    <x v="2"/>
    <x v="2"/>
    <x v="4"/>
    <x v="0"/>
    <x v="94"/>
    <x v="6"/>
    <x v="0"/>
  </r>
  <r>
    <x v="95"/>
    <x v="62"/>
    <x v="19"/>
    <x v="19"/>
    <x v="19"/>
    <x v="1"/>
    <x v="2"/>
    <x v="2"/>
    <x v="2"/>
    <x v="2"/>
    <x v="1"/>
    <x v="2"/>
    <x v="1"/>
    <x v="0"/>
    <x v="0"/>
    <x v="95"/>
    <x v="2"/>
    <x v="0"/>
  </r>
  <r>
    <x v="96"/>
    <x v="63"/>
    <x v="40"/>
    <x v="40"/>
    <x v="40"/>
    <x v="0"/>
    <x v="7"/>
    <x v="7"/>
    <x v="6"/>
    <x v="1"/>
    <x v="0"/>
    <x v="6"/>
    <x v="0"/>
    <x v="0"/>
    <x v="1"/>
    <x v="96"/>
    <x v="18"/>
    <x v="0"/>
  </r>
  <r>
    <x v="97"/>
    <x v="63"/>
    <x v="28"/>
    <x v="28"/>
    <x v="28"/>
    <x v="4"/>
    <x v="0"/>
    <x v="0"/>
    <x v="0"/>
    <x v="0"/>
    <x v="2"/>
    <x v="0"/>
    <x v="0"/>
    <x v="1"/>
    <x v="2"/>
    <x v="97"/>
    <x v="36"/>
    <x v="0"/>
  </r>
  <r>
    <x v="98"/>
    <x v="64"/>
    <x v="38"/>
    <x v="38"/>
    <x v="38"/>
    <x v="4"/>
    <x v="5"/>
    <x v="5"/>
    <x v="5"/>
    <x v="0"/>
    <x v="3"/>
    <x v="4"/>
    <x v="0"/>
    <x v="0"/>
    <x v="1"/>
    <x v="98"/>
    <x v="38"/>
    <x v="0"/>
  </r>
  <r>
    <x v="99"/>
    <x v="64"/>
    <x v="41"/>
    <x v="41"/>
    <x v="41"/>
    <x v="6"/>
    <x v="3"/>
    <x v="3"/>
    <x v="3"/>
    <x v="0"/>
    <x v="0"/>
    <x v="2"/>
    <x v="0"/>
    <x v="3"/>
    <x v="1"/>
    <x v="99"/>
    <x v="6"/>
    <x v="0"/>
  </r>
  <r>
    <x v="100"/>
    <x v="65"/>
    <x v="42"/>
    <x v="42"/>
    <x v="42"/>
    <x v="1"/>
    <x v="5"/>
    <x v="5"/>
    <x v="5"/>
    <x v="0"/>
    <x v="2"/>
    <x v="4"/>
    <x v="1"/>
    <x v="2"/>
    <x v="1"/>
    <x v="63"/>
    <x v="10"/>
    <x v="0"/>
  </r>
  <r>
    <x v="101"/>
    <x v="66"/>
    <x v="41"/>
    <x v="41"/>
    <x v="41"/>
    <x v="6"/>
    <x v="0"/>
    <x v="0"/>
    <x v="0"/>
    <x v="0"/>
    <x v="3"/>
    <x v="0"/>
    <x v="1"/>
    <x v="3"/>
    <x v="1"/>
    <x v="100"/>
    <x v="39"/>
    <x v="0"/>
  </r>
  <r>
    <x v="102"/>
    <x v="66"/>
    <x v="0"/>
    <x v="0"/>
    <x v="0"/>
    <x v="0"/>
    <x v="0"/>
    <x v="0"/>
    <x v="0"/>
    <x v="0"/>
    <x v="3"/>
    <x v="0"/>
    <x v="3"/>
    <x v="2"/>
    <x v="1"/>
    <x v="101"/>
    <x v="39"/>
    <x v="0"/>
  </r>
  <r>
    <x v="103"/>
    <x v="67"/>
    <x v="40"/>
    <x v="40"/>
    <x v="40"/>
    <x v="0"/>
    <x v="5"/>
    <x v="5"/>
    <x v="5"/>
    <x v="0"/>
    <x v="2"/>
    <x v="4"/>
    <x v="3"/>
    <x v="0"/>
    <x v="1"/>
    <x v="102"/>
    <x v="10"/>
    <x v="0"/>
  </r>
  <r>
    <x v="104"/>
    <x v="68"/>
    <x v="26"/>
    <x v="26"/>
    <x v="26"/>
    <x v="2"/>
    <x v="1"/>
    <x v="1"/>
    <x v="1"/>
    <x v="1"/>
    <x v="0"/>
    <x v="1"/>
    <x v="1"/>
    <x v="0"/>
    <x v="1"/>
    <x v="103"/>
    <x v="1"/>
    <x v="0"/>
  </r>
  <r>
    <x v="105"/>
    <x v="69"/>
    <x v="25"/>
    <x v="25"/>
    <x v="25"/>
    <x v="1"/>
    <x v="1"/>
    <x v="1"/>
    <x v="1"/>
    <x v="1"/>
    <x v="0"/>
    <x v="1"/>
    <x v="2"/>
    <x v="4"/>
    <x v="2"/>
    <x v="104"/>
    <x v="1"/>
    <x v="0"/>
  </r>
  <r>
    <x v="106"/>
    <x v="69"/>
    <x v="27"/>
    <x v="27"/>
    <x v="27"/>
    <x v="4"/>
    <x v="7"/>
    <x v="7"/>
    <x v="6"/>
    <x v="1"/>
    <x v="4"/>
    <x v="6"/>
    <x v="0"/>
    <x v="2"/>
    <x v="0"/>
    <x v="105"/>
    <x v="40"/>
    <x v="0"/>
  </r>
  <r>
    <x v="107"/>
    <x v="70"/>
    <x v="6"/>
    <x v="6"/>
    <x v="6"/>
    <x v="3"/>
    <x v="7"/>
    <x v="7"/>
    <x v="6"/>
    <x v="1"/>
    <x v="3"/>
    <x v="6"/>
    <x v="0"/>
    <x v="3"/>
    <x v="0"/>
    <x v="106"/>
    <x v="26"/>
    <x v="0"/>
  </r>
  <r>
    <x v="108"/>
    <x v="71"/>
    <x v="5"/>
    <x v="5"/>
    <x v="5"/>
    <x v="2"/>
    <x v="6"/>
    <x v="6"/>
    <x v="0"/>
    <x v="2"/>
    <x v="0"/>
    <x v="5"/>
    <x v="1"/>
    <x v="0"/>
    <x v="1"/>
    <x v="107"/>
    <x v="23"/>
    <x v="0"/>
  </r>
  <r>
    <x v="109"/>
    <x v="72"/>
    <x v="3"/>
    <x v="3"/>
    <x v="3"/>
    <x v="2"/>
    <x v="8"/>
    <x v="8"/>
    <x v="7"/>
    <x v="0"/>
    <x v="2"/>
    <x v="7"/>
    <x v="1"/>
    <x v="1"/>
    <x v="1"/>
    <x v="108"/>
    <x v="28"/>
    <x v="0"/>
  </r>
  <r>
    <x v="110"/>
    <x v="73"/>
    <x v="43"/>
    <x v="43"/>
    <x v="43"/>
    <x v="6"/>
    <x v="3"/>
    <x v="3"/>
    <x v="3"/>
    <x v="0"/>
    <x v="4"/>
    <x v="2"/>
    <x v="0"/>
    <x v="2"/>
    <x v="0"/>
    <x v="67"/>
    <x v="9"/>
    <x v="0"/>
  </r>
  <r>
    <x v="111"/>
    <x v="74"/>
    <x v="8"/>
    <x v="8"/>
    <x v="8"/>
    <x v="0"/>
    <x v="0"/>
    <x v="0"/>
    <x v="0"/>
    <x v="0"/>
    <x v="2"/>
    <x v="0"/>
    <x v="2"/>
    <x v="1"/>
    <x v="0"/>
    <x v="57"/>
    <x v="36"/>
    <x v="0"/>
  </r>
  <r>
    <x v="112"/>
    <x v="74"/>
    <x v="31"/>
    <x v="31"/>
    <x v="31"/>
    <x v="1"/>
    <x v="9"/>
    <x v="9"/>
    <x v="8"/>
    <x v="2"/>
    <x v="4"/>
    <x v="8"/>
    <x v="3"/>
    <x v="4"/>
    <x v="0"/>
    <x v="90"/>
    <x v="37"/>
    <x v="0"/>
  </r>
  <r>
    <x v="113"/>
    <x v="75"/>
    <x v="29"/>
    <x v="29"/>
    <x v="29"/>
    <x v="8"/>
    <x v="8"/>
    <x v="8"/>
    <x v="7"/>
    <x v="0"/>
    <x v="1"/>
    <x v="7"/>
    <x v="1"/>
    <x v="4"/>
    <x v="1"/>
    <x v="109"/>
    <x v="19"/>
    <x v="0"/>
  </r>
  <r>
    <x v="114"/>
    <x v="75"/>
    <x v="44"/>
    <x v="44"/>
    <x v="44"/>
    <x v="6"/>
    <x v="3"/>
    <x v="3"/>
    <x v="3"/>
    <x v="0"/>
    <x v="3"/>
    <x v="2"/>
    <x v="2"/>
    <x v="4"/>
    <x v="2"/>
    <x v="110"/>
    <x v="5"/>
    <x v="0"/>
  </r>
  <r>
    <x v="115"/>
    <x v="75"/>
    <x v="10"/>
    <x v="10"/>
    <x v="10"/>
    <x v="1"/>
    <x v="5"/>
    <x v="5"/>
    <x v="5"/>
    <x v="0"/>
    <x v="4"/>
    <x v="4"/>
    <x v="2"/>
    <x v="1"/>
    <x v="0"/>
    <x v="111"/>
    <x v="13"/>
    <x v="1"/>
  </r>
  <r>
    <x v="116"/>
    <x v="76"/>
    <x v="42"/>
    <x v="42"/>
    <x v="42"/>
    <x v="1"/>
    <x v="4"/>
    <x v="4"/>
    <x v="4"/>
    <x v="0"/>
    <x v="0"/>
    <x v="3"/>
    <x v="1"/>
    <x v="2"/>
    <x v="2"/>
    <x v="112"/>
    <x v="4"/>
    <x v="1"/>
  </r>
  <r>
    <x v="117"/>
    <x v="77"/>
    <x v="21"/>
    <x v="21"/>
    <x v="21"/>
    <x v="4"/>
    <x v="2"/>
    <x v="2"/>
    <x v="2"/>
    <x v="2"/>
    <x v="0"/>
    <x v="2"/>
    <x v="2"/>
    <x v="4"/>
    <x v="0"/>
    <x v="113"/>
    <x v="6"/>
    <x v="0"/>
  </r>
  <r>
    <x v="118"/>
    <x v="78"/>
    <x v="18"/>
    <x v="18"/>
    <x v="18"/>
    <x v="0"/>
    <x v="6"/>
    <x v="6"/>
    <x v="0"/>
    <x v="2"/>
    <x v="2"/>
    <x v="5"/>
    <x v="3"/>
    <x v="0"/>
    <x v="0"/>
    <x v="114"/>
    <x v="31"/>
    <x v="0"/>
  </r>
  <r>
    <x v="119"/>
    <x v="79"/>
    <x v="45"/>
    <x v="45"/>
    <x v="45"/>
    <x v="6"/>
    <x v="9"/>
    <x v="9"/>
    <x v="8"/>
    <x v="2"/>
    <x v="3"/>
    <x v="8"/>
    <x v="3"/>
    <x v="4"/>
    <x v="2"/>
    <x v="115"/>
    <x v="41"/>
    <x v="0"/>
  </r>
  <r>
    <x v="120"/>
    <x v="80"/>
    <x v="4"/>
    <x v="4"/>
    <x v="4"/>
    <x v="3"/>
    <x v="6"/>
    <x v="6"/>
    <x v="0"/>
    <x v="2"/>
    <x v="4"/>
    <x v="5"/>
    <x v="0"/>
    <x v="0"/>
    <x v="1"/>
    <x v="116"/>
    <x v="15"/>
    <x v="0"/>
  </r>
  <r>
    <x v="121"/>
    <x v="81"/>
    <x v="15"/>
    <x v="15"/>
    <x v="15"/>
    <x v="4"/>
    <x v="1"/>
    <x v="1"/>
    <x v="1"/>
    <x v="1"/>
    <x v="2"/>
    <x v="1"/>
    <x v="1"/>
    <x v="0"/>
    <x v="0"/>
    <x v="47"/>
    <x v="3"/>
    <x v="0"/>
  </r>
  <r>
    <x v="122"/>
    <x v="81"/>
    <x v="42"/>
    <x v="42"/>
    <x v="42"/>
    <x v="1"/>
    <x v="3"/>
    <x v="3"/>
    <x v="3"/>
    <x v="0"/>
    <x v="4"/>
    <x v="2"/>
    <x v="1"/>
    <x v="2"/>
    <x v="1"/>
    <x v="117"/>
    <x v="9"/>
    <x v="0"/>
  </r>
  <r>
    <x v="123"/>
    <x v="82"/>
    <x v="39"/>
    <x v="39"/>
    <x v="39"/>
    <x v="4"/>
    <x v="5"/>
    <x v="5"/>
    <x v="5"/>
    <x v="0"/>
    <x v="2"/>
    <x v="4"/>
    <x v="3"/>
    <x v="4"/>
    <x v="1"/>
    <x v="118"/>
    <x v="10"/>
    <x v="0"/>
  </r>
  <r>
    <x v="124"/>
    <x v="82"/>
    <x v="41"/>
    <x v="41"/>
    <x v="41"/>
    <x v="6"/>
    <x v="2"/>
    <x v="2"/>
    <x v="2"/>
    <x v="2"/>
    <x v="0"/>
    <x v="2"/>
    <x v="1"/>
    <x v="1"/>
    <x v="2"/>
    <x v="119"/>
    <x v="6"/>
    <x v="0"/>
  </r>
  <r>
    <x v="125"/>
    <x v="83"/>
    <x v="29"/>
    <x v="29"/>
    <x v="29"/>
    <x v="8"/>
    <x v="6"/>
    <x v="6"/>
    <x v="0"/>
    <x v="2"/>
    <x v="0"/>
    <x v="5"/>
    <x v="1"/>
    <x v="0"/>
    <x v="2"/>
    <x v="120"/>
    <x v="23"/>
    <x v="0"/>
  </r>
  <r>
    <x v="126"/>
    <x v="84"/>
    <x v="13"/>
    <x v="13"/>
    <x v="13"/>
    <x v="6"/>
    <x v="4"/>
    <x v="4"/>
    <x v="4"/>
    <x v="0"/>
    <x v="0"/>
    <x v="3"/>
    <x v="2"/>
    <x v="3"/>
    <x v="0"/>
    <x v="121"/>
    <x v="4"/>
    <x v="1"/>
  </r>
  <r>
    <x v="127"/>
    <x v="85"/>
    <x v="17"/>
    <x v="17"/>
    <x v="17"/>
    <x v="1"/>
    <x v="5"/>
    <x v="5"/>
    <x v="5"/>
    <x v="0"/>
    <x v="1"/>
    <x v="4"/>
    <x v="0"/>
    <x v="4"/>
    <x v="2"/>
    <x v="122"/>
    <x v="12"/>
    <x v="1"/>
  </r>
  <r>
    <x v="128"/>
    <x v="85"/>
    <x v="34"/>
    <x v="34"/>
    <x v="34"/>
    <x v="4"/>
    <x v="5"/>
    <x v="5"/>
    <x v="5"/>
    <x v="0"/>
    <x v="4"/>
    <x v="4"/>
    <x v="1"/>
    <x v="0"/>
    <x v="0"/>
    <x v="123"/>
    <x v="13"/>
    <x v="1"/>
  </r>
  <r>
    <x v="129"/>
    <x v="85"/>
    <x v="30"/>
    <x v="30"/>
    <x v="30"/>
    <x v="2"/>
    <x v="4"/>
    <x v="4"/>
    <x v="4"/>
    <x v="0"/>
    <x v="3"/>
    <x v="3"/>
    <x v="1"/>
    <x v="4"/>
    <x v="2"/>
    <x v="124"/>
    <x v="8"/>
    <x v="0"/>
  </r>
  <r>
    <x v="130"/>
    <x v="86"/>
    <x v="40"/>
    <x v="40"/>
    <x v="40"/>
    <x v="0"/>
    <x v="3"/>
    <x v="3"/>
    <x v="3"/>
    <x v="0"/>
    <x v="2"/>
    <x v="2"/>
    <x v="1"/>
    <x v="3"/>
    <x v="0"/>
    <x v="125"/>
    <x v="22"/>
    <x v="0"/>
  </r>
  <r>
    <x v="131"/>
    <x v="87"/>
    <x v="40"/>
    <x v="40"/>
    <x v="40"/>
    <x v="0"/>
    <x v="8"/>
    <x v="8"/>
    <x v="7"/>
    <x v="0"/>
    <x v="0"/>
    <x v="7"/>
    <x v="2"/>
    <x v="0"/>
    <x v="0"/>
    <x v="126"/>
    <x v="25"/>
    <x v="0"/>
  </r>
  <r>
    <x v="132"/>
    <x v="88"/>
    <x v="3"/>
    <x v="3"/>
    <x v="3"/>
    <x v="2"/>
    <x v="3"/>
    <x v="3"/>
    <x v="3"/>
    <x v="0"/>
    <x v="2"/>
    <x v="2"/>
    <x v="2"/>
    <x v="0"/>
    <x v="0"/>
    <x v="127"/>
    <x v="22"/>
    <x v="0"/>
  </r>
  <r>
    <x v="133"/>
    <x v="88"/>
    <x v="31"/>
    <x v="31"/>
    <x v="31"/>
    <x v="1"/>
    <x v="5"/>
    <x v="5"/>
    <x v="5"/>
    <x v="0"/>
    <x v="2"/>
    <x v="4"/>
    <x v="0"/>
    <x v="0"/>
    <x v="0"/>
    <x v="128"/>
    <x v="10"/>
    <x v="0"/>
  </r>
  <r>
    <x v="134"/>
    <x v="89"/>
    <x v="32"/>
    <x v="32"/>
    <x v="32"/>
    <x v="1"/>
    <x v="5"/>
    <x v="5"/>
    <x v="5"/>
    <x v="0"/>
    <x v="1"/>
    <x v="4"/>
    <x v="0"/>
    <x v="2"/>
    <x v="1"/>
    <x v="129"/>
    <x v="12"/>
    <x v="1"/>
  </r>
  <r>
    <x v="135"/>
    <x v="90"/>
    <x v="34"/>
    <x v="34"/>
    <x v="34"/>
    <x v="4"/>
    <x v="8"/>
    <x v="8"/>
    <x v="7"/>
    <x v="0"/>
    <x v="0"/>
    <x v="7"/>
    <x v="1"/>
    <x v="2"/>
    <x v="2"/>
    <x v="130"/>
    <x v="25"/>
    <x v="0"/>
  </r>
  <r>
    <x v="136"/>
    <x v="91"/>
    <x v="0"/>
    <x v="0"/>
    <x v="0"/>
    <x v="0"/>
    <x v="0"/>
    <x v="0"/>
    <x v="0"/>
    <x v="0"/>
    <x v="1"/>
    <x v="0"/>
    <x v="1"/>
    <x v="1"/>
    <x v="2"/>
    <x v="131"/>
    <x v="16"/>
    <x v="0"/>
  </r>
  <r>
    <x v="137"/>
    <x v="92"/>
    <x v="8"/>
    <x v="8"/>
    <x v="8"/>
    <x v="0"/>
    <x v="6"/>
    <x v="6"/>
    <x v="0"/>
    <x v="2"/>
    <x v="0"/>
    <x v="5"/>
    <x v="1"/>
    <x v="1"/>
    <x v="2"/>
    <x v="132"/>
    <x v="23"/>
    <x v="0"/>
  </r>
  <r>
    <x v="138"/>
    <x v="93"/>
    <x v="18"/>
    <x v="18"/>
    <x v="18"/>
    <x v="0"/>
    <x v="8"/>
    <x v="8"/>
    <x v="7"/>
    <x v="0"/>
    <x v="0"/>
    <x v="7"/>
    <x v="1"/>
    <x v="2"/>
    <x v="1"/>
    <x v="133"/>
    <x v="25"/>
    <x v="0"/>
  </r>
  <r>
    <x v="139"/>
    <x v="94"/>
    <x v="15"/>
    <x v="15"/>
    <x v="15"/>
    <x v="4"/>
    <x v="2"/>
    <x v="2"/>
    <x v="2"/>
    <x v="2"/>
    <x v="2"/>
    <x v="2"/>
    <x v="1"/>
    <x v="3"/>
    <x v="1"/>
    <x v="134"/>
    <x v="22"/>
    <x v="0"/>
  </r>
  <r>
    <x v="140"/>
    <x v="95"/>
    <x v="36"/>
    <x v="36"/>
    <x v="36"/>
    <x v="4"/>
    <x v="0"/>
    <x v="0"/>
    <x v="0"/>
    <x v="0"/>
    <x v="3"/>
    <x v="0"/>
    <x v="1"/>
    <x v="2"/>
    <x v="1"/>
    <x v="135"/>
    <x v="39"/>
    <x v="0"/>
  </r>
  <r>
    <x v="141"/>
    <x v="96"/>
    <x v="10"/>
    <x v="10"/>
    <x v="10"/>
    <x v="1"/>
    <x v="3"/>
    <x v="3"/>
    <x v="3"/>
    <x v="0"/>
    <x v="0"/>
    <x v="2"/>
    <x v="0"/>
    <x v="2"/>
    <x v="0"/>
    <x v="136"/>
    <x v="6"/>
    <x v="0"/>
  </r>
  <r>
    <x v="142"/>
    <x v="96"/>
    <x v="0"/>
    <x v="0"/>
    <x v="0"/>
    <x v="0"/>
    <x v="1"/>
    <x v="1"/>
    <x v="1"/>
    <x v="1"/>
    <x v="1"/>
    <x v="1"/>
    <x v="2"/>
    <x v="3"/>
    <x v="1"/>
    <x v="137"/>
    <x v="42"/>
    <x v="0"/>
  </r>
  <r>
    <x v="143"/>
    <x v="96"/>
    <x v="18"/>
    <x v="18"/>
    <x v="18"/>
    <x v="0"/>
    <x v="0"/>
    <x v="0"/>
    <x v="0"/>
    <x v="0"/>
    <x v="4"/>
    <x v="0"/>
    <x v="1"/>
    <x v="3"/>
    <x v="2"/>
    <x v="138"/>
    <x v="14"/>
    <x v="0"/>
  </r>
  <r>
    <x v="144"/>
    <x v="97"/>
    <x v="31"/>
    <x v="31"/>
    <x v="31"/>
    <x v="1"/>
    <x v="2"/>
    <x v="2"/>
    <x v="2"/>
    <x v="2"/>
    <x v="1"/>
    <x v="2"/>
    <x v="2"/>
    <x v="0"/>
    <x v="0"/>
    <x v="139"/>
    <x v="2"/>
    <x v="0"/>
  </r>
  <r>
    <x v="145"/>
    <x v="97"/>
    <x v="13"/>
    <x v="13"/>
    <x v="13"/>
    <x v="6"/>
    <x v="1"/>
    <x v="1"/>
    <x v="1"/>
    <x v="1"/>
    <x v="0"/>
    <x v="1"/>
    <x v="3"/>
    <x v="1"/>
    <x v="2"/>
    <x v="140"/>
    <x v="1"/>
    <x v="0"/>
  </r>
  <r>
    <x v="146"/>
    <x v="98"/>
    <x v="42"/>
    <x v="42"/>
    <x v="42"/>
    <x v="1"/>
    <x v="2"/>
    <x v="2"/>
    <x v="2"/>
    <x v="2"/>
    <x v="1"/>
    <x v="2"/>
    <x v="0"/>
    <x v="2"/>
    <x v="0"/>
    <x v="141"/>
    <x v="2"/>
    <x v="0"/>
  </r>
  <r>
    <x v="147"/>
    <x v="98"/>
    <x v="14"/>
    <x v="14"/>
    <x v="14"/>
    <x v="7"/>
    <x v="5"/>
    <x v="5"/>
    <x v="5"/>
    <x v="0"/>
    <x v="2"/>
    <x v="4"/>
    <x v="2"/>
    <x v="3"/>
    <x v="2"/>
    <x v="142"/>
    <x v="10"/>
    <x v="0"/>
  </r>
  <r>
    <x v="148"/>
    <x v="99"/>
    <x v="23"/>
    <x v="23"/>
    <x v="23"/>
    <x v="2"/>
    <x v="9"/>
    <x v="9"/>
    <x v="8"/>
    <x v="2"/>
    <x v="4"/>
    <x v="8"/>
    <x v="3"/>
    <x v="0"/>
    <x v="1"/>
    <x v="143"/>
    <x v="37"/>
    <x v="0"/>
  </r>
  <r>
    <x v="149"/>
    <x v="100"/>
    <x v="37"/>
    <x v="37"/>
    <x v="37"/>
    <x v="1"/>
    <x v="1"/>
    <x v="1"/>
    <x v="1"/>
    <x v="1"/>
    <x v="3"/>
    <x v="1"/>
    <x v="3"/>
    <x v="3"/>
    <x v="2"/>
    <x v="144"/>
    <x v="30"/>
    <x v="0"/>
  </r>
  <r>
    <x v="150"/>
    <x v="100"/>
    <x v="31"/>
    <x v="31"/>
    <x v="31"/>
    <x v="1"/>
    <x v="5"/>
    <x v="5"/>
    <x v="5"/>
    <x v="0"/>
    <x v="0"/>
    <x v="4"/>
    <x v="2"/>
    <x v="3"/>
    <x v="2"/>
    <x v="145"/>
    <x v="7"/>
    <x v="1"/>
  </r>
  <r>
    <x v="151"/>
    <x v="101"/>
    <x v="46"/>
    <x v="46"/>
    <x v="46"/>
    <x v="4"/>
    <x v="0"/>
    <x v="0"/>
    <x v="0"/>
    <x v="0"/>
    <x v="1"/>
    <x v="0"/>
    <x v="1"/>
    <x v="2"/>
    <x v="0"/>
    <x v="146"/>
    <x v="16"/>
    <x v="0"/>
  </r>
  <r>
    <x v="152"/>
    <x v="102"/>
    <x v="21"/>
    <x v="21"/>
    <x v="21"/>
    <x v="4"/>
    <x v="2"/>
    <x v="2"/>
    <x v="2"/>
    <x v="2"/>
    <x v="2"/>
    <x v="2"/>
    <x v="0"/>
    <x v="1"/>
    <x v="2"/>
    <x v="147"/>
    <x v="22"/>
    <x v="0"/>
  </r>
  <r>
    <x v="153"/>
    <x v="103"/>
    <x v="2"/>
    <x v="2"/>
    <x v="2"/>
    <x v="2"/>
    <x v="6"/>
    <x v="6"/>
    <x v="0"/>
    <x v="2"/>
    <x v="0"/>
    <x v="5"/>
    <x v="0"/>
    <x v="1"/>
    <x v="1"/>
    <x v="138"/>
    <x v="23"/>
    <x v="0"/>
  </r>
  <r>
    <x v="154"/>
    <x v="103"/>
    <x v="6"/>
    <x v="6"/>
    <x v="6"/>
    <x v="3"/>
    <x v="0"/>
    <x v="0"/>
    <x v="0"/>
    <x v="0"/>
    <x v="1"/>
    <x v="0"/>
    <x v="0"/>
    <x v="0"/>
    <x v="1"/>
    <x v="148"/>
    <x v="16"/>
    <x v="0"/>
  </r>
  <r>
    <x v="155"/>
    <x v="103"/>
    <x v="1"/>
    <x v="1"/>
    <x v="1"/>
    <x v="1"/>
    <x v="3"/>
    <x v="3"/>
    <x v="3"/>
    <x v="0"/>
    <x v="2"/>
    <x v="2"/>
    <x v="0"/>
    <x v="1"/>
    <x v="1"/>
    <x v="149"/>
    <x v="22"/>
    <x v="0"/>
  </r>
  <r>
    <x v="156"/>
    <x v="103"/>
    <x v="14"/>
    <x v="14"/>
    <x v="14"/>
    <x v="7"/>
    <x v="5"/>
    <x v="5"/>
    <x v="5"/>
    <x v="0"/>
    <x v="1"/>
    <x v="4"/>
    <x v="3"/>
    <x v="3"/>
    <x v="2"/>
    <x v="150"/>
    <x v="12"/>
    <x v="1"/>
  </r>
  <r>
    <x v="157"/>
    <x v="104"/>
    <x v="44"/>
    <x v="44"/>
    <x v="44"/>
    <x v="6"/>
    <x v="0"/>
    <x v="0"/>
    <x v="0"/>
    <x v="0"/>
    <x v="4"/>
    <x v="0"/>
    <x v="2"/>
    <x v="4"/>
    <x v="1"/>
    <x v="151"/>
    <x v="14"/>
    <x v="0"/>
  </r>
  <r>
    <x v="158"/>
    <x v="105"/>
    <x v="5"/>
    <x v="5"/>
    <x v="5"/>
    <x v="2"/>
    <x v="5"/>
    <x v="5"/>
    <x v="5"/>
    <x v="0"/>
    <x v="4"/>
    <x v="4"/>
    <x v="1"/>
    <x v="2"/>
    <x v="1"/>
    <x v="152"/>
    <x v="13"/>
    <x v="1"/>
  </r>
  <r>
    <x v="159"/>
    <x v="106"/>
    <x v="20"/>
    <x v="20"/>
    <x v="20"/>
    <x v="2"/>
    <x v="0"/>
    <x v="0"/>
    <x v="0"/>
    <x v="0"/>
    <x v="2"/>
    <x v="0"/>
    <x v="1"/>
    <x v="0"/>
    <x v="1"/>
    <x v="153"/>
    <x v="36"/>
    <x v="0"/>
  </r>
  <r>
    <x v="160"/>
    <x v="106"/>
    <x v="47"/>
    <x v="47"/>
    <x v="1"/>
    <x v="9"/>
    <x v="1"/>
    <x v="1"/>
    <x v="1"/>
    <x v="1"/>
    <x v="0"/>
    <x v="1"/>
    <x v="0"/>
    <x v="0"/>
    <x v="1"/>
    <x v="154"/>
    <x v="1"/>
    <x v="0"/>
  </r>
  <r>
    <x v="161"/>
    <x v="106"/>
    <x v="27"/>
    <x v="27"/>
    <x v="27"/>
    <x v="4"/>
    <x v="7"/>
    <x v="7"/>
    <x v="6"/>
    <x v="1"/>
    <x v="4"/>
    <x v="6"/>
    <x v="3"/>
    <x v="4"/>
    <x v="2"/>
    <x v="155"/>
    <x v="40"/>
    <x v="0"/>
  </r>
  <r>
    <x v="162"/>
    <x v="107"/>
    <x v="22"/>
    <x v="22"/>
    <x v="22"/>
    <x v="8"/>
    <x v="7"/>
    <x v="7"/>
    <x v="6"/>
    <x v="1"/>
    <x v="0"/>
    <x v="6"/>
    <x v="3"/>
    <x v="4"/>
    <x v="2"/>
    <x v="96"/>
    <x v="18"/>
    <x v="0"/>
  </r>
  <r>
    <x v="163"/>
    <x v="108"/>
    <x v="10"/>
    <x v="10"/>
    <x v="10"/>
    <x v="1"/>
    <x v="4"/>
    <x v="4"/>
    <x v="4"/>
    <x v="0"/>
    <x v="2"/>
    <x v="3"/>
    <x v="0"/>
    <x v="2"/>
    <x v="0"/>
    <x v="156"/>
    <x v="43"/>
    <x v="0"/>
  </r>
  <r>
    <x v="164"/>
    <x v="109"/>
    <x v="35"/>
    <x v="35"/>
    <x v="35"/>
    <x v="2"/>
    <x v="2"/>
    <x v="2"/>
    <x v="2"/>
    <x v="2"/>
    <x v="3"/>
    <x v="2"/>
    <x v="3"/>
    <x v="4"/>
    <x v="2"/>
    <x v="157"/>
    <x v="5"/>
    <x v="0"/>
  </r>
  <r>
    <x v="165"/>
    <x v="109"/>
    <x v="26"/>
    <x v="26"/>
    <x v="26"/>
    <x v="2"/>
    <x v="6"/>
    <x v="6"/>
    <x v="0"/>
    <x v="2"/>
    <x v="2"/>
    <x v="5"/>
    <x v="0"/>
    <x v="4"/>
    <x v="1"/>
    <x v="158"/>
    <x v="31"/>
    <x v="0"/>
  </r>
  <r>
    <x v="166"/>
    <x v="110"/>
    <x v="25"/>
    <x v="25"/>
    <x v="25"/>
    <x v="1"/>
    <x v="1"/>
    <x v="1"/>
    <x v="1"/>
    <x v="1"/>
    <x v="2"/>
    <x v="1"/>
    <x v="0"/>
    <x v="3"/>
    <x v="0"/>
    <x v="159"/>
    <x v="3"/>
    <x v="0"/>
  </r>
  <r>
    <x v="167"/>
    <x v="111"/>
    <x v="35"/>
    <x v="35"/>
    <x v="35"/>
    <x v="2"/>
    <x v="8"/>
    <x v="8"/>
    <x v="7"/>
    <x v="0"/>
    <x v="3"/>
    <x v="7"/>
    <x v="3"/>
    <x v="0"/>
    <x v="2"/>
    <x v="160"/>
    <x v="27"/>
    <x v="0"/>
  </r>
  <r>
    <x v="168"/>
    <x v="111"/>
    <x v="29"/>
    <x v="29"/>
    <x v="29"/>
    <x v="8"/>
    <x v="4"/>
    <x v="4"/>
    <x v="4"/>
    <x v="0"/>
    <x v="1"/>
    <x v="3"/>
    <x v="3"/>
    <x v="4"/>
    <x v="2"/>
    <x v="161"/>
    <x v="29"/>
    <x v="1"/>
  </r>
  <r>
    <x v="169"/>
    <x v="112"/>
    <x v="4"/>
    <x v="4"/>
    <x v="4"/>
    <x v="3"/>
    <x v="2"/>
    <x v="2"/>
    <x v="2"/>
    <x v="2"/>
    <x v="2"/>
    <x v="2"/>
    <x v="0"/>
    <x v="1"/>
    <x v="0"/>
    <x v="162"/>
    <x v="22"/>
    <x v="0"/>
  </r>
  <r>
    <x v="170"/>
    <x v="113"/>
    <x v="21"/>
    <x v="21"/>
    <x v="21"/>
    <x v="4"/>
    <x v="3"/>
    <x v="3"/>
    <x v="3"/>
    <x v="0"/>
    <x v="2"/>
    <x v="2"/>
    <x v="3"/>
    <x v="3"/>
    <x v="1"/>
    <x v="163"/>
    <x v="22"/>
    <x v="0"/>
  </r>
  <r>
    <x v="171"/>
    <x v="113"/>
    <x v="35"/>
    <x v="35"/>
    <x v="35"/>
    <x v="2"/>
    <x v="2"/>
    <x v="2"/>
    <x v="2"/>
    <x v="2"/>
    <x v="0"/>
    <x v="2"/>
    <x v="3"/>
    <x v="2"/>
    <x v="2"/>
    <x v="164"/>
    <x v="6"/>
    <x v="0"/>
  </r>
  <r>
    <x v="172"/>
    <x v="114"/>
    <x v="2"/>
    <x v="2"/>
    <x v="2"/>
    <x v="2"/>
    <x v="6"/>
    <x v="6"/>
    <x v="0"/>
    <x v="2"/>
    <x v="2"/>
    <x v="5"/>
    <x v="2"/>
    <x v="1"/>
    <x v="0"/>
    <x v="165"/>
    <x v="31"/>
    <x v="0"/>
  </r>
  <r>
    <x v="173"/>
    <x v="115"/>
    <x v="4"/>
    <x v="4"/>
    <x v="4"/>
    <x v="3"/>
    <x v="6"/>
    <x v="6"/>
    <x v="0"/>
    <x v="2"/>
    <x v="2"/>
    <x v="5"/>
    <x v="0"/>
    <x v="3"/>
    <x v="0"/>
    <x v="166"/>
    <x v="31"/>
    <x v="0"/>
  </r>
  <r>
    <x v="174"/>
    <x v="115"/>
    <x v="22"/>
    <x v="22"/>
    <x v="22"/>
    <x v="8"/>
    <x v="9"/>
    <x v="9"/>
    <x v="8"/>
    <x v="2"/>
    <x v="4"/>
    <x v="8"/>
    <x v="1"/>
    <x v="0"/>
    <x v="0"/>
    <x v="82"/>
    <x v="37"/>
    <x v="0"/>
  </r>
  <r>
    <x v="175"/>
    <x v="116"/>
    <x v="7"/>
    <x v="7"/>
    <x v="7"/>
    <x v="1"/>
    <x v="8"/>
    <x v="8"/>
    <x v="7"/>
    <x v="0"/>
    <x v="3"/>
    <x v="7"/>
    <x v="1"/>
    <x v="1"/>
    <x v="1"/>
    <x v="167"/>
    <x v="27"/>
    <x v="0"/>
  </r>
  <r>
    <x v="176"/>
    <x v="116"/>
    <x v="20"/>
    <x v="20"/>
    <x v="20"/>
    <x v="2"/>
    <x v="2"/>
    <x v="2"/>
    <x v="2"/>
    <x v="2"/>
    <x v="1"/>
    <x v="2"/>
    <x v="0"/>
    <x v="0"/>
    <x v="1"/>
    <x v="168"/>
    <x v="2"/>
    <x v="0"/>
  </r>
  <r>
    <x v="177"/>
    <x v="117"/>
    <x v="14"/>
    <x v="14"/>
    <x v="14"/>
    <x v="7"/>
    <x v="4"/>
    <x v="4"/>
    <x v="4"/>
    <x v="0"/>
    <x v="3"/>
    <x v="3"/>
    <x v="2"/>
    <x v="2"/>
    <x v="1"/>
    <x v="169"/>
    <x v="8"/>
    <x v="0"/>
  </r>
  <r>
    <x v="178"/>
    <x v="118"/>
    <x v="29"/>
    <x v="29"/>
    <x v="29"/>
    <x v="8"/>
    <x v="8"/>
    <x v="8"/>
    <x v="7"/>
    <x v="0"/>
    <x v="2"/>
    <x v="7"/>
    <x v="1"/>
    <x v="1"/>
    <x v="1"/>
    <x v="170"/>
    <x v="28"/>
    <x v="0"/>
  </r>
  <r>
    <x v="179"/>
    <x v="119"/>
    <x v="48"/>
    <x v="48"/>
    <x v="47"/>
    <x v="6"/>
    <x v="4"/>
    <x v="4"/>
    <x v="4"/>
    <x v="0"/>
    <x v="3"/>
    <x v="3"/>
    <x v="2"/>
    <x v="2"/>
    <x v="2"/>
    <x v="171"/>
    <x v="8"/>
    <x v="0"/>
  </r>
  <r>
    <x v="180"/>
    <x v="120"/>
    <x v="24"/>
    <x v="24"/>
    <x v="24"/>
    <x v="1"/>
    <x v="3"/>
    <x v="3"/>
    <x v="3"/>
    <x v="0"/>
    <x v="1"/>
    <x v="2"/>
    <x v="2"/>
    <x v="4"/>
    <x v="1"/>
    <x v="34"/>
    <x v="2"/>
    <x v="0"/>
  </r>
  <r>
    <x v="181"/>
    <x v="120"/>
    <x v="4"/>
    <x v="4"/>
    <x v="4"/>
    <x v="3"/>
    <x v="6"/>
    <x v="6"/>
    <x v="0"/>
    <x v="2"/>
    <x v="0"/>
    <x v="5"/>
    <x v="0"/>
    <x v="1"/>
    <x v="2"/>
    <x v="172"/>
    <x v="23"/>
    <x v="0"/>
  </r>
  <r>
    <x v="182"/>
    <x v="121"/>
    <x v="8"/>
    <x v="8"/>
    <x v="8"/>
    <x v="0"/>
    <x v="5"/>
    <x v="5"/>
    <x v="5"/>
    <x v="0"/>
    <x v="0"/>
    <x v="4"/>
    <x v="1"/>
    <x v="0"/>
    <x v="1"/>
    <x v="173"/>
    <x v="7"/>
    <x v="1"/>
  </r>
  <r>
    <x v="183"/>
    <x v="122"/>
    <x v="20"/>
    <x v="20"/>
    <x v="20"/>
    <x v="2"/>
    <x v="9"/>
    <x v="9"/>
    <x v="8"/>
    <x v="2"/>
    <x v="1"/>
    <x v="8"/>
    <x v="2"/>
    <x v="0"/>
    <x v="2"/>
    <x v="174"/>
    <x v="21"/>
    <x v="0"/>
  </r>
  <r>
    <x v="184"/>
    <x v="122"/>
    <x v="16"/>
    <x v="16"/>
    <x v="16"/>
    <x v="2"/>
    <x v="0"/>
    <x v="0"/>
    <x v="0"/>
    <x v="0"/>
    <x v="1"/>
    <x v="0"/>
    <x v="1"/>
    <x v="1"/>
    <x v="0"/>
    <x v="175"/>
    <x v="16"/>
    <x v="0"/>
  </r>
  <r>
    <x v="185"/>
    <x v="123"/>
    <x v="26"/>
    <x v="26"/>
    <x v="26"/>
    <x v="2"/>
    <x v="3"/>
    <x v="3"/>
    <x v="3"/>
    <x v="0"/>
    <x v="4"/>
    <x v="2"/>
    <x v="3"/>
    <x v="4"/>
    <x v="2"/>
    <x v="176"/>
    <x v="9"/>
    <x v="0"/>
  </r>
  <r>
    <x v="186"/>
    <x v="123"/>
    <x v="12"/>
    <x v="12"/>
    <x v="12"/>
    <x v="5"/>
    <x v="5"/>
    <x v="5"/>
    <x v="5"/>
    <x v="0"/>
    <x v="0"/>
    <x v="4"/>
    <x v="0"/>
    <x v="2"/>
    <x v="1"/>
    <x v="177"/>
    <x v="7"/>
    <x v="1"/>
  </r>
  <r>
    <x v="187"/>
    <x v="124"/>
    <x v="46"/>
    <x v="46"/>
    <x v="46"/>
    <x v="4"/>
    <x v="7"/>
    <x v="7"/>
    <x v="6"/>
    <x v="1"/>
    <x v="3"/>
    <x v="6"/>
    <x v="1"/>
    <x v="1"/>
    <x v="0"/>
    <x v="178"/>
    <x v="26"/>
    <x v="0"/>
  </r>
  <r>
    <x v="188"/>
    <x v="124"/>
    <x v="14"/>
    <x v="14"/>
    <x v="14"/>
    <x v="7"/>
    <x v="6"/>
    <x v="6"/>
    <x v="0"/>
    <x v="2"/>
    <x v="3"/>
    <x v="5"/>
    <x v="1"/>
    <x v="2"/>
    <x v="0"/>
    <x v="179"/>
    <x v="34"/>
    <x v="0"/>
  </r>
  <r>
    <x v="189"/>
    <x v="125"/>
    <x v="32"/>
    <x v="32"/>
    <x v="32"/>
    <x v="1"/>
    <x v="0"/>
    <x v="0"/>
    <x v="0"/>
    <x v="0"/>
    <x v="4"/>
    <x v="0"/>
    <x v="1"/>
    <x v="2"/>
    <x v="1"/>
    <x v="116"/>
    <x v="14"/>
    <x v="0"/>
  </r>
  <r>
    <x v="190"/>
    <x v="125"/>
    <x v="22"/>
    <x v="22"/>
    <x v="22"/>
    <x v="8"/>
    <x v="3"/>
    <x v="3"/>
    <x v="3"/>
    <x v="0"/>
    <x v="2"/>
    <x v="2"/>
    <x v="0"/>
    <x v="2"/>
    <x v="2"/>
    <x v="180"/>
    <x v="22"/>
    <x v="0"/>
  </r>
  <r>
    <x v="191"/>
    <x v="125"/>
    <x v="42"/>
    <x v="42"/>
    <x v="42"/>
    <x v="1"/>
    <x v="6"/>
    <x v="6"/>
    <x v="0"/>
    <x v="2"/>
    <x v="0"/>
    <x v="5"/>
    <x v="1"/>
    <x v="1"/>
    <x v="0"/>
    <x v="181"/>
    <x v="23"/>
    <x v="0"/>
  </r>
  <r>
    <x v="192"/>
    <x v="126"/>
    <x v="40"/>
    <x v="40"/>
    <x v="40"/>
    <x v="0"/>
    <x v="9"/>
    <x v="9"/>
    <x v="8"/>
    <x v="2"/>
    <x v="4"/>
    <x v="8"/>
    <x v="3"/>
    <x v="1"/>
    <x v="2"/>
    <x v="182"/>
    <x v="37"/>
    <x v="0"/>
  </r>
  <r>
    <x v="193"/>
    <x v="126"/>
    <x v="39"/>
    <x v="39"/>
    <x v="39"/>
    <x v="4"/>
    <x v="6"/>
    <x v="6"/>
    <x v="0"/>
    <x v="2"/>
    <x v="1"/>
    <x v="5"/>
    <x v="3"/>
    <x v="0"/>
    <x v="0"/>
    <x v="183"/>
    <x v="17"/>
    <x v="0"/>
  </r>
  <r>
    <x v="194"/>
    <x v="126"/>
    <x v="7"/>
    <x v="7"/>
    <x v="7"/>
    <x v="1"/>
    <x v="2"/>
    <x v="2"/>
    <x v="2"/>
    <x v="2"/>
    <x v="0"/>
    <x v="2"/>
    <x v="1"/>
    <x v="4"/>
    <x v="2"/>
    <x v="184"/>
    <x v="6"/>
    <x v="0"/>
  </r>
  <r>
    <x v="195"/>
    <x v="127"/>
    <x v="24"/>
    <x v="24"/>
    <x v="24"/>
    <x v="1"/>
    <x v="1"/>
    <x v="1"/>
    <x v="1"/>
    <x v="1"/>
    <x v="1"/>
    <x v="1"/>
    <x v="3"/>
    <x v="4"/>
    <x v="0"/>
    <x v="185"/>
    <x v="42"/>
    <x v="0"/>
  </r>
  <r>
    <x v="196"/>
    <x v="128"/>
    <x v="9"/>
    <x v="9"/>
    <x v="9"/>
    <x v="4"/>
    <x v="1"/>
    <x v="1"/>
    <x v="1"/>
    <x v="1"/>
    <x v="4"/>
    <x v="1"/>
    <x v="3"/>
    <x v="4"/>
    <x v="2"/>
    <x v="170"/>
    <x v="20"/>
    <x v="0"/>
  </r>
  <r>
    <x v="197"/>
    <x v="129"/>
    <x v="5"/>
    <x v="5"/>
    <x v="5"/>
    <x v="2"/>
    <x v="0"/>
    <x v="0"/>
    <x v="0"/>
    <x v="0"/>
    <x v="4"/>
    <x v="0"/>
    <x v="3"/>
    <x v="0"/>
    <x v="1"/>
    <x v="186"/>
    <x v="14"/>
    <x v="0"/>
  </r>
  <r>
    <x v="198"/>
    <x v="130"/>
    <x v="44"/>
    <x v="44"/>
    <x v="44"/>
    <x v="6"/>
    <x v="4"/>
    <x v="4"/>
    <x v="4"/>
    <x v="0"/>
    <x v="4"/>
    <x v="3"/>
    <x v="2"/>
    <x v="0"/>
    <x v="0"/>
    <x v="187"/>
    <x v="11"/>
    <x v="1"/>
  </r>
  <r>
    <x v="199"/>
    <x v="130"/>
    <x v="14"/>
    <x v="14"/>
    <x v="14"/>
    <x v="7"/>
    <x v="6"/>
    <x v="6"/>
    <x v="0"/>
    <x v="2"/>
    <x v="0"/>
    <x v="5"/>
    <x v="3"/>
    <x v="3"/>
    <x v="2"/>
    <x v="188"/>
    <x v="23"/>
    <x v="0"/>
  </r>
  <r>
    <x v="200"/>
    <x v="130"/>
    <x v="46"/>
    <x v="46"/>
    <x v="46"/>
    <x v="4"/>
    <x v="5"/>
    <x v="5"/>
    <x v="5"/>
    <x v="0"/>
    <x v="2"/>
    <x v="4"/>
    <x v="3"/>
    <x v="0"/>
    <x v="1"/>
    <x v="189"/>
    <x v="10"/>
    <x v="0"/>
  </r>
  <r>
    <x v="201"/>
    <x v="131"/>
    <x v="8"/>
    <x v="8"/>
    <x v="8"/>
    <x v="0"/>
    <x v="5"/>
    <x v="5"/>
    <x v="5"/>
    <x v="0"/>
    <x v="4"/>
    <x v="4"/>
    <x v="3"/>
    <x v="3"/>
    <x v="1"/>
    <x v="190"/>
    <x v="13"/>
    <x v="1"/>
  </r>
  <r>
    <x v="202"/>
    <x v="131"/>
    <x v="23"/>
    <x v="23"/>
    <x v="23"/>
    <x v="2"/>
    <x v="8"/>
    <x v="8"/>
    <x v="7"/>
    <x v="0"/>
    <x v="2"/>
    <x v="7"/>
    <x v="3"/>
    <x v="1"/>
    <x v="0"/>
    <x v="191"/>
    <x v="28"/>
    <x v="0"/>
  </r>
  <r>
    <x v="203"/>
    <x v="131"/>
    <x v="4"/>
    <x v="4"/>
    <x v="4"/>
    <x v="3"/>
    <x v="8"/>
    <x v="8"/>
    <x v="7"/>
    <x v="0"/>
    <x v="0"/>
    <x v="7"/>
    <x v="3"/>
    <x v="1"/>
    <x v="1"/>
    <x v="192"/>
    <x v="25"/>
    <x v="0"/>
  </r>
  <r>
    <x v="204"/>
    <x v="132"/>
    <x v="48"/>
    <x v="48"/>
    <x v="47"/>
    <x v="6"/>
    <x v="1"/>
    <x v="1"/>
    <x v="1"/>
    <x v="1"/>
    <x v="3"/>
    <x v="1"/>
    <x v="3"/>
    <x v="0"/>
    <x v="2"/>
    <x v="193"/>
    <x v="30"/>
    <x v="0"/>
  </r>
  <r>
    <x v="205"/>
    <x v="133"/>
    <x v="43"/>
    <x v="43"/>
    <x v="43"/>
    <x v="6"/>
    <x v="2"/>
    <x v="2"/>
    <x v="2"/>
    <x v="2"/>
    <x v="0"/>
    <x v="2"/>
    <x v="3"/>
    <x v="2"/>
    <x v="1"/>
    <x v="170"/>
    <x v="6"/>
    <x v="0"/>
  </r>
  <r>
    <x v="206"/>
    <x v="133"/>
    <x v="16"/>
    <x v="16"/>
    <x v="16"/>
    <x v="2"/>
    <x v="6"/>
    <x v="6"/>
    <x v="0"/>
    <x v="2"/>
    <x v="1"/>
    <x v="5"/>
    <x v="1"/>
    <x v="1"/>
    <x v="0"/>
    <x v="194"/>
    <x v="17"/>
    <x v="0"/>
  </r>
  <r>
    <x v="207"/>
    <x v="134"/>
    <x v="30"/>
    <x v="30"/>
    <x v="30"/>
    <x v="2"/>
    <x v="1"/>
    <x v="1"/>
    <x v="1"/>
    <x v="1"/>
    <x v="1"/>
    <x v="1"/>
    <x v="3"/>
    <x v="0"/>
    <x v="2"/>
    <x v="195"/>
    <x v="42"/>
    <x v="0"/>
  </r>
  <r>
    <x v="208"/>
    <x v="135"/>
    <x v="20"/>
    <x v="20"/>
    <x v="20"/>
    <x v="2"/>
    <x v="7"/>
    <x v="7"/>
    <x v="6"/>
    <x v="1"/>
    <x v="0"/>
    <x v="6"/>
    <x v="0"/>
    <x v="4"/>
    <x v="1"/>
    <x v="179"/>
    <x v="18"/>
    <x v="0"/>
  </r>
  <r>
    <x v="209"/>
    <x v="136"/>
    <x v="2"/>
    <x v="2"/>
    <x v="2"/>
    <x v="2"/>
    <x v="9"/>
    <x v="9"/>
    <x v="8"/>
    <x v="2"/>
    <x v="0"/>
    <x v="8"/>
    <x v="0"/>
    <x v="0"/>
    <x v="0"/>
    <x v="196"/>
    <x v="24"/>
    <x v="0"/>
  </r>
  <r>
    <x v="210"/>
    <x v="136"/>
    <x v="0"/>
    <x v="0"/>
    <x v="0"/>
    <x v="0"/>
    <x v="8"/>
    <x v="8"/>
    <x v="7"/>
    <x v="0"/>
    <x v="2"/>
    <x v="7"/>
    <x v="2"/>
    <x v="0"/>
    <x v="0"/>
    <x v="197"/>
    <x v="28"/>
    <x v="0"/>
  </r>
  <r>
    <x v="211"/>
    <x v="137"/>
    <x v="45"/>
    <x v="45"/>
    <x v="45"/>
    <x v="6"/>
    <x v="2"/>
    <x v="2"/>
    <x v="2"/>
    <x v="2"/>
    <x v="2"/>
    <x v="2"/>
    <x v="0"/>
    <x v="1"/>
    <x v="1"/>
    <x v="198"/>
    <x v="22"/>
    <x v="0"/>
  </r>
  <r>
    <x v="212"/>
    <x v="138"/>
    <x v="23"/>
    <x v="23"/>
    <x v="23"/>
    <x v="2"/>
    <x v="5"/>
    <x v="5"/>
    <x v="5"/>
    <x v="0"/>
    <x v="1"/>
    <x v="4"/>
    <x v="2"/>
    <x v="1"/>
    <x v="1"/>
    <x v="54"/>
    <x v="12"/>
    <x v="1"/>
  </r>
  <r>
    <x v="213"/>
    <x v="138"/>
    <x v="4"/>
    <x v="4"/>
    <x v="4"/>
    <x v="3"/>
    <x v="2"/>
    <x v="2"/>
    <x v="2"/>
    <x v="2"/>
    <x v="0"/>
    <x v="2"/>
    <x v="2"/>
    <x v="0"/>
    <x v="2"/>
    <x v="174"/>
    <x v="6"/>
    <x v="0"/>
  </r>
  <r>
    <x v="214"/>
    <x v="139"/>
    <x v="17"/>
    <x v="17"/>
    <x v="17"/>
    <x v="1"/>
    <x v="4"/>
    <x v="4"/>
    <x v="4"/>
    <x v="0"/>
    <x v="0"/>
    <x v="3"/>
    <x v="0"/>
    <x v="4"/>
    <x v="2"/>
    <x v="199"/>
    <x v="4"/>
    <x v="1"/>
  </r>
  <r>
    <x v="215"/>
    <x v="139"/>
    <x v="37"/>
    <x v="37"/>
    <x v="37"/>
    <x v="1"/>
    <x v="9"/>
    <x v="9"/>
    <x v="8"/>
    <x v="2"/>
    <x v="0"/>
    <x v="8"/>
    <x v="0"/>
    <x v="3"/>
    <x v="1"/>
    <x v="31"/>
    <x v="24"/>
    <x v="0"/>
  </r>
  <r>
    <x v="216"/>
    <x v="140"/>
    <x v="6"/>
    <x v="6"/>
    <x v="6"/>
    <x v="3"/>
    <x v="6"/>
    <x v="6"/>
    <x v="0"/>
    <x v="2"/>
    <x v="1"/>
    <x v="5"/>
    <x v="0"/>
    <x v="3"/>
    <x v="2"/>
    <x v="200"/>
    <x v="17"/>
    <x v="0"/>
  </r>
  <r>
    <x v="217"/>
    <x v="140"/>
    <x v="30"/>
    <x v="30"/>
    <x v="30"/>
    <x v="2"/>
    <x v="5"/>
    <x v="5"/>
    <x v="5"/>
    <x v="0"/>
    <x v="3"/>
    <x v="4"/>
    <x v="2"/>
    <x v="3"/>
    <x v="0"/>
    <x v="201"/>
    <x v="38"/>
    <x v="0"/>
  </r>
  <r>
    <x v="218"/>
    <x v="141"/>
    <x v="43"/>
    <x v="43"/>
    <x v="43"/>
    <x v="6"/>
    <x v="5"/>
    <x v="5"/>
    <x v="5"/>
    <x v="0"/>
    <x v="3"/>
    <x v="4"/>
    <x v="0"/>
    <x v="2"/>
    <x v="1"/>
    <x v="145"/>
    <x v="38"/>
    <x v="0"/>
  </r>
  <r>
    <x v="219"/>
    <x v="141"/>
    <x v="48"/>
    <x v="48"/>
    <x v="47"/>
    <x v="6"/>
    <x v="2"/>
    <x v="2"/>
    <x v="2"/>
    <x v="2"/>
    <x v="4"/>
    <x v="2"/>
    <x v="2"/>
    <x v="2"/>
    <x v="1"/>
    <x v="30"/>
    <x v="9"/>
    <x v="0"/>
  </r>
  <r>
    <x v="220"/>
    <x v="141"/>
    <x v="39"/>
    <x v="39"/>
    <x v="39"/>
    <x v="4"/>
    <x v="8"/>
    <x v="8"/>
    <x v="7"/>
    <x v="0"/>
    <x v="1"/>
    <x v="7"/>
    <x v="2"/>
    <x v="3"/>
    <x v="1"/>
    <x v="202"/>
    <x v="19"/>
    <x v="0"/>
  </r>
  <r>
    <x v="221"/>
    <x v="142"/>
    <x v="26"/>
    <x v="26"/>
    <x v="26"/>
    <x v="2"/>
    <x v="9"/>
    <x v="9"/>
    <x v="8"/>
    <x v="2"/>
    <x v="2"/>
    <x v="8"/>
    <x v="0"/>
    <x v="0"/>
    <x v="1"/>
    <x v="203"/>
    <x v="35"/>
    <x v="0"/>
  </r>
  <r>
    <x v="222"/>
    <x v="143"/>
    <x v="45"/>
    <x v="45"/>
    <x v="45"/>
    <x v="6"/>
    <x v="1"/>
    <x v="1"/>
    <x v="1"/>
    <x v="1"/>
    <x v="4"/>
    <x v="1"/>
    <x v="0"/>
    <x v="3"/>
    <x v="2"/>
    <x v="204"/>
    <x v="20"/>
    <x v="0"/>
  </r>
  <r>
    <x v="223"/>
    <x v="143"/>
    <x v="16"/>
    <x v="16"/>
    <x v="16"/>
    <x v="2"/>
    <x v="6"/>
    <x v="6"/>
    <x v="0"/>
    <x v="2"/>
    <x v="2"/>
    <x v="5"/>
    <x v="2"/>
    <x v="1"/>
    <x v="0"/>
    <x v="205"/>
    <x v="31"/>
    <x v="0"/>
  </r>
  <r>
    <x v="224"/>
    <x v="144"/>
    <x v="6"/>
    <x v="6"/>
    <x v="6"/>
    <x v="3"/>
    <x v="2"/>
    <x v="2"/>
    <x v="2"/>
    <x v="2"/>
    <x v="2"/>
    <x v="2"/>
    <x v="0"/>
    <x v="0"/>
    <x v="0"/>
    <x v="32"/>
    <x v="22"/>
    <x v="0"/>
  </r>
  <r>
    <x v="225"/>
    <x v="145"/>
    <x v="40"/>
    <x v="40"/>
    <x v="40"/>
    <x v="0"/>
    <x v="5"/>
    <x v="5"/>
    <x v="5"/>
    <x v="0"/>
    <x v="1"/>
    <x v="4"/>
    <x v="3"/>
    <x v="4"/>
    <x v="1"/>
    <x v="65"/>
    <x v="12"/>
    <x v="1"/>
  </r>
  <r>
    <x v="226"/>
    <x v="146"/>
    <x v="11"/>
    <x v="11"/>
    <x v="11"/>
    <x v="5"/>
    <x v="1"/>
    <x v="1"/>
    <x v="1"/>
    <x v="1"/>
    <x v="1"/>
    <x v="1"/>
    <x v="0"/>
    <x v="3"/>
    <x v="1"/>
    <x v="206"/>
    <x v="42"/>
    <x v="0"/>
  </r>
  <r>
    <x v="227"/>
    <x v="147"/>
    <x v="0"/>
    <x v="0"/>
    <x v="0"/>
    <x v="0"/>
    <x v="8"/>
    <x v="8"/>
    <x v="7"/>
    <x v="0"/>
    <x v="2"/>
    <x v="7"/>
    <x v="1"/>
    <x v="3"/>
    <x v="1"/>
    <x v="4"/>
    <x v="28"/>
    <x v="0"/>
  </r>
  <r>
    <x v="228"/>
    <x v="147"/>
    <x v="22"/>
    <x v="22"/>
    <x v="22"/>
    <x v="8"/>
    <x v="0"/>
    <x v="0"/>
    <x v="0"/>
    <x v="0"/>
    <x v="1"/>
    <x v="0"/>
    <x v="0"/>
    <x v="4"/>
    <x v="2"/>
    <x v="207"/>
    <x v="16"/>
    <x v="0"/>
  </r>
  <r>
    <x v="229"/>
    <x v="148"/>
    <x v="40"/>
    <x v="40"/>
    <x v="40"/>
    <x v="0"/>
    <x v="2"/>
    <x v="2"/>
    <x v="2"/>
    <x v="2"/>
    <x v="2"/>
    <x v="2"/>
    <x v="2"/>
    <x v="0"/>
    <x v="1"/>
    <x v="208"/>
    <x v="22"/>
    <x v="0"/>
  </r>
  <r>
    <x v="230"/>
    <x v="148"/>
    <x v="28"/>
    <x v="28"/>
    <x v="28"/>
    <x v="4"/>
    <x v="4"/>
    <x v="4"/>
    <x v="4"/>
    <x v="0"/>
    <x v="1"/>
    <x v="3"/>
    <x v="2"/>
    <x v="4"/>
    <x v="1"/>
    <x v="64"/>
    <x v="29"/>
    <x v="1"/>
  </r>
  <r>
    <x v="231"/>
    <x v="148"/>
    <x v="6"/>
    <x v="6"/>
    <x v="6"/>
    <x v="3"/>
    <x v="2"/>
    <x v="2"/>
    <x v="2"/>
    <x v="2"/>
    <x v="4"/>
    <x v="2"/>
    <x v="0"/>
    <x v="0"/>
    <x v="2"/>
    <x v="209"/>
    <x v="9"/>
    <x v="0"/>
  </r>
  <r>
    <x v="232"/>
    <x v="149"/>
    <x v="28"/>
    <x v="28"/>
    <x v="28"/>
    <x v="4"/>
    <x v="0"/>
    <x v="0"/>
    <x v="0"/>
    <x v="0"/>
    <x v="3"/>
    <x v="0"/>
    <x v="0"/>
    <x v="2"/>
    <x v="2"/>
    <x v="210"/>
    <x v="39"/>
    <x v="0"/>
  </r>
  <r>
    <x v="233"/>
    <x v="150"/>
    <x v="37"/>
    <x v="37"/>
    <x v="37"/>
    <x v="1"/>
    <x v="1"/>
    <x v="1"/>
    <x v="1"/>
    <x v="1"/>
    <x v="2"/>
    <x v="1"/>
    <x v="1"/>
    <x v="3"/>
    <x v="0"/>
    <x v="211"/>
    <x v="3"/>
    <x v="0"/>
  </r>
  <r>
    <x v="234"/>
    <x v="151"/>
    <x v="25"/>
    <x v="25"/>
    <x v="25"/>
    <x v="1"/>
    <x v="2"/>
    <x v="2"/>
    <x v="2"/>
    <x v="2"/>
    <x v="2"/>
    <x v="2"/>
    <x v="0"/>
    <x v="3"/>
    <x v="1"/>
    <x v="212"/>
    <x v="22"/>
    <x v="0"/>
  </r>
  <r>
    <x v="235"/>
    <x v="151"/>
    <x v="30"/>
    <x v="30"/>
    <x v="30"/>
    <x v="2"/>
    <x v="4"/>
    <x v="4"/>
    <x v="4"/>
    <x v="0"/>
    <x v="0"/>
    <x v="3"/>
    <x v="3"/>
    <x v="2"/>
    <x v="1"/>
    <x v="213"/>
    <x v="4"/>
    <x v="1"/>
  </r>
  <r>
    <x v="236"/>
    <x v="151"/>
    <x v="5"/>
    <x v="5"/>
    <x v="5"/>
    <x v="2"/>
    <x v="4"/>
    <x v="4"/>
    <x v="4"/>
    <x v="0"/>
    <x v="0"/>
    <x v="3"/>
    <x v="2"/>
    <x v="2"/>
    <x v="0"/>
    <x v="214"/>
    <x v="4"/>
    <x v="1"/>
  </r>
  <r>
    <x v="237"/>
    <x v="152"/>
    <x v="0"/>
    <x v="0"/>
    <x v="0"/>
    <x v="0"/>
    <x v="6"/>
    <x v="6"/>
    <x v="0"/>
    <x v="2"/>
    <x v="0"/>
    <x v="5"/>
    <x v="1"/>
    <x v="3"/>
    <x v="1"/>
    <x v="215"/>
    <x v="23"/>
    <x v="0"/>
  </r>
  <r>
    <x v="238"/>
    <x v="153"/>
    <x v="49"/>
    <x v="49"/>
    <x v="48"/>
    <x v="9"/>
    <x v="2"/>
    <x v="2"/>
    <x v="2"/>
    <x v="2"/>
    <x v="4"/>
    <x v="2"/>
    <x v="2"/>
    <x v="3"/>
    <x v="2"/>
    <x v="144"/>
    <x v="9"/>
    <x v="0"/>
  </r>
  <r>
    <x v="239"/>
    <x v="154"/>
    <x v="19"/>
    <x v="19"/>
    <x v="19"/>
    <x v="1"/>
    <x v="7"/>
    <x v="7"/>
    <x v="6"/>
    <x v="1"/>
    <x v="4"/>
    <x v="6"/>
    <x v="1"/>
    <x v="0"/>
    <x v="0"/>
    <x v="216"/>
    <x v="40"/>
    <x v="0"/>
  </r>
  <r>
    <x v="240"/>
    <x v="155"/>
    <x v="36"/>
    <x v="36"/>
    <x v="36"/>
    <x v="4"/>
    <x v="8"/>
    <x v="8"/>
    <x v="7"/>
    <x v="0"/>
    <x v="1"/>
    <x v="7"/>
    <x v="2"/>
    <x v="1"/>
    <x v="0"/>
    <x v="217"/>
    <x v="19"/>
    <x v="0"/>
  </r>
  <r>
    <x v="241"/>
    <x v="156"/>
    <x v="16"/>
    <x v="16"/>
    <x v="16"/>
    <x v="2"/>
    <x v="2"/>
    <x v="2"/>
    <x v="2"/>
    <x v="2"/>
    <x v="0"/>
    <x v="2"/>
    <x v="2"/>
    <x v="0"/>
    <x v="2"/>
    <x v="218"/>
    <x v="6"/>
    <x v="0"/>
  </r>
  <r>
    <x v="242"/>
    <x v="156"/>
    <x v="8"/>
    <x v="8"/>
    <x v="8"/>
    <x v="0"/>
    <x v="8"/>
    <x v="8"/>
    <x v="7"/>
    <x v="0"/>
    <x v="2"/>
    <x v="7"/>
    <x v="3"/>
    <x v="3"/>
    <x v="1"/>
    <x v="164"/>
    <x v="28"/>
    <x v="0"/>
  </r>
  <r>
    <x v="243"/>
    <x v="157"/>
    <x v="19"/>
    <x v="19"/>
    <x v="19"/>
    <x v="1"/>
    <x v="5"/>
    <x v="5"/>
    <x v="5"/>
    <x v="0"/>
    <x v="2"/>
    <x v="4"/>
    <x v="2"/>
    <x v="2"/>
    <x v="2"/>
    <x v="111"/>
    <x v="10"/>
    <x v="0"/>
  </r>
  <r>
    <x v="244"/>
    <x v="158"/>
    <x v="23"/>
    <x v="23"/>
    <x v="23"/>
    <x v="2"/>
    <x v="4"/>
    <x v="4"/>
    <x v="4"/>
    <x v="0"/>
    <x v="0"/>
    <x v="3"/>
    <x v="0"/>
    <x v="0"/>
    <x v="2"/>
    <x v="115"/>
    <x v="4"/>
    <x v="1"/>
  </r>
  <r>
    <x v="245"/>
    <x v="159"/>
    <x v="16"/>
    <x v="16"/>
    <x v="16"/>
    <x v="2"/>
    <x v="7"/>
    <x v="7"/>
    <x v="6"/>
    <x v="1"/>
    <x v="0"/>
    <x v="6"/>
    <x v="1"/>
    <x v="2"/>
    <x v="0"/>
    <x v="219"/>
    <x v="18"/>
    <x v="0"/>
  </r>
  <r>
    <x v="246"/>
    <x v="160"/>
    <x v="7"/>
    <x v="7"/>
    <x v="7"/>
    <x v="1"/>
    <x v="8"/>
    <x v="8"/>
    <x v="7"/>
    <x v="0"/>
    <x v="3"/>
    <x v="7"/>
    <x v="3"/>
    <x v="4"/>
    <x v="0"/>
    <x v="220"/>
    <x v="27"/>
    <x v="0"/>
  </r>
  <r>
    <x v="247"/>
    <x v="161"/>
    <x v="46"/>
    <x v="46"/>
    <x v="46"/>
    <x v="4"/>
    <x v="5"/>
    <x v="5"/>
    <x v="5"/>
    <x v="0"/>
    <x v="0"/>
    <x v="4"/>
    <x v="2"/>
    <x v="2"/>
    <x v="0"/>
    <x v="67"/>
    <x v="7"/>
    <x v="1"/>
  </r>
  <r>
    <x v="248"/>
    <x v="161"/>
    <x v="40"/>
    <x v="40"/>
    <x v="40"/>
    <x v="0"/>
    <x v="8"/>
    <x v="8"/>
    <x v="7"/>
    <x v="0"/>
    <x v="2"/>
    <x v="7"/>
    <x v="3"/>
    <x v="4"/>
    <x v="0"/>
    <x v="221"/>
    <x v="28"/>
    <x v="0"/>
  </r>
  <r>
    <x v="249"/>
    <x v="161"/>
    <x v="26"/>
    <x v="26"/>
    <x v="26"/>
    <x v="2"/>
    <x v="8"/>
    <x v="8"/>
    <x v="7"/>
    <x v="0"/>
    <x v="0"/>
    <x v="7"/>
    <x v="3"/>
    <x v="2"/>
    <x v="1"/>
    <x v="222"/>
    <x v="2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0"/>
    <x v="0"/>
    <x v="0"/>
    <x v="0"/>
    <x v="0"/>
    <x v="0"/>
    <x v="1"/>
    <x v="0"/>
    <x v="1"/>
    <x v="1"/>
    <x v="0"/>
  </r>
  <r>
    <x v="0"/>
    <x v="2"/>
    <x v="2"/>
    <x v="2"/>
    <x v="2"/>
    <x v="1"/>
    <x v="1"/>
    <x v="1"/>
    <x v="1"/>
    <x v="0"/>
    <x v="1"/>
    <x v="2"/>
    <x v="1"/>
    <x v="2"/>
    <x v="2"/>
    <x v="1"/>
  </r>
  <r>
    <x v="0"/>
    <x v="3"/>
    <x v="3"/>
    <x v="3"/>
    <x v="2"/>
    <x v="1"/>
    <x v="1"/>
    <x v="1"/>
    <x v="1"/>
    <x v="0"/>
    <x v="1"/>
    <x v="0"/>
    <x v="2"/>
    <x v="1"/>
    <x v="3"/>
    <x v="1"/>
  </r>
  <r>
    <x v="0"/>
    <x v="4"/>
    <x v="4"/>
    <x v="4"/>
    <x v="3"/>
    <x v="2"/>
    <x v="2"/>
    <x v="2"/>
    <x v="2"/>
    <x v="1"/>
    <x v="2"/>
    <x v="1"/>
    <x v="2"/>
    <x v="1"/>
    <x v="4"/>
    <x v="2"/>
  </r>
  <r>
    <x v="0"/>
    <x v="5"/>
    <x v="5"/>
    <x v="5"/>
    <x v="2"/>
    <x v="1"/>
    <x v="1"/>
    <x v="1"/>
    <x v="1"/>
    <x v="2"/>
    <x v="1"/>
    <x v="0"/>
    <x v="3"/>
    <x v="2"/>
    <x v="5"/>
    <x v="3"/>
  </r>
  <r>
    <x v="0"/>
    <x v="5"/>
    <x v="5"/>
    <x v="5"/>
    <x v="2"/>
    <x v="3"/>
    <x v="3"/>
    <x v="3"/>
    <x v="0"/>
    <x v="1"/>
    <x v="2"/>
    <x v="1"/>
    <x v="0"/>
    <x v="2"/>
    <x v="6"/>
    <x v="2"/>
  </r>
  <r>
    <x v="0"/>
    <x v="6"/>
    <x v="6"/>
    <x v="6"/>
    <x v="3"/>
    <x v="1"/>
    <x v="1"/>
    <x v="1"/>
    <x v="1"/>
    <x v="0"/>
    <x v="1"/>
    <x v="3"/>
    <x v="1"/>
    <x v="0"/>
    <x v="7"/>
    <x v="1"/>
  </r>
  <r>
    <x v="0"/>
    <x v="7"/>
    <x v="7"/>
    <x v="7"/>
    <x v="1"/>
    <x v="4"/>
    <x v="4"/>
    <x v="4"/>
    <x v="0"/>
    <x v="0"/>
    <x v="3"/>
    <x v="2"/>
    <x v="4"/>
    <x v="2"/>
    <x v="8"/>
    <x v="4"/>
  </r>
  <r>
    <x v="0"/>
    <x v="8"/>
    <x v="8"/>
    <x v="8"/>
    <x v="0"/>
    <x v="1"/>
    <x v="1"/>
    <x v="1"/>
    <x v="1"/>
    <x v="0"/>
    <x v="1"/>
    <x v="0"/>
    <x v="3"/>
    <x v="1"/>
    <x v="9"/>
    <x v="1"/>
  </r>
  <r>
    <x v="0"/>
    <x v="9"/>
    <x v="9"/>
    <x v="9"/>
    <x v="4"/>
    <x v="2"/>
    <x v="2"/>
    <x v="2"/>
    <x v="2"/>
    <x v="3"/>
    <x v="2"/>
    <x v="1"/>
    <x v="3"/>
    <x v="2"/>
    <x v="10"/>
    <x v="5"/>
  </r>
  <r>
    <x v="0"/>
    <x v="3"/>
    <x v="3"/>
    <x v="3"/>
    <x v="2"/>
    <x v="2"/>
    <x v="2"/>
    <x v="2"/>
    <x v="2"/>
    <x v="1"/>
    <x v="2"/>
    <x v="3"/>
    <x v="2"/>
    <x v="0"/>
    <x v="11"/>
    <x v="2"/>
  </r>
  <r>
    <x v="0"/>
    <x v="10"/>
    <x v="10"/>
    <x v="10"/>
    <x v="1"/>
    <x v="2"/>
    <x v="2"/>
    <x v="2"/>
    <x v="2"/>
    <x v="0"/>
    <x v="2"/>
    <x v="0"/>
    <x v="2"/>
    <x v="1"/>
    <x v="12"/>
    <x v="6"/>
  </r>
  <r>
    <x v="0"/>
    <x v="11"/>
    <x v="11"/>
    <x v="11"/>
    <x v="5"/>
    <x v="1"/>
    <x v="1"/>
    <x v="1"/>
    <x v="1"/>
    <x v="0"/>
    <x v="1"/>
    <x v="1"/>
    <x v="2"/>
    <x v="2"/>
    <x v="13"/>
    <x v="1"/>
  </r>
  <r>
    <x v="0"/>
    <x v="12"/>
    <x v="12"/>
    <x v="12"/>
    <x v="5"/>
    <x v="5"/>
    <x v="5"/>
    <x v="5"/>
    <x v="0"/>
    <x v="0"/>
    <x v="4"/>
    <x v="1"/>
    <x v="3"/>
    <x v="0"/>
    <x v="14"/>
    <x v="7"/>
  </r>
  <r>
    <x v="0"/>
    <x v="13"/>
    <x v="13"/>
    <x v="13"/>
    <x v="6"/>
    <x v="4"/>
    <x v="4"/>
    <x v="4"/>
    <x v="0"/>
    <x v="3"/>
    <x v="3"/>
    <x v="3"/>
    <x v="2"/>
    <x v="2"/>
    <x v="15"/>
    <x v="8"/>
  </r>
  <r>
    <x v="0"/>
    <x v="14"/>
    <x v="14"/>
    <x v="14"/>
    <x v="7"/>
    <x v="2"/>
    <x v="2"/>
    <x v="2"/>
    <x v="2"/>
    <x v="4"/>
    <x v="2"/>
    <x v="3"/>
    <x v="2"/>
    <x v="1"/>
    <x v="16"/>
    <x v="9"/>
  </r>
  <r>
    <x v="0"/>
    <x v="15"/>
    <x v="15"/>
    <x v="15"/>
    <x v="4"/>
    <x v="5"/>
    <x v="5"/>
    <x v="5"/>
    <x v="0"/>
    <x v="2"/>
    <x v="4"/>
    <x v="0"/>
    <x v="2"/>
    <x v="0"/>
    <x v="17"/>
    <x v="10"/>
  </r>
  <r>
    <x v="0"/>
    <x v="14"/>
    <x v="14"/>
    <x v="14"/>
    <x v="7"/>
    <x v="4"/>
    <x v="4"/>
    <x v="4"/>
    <x v="0"/>
    <x v="4"/>
    <x v="3"/>
    <x v="1"/>
    <x v="3"/>
    <x v="2"/>
    <x v="18"/>
    <x v="11"/>
  </r>
  <r>
    <x v="0"/>
    <x v="16"/>
    <x v="16"/>
    <x v="16"/>
    <x v="2"/>
    <x v="0"/>
    <x v="0"/>
    <x v="0"/>
    <x v="0"/>
    <x v="0"/>
    <x v="0"/>
    <x v="1"/>
    <x v="2"/>
    <x v="1"/>
    <x v="19"/>
    <x v="0"/>
  </r>
  <r>
    <x v="0"/>
    <x v="17"/>
    <x v="17"/>
    <x v="17"/>
    <x v="1"/>
    <x v="5"/>
    <x v="5"/>
    <x v="5"/>
    <x v="0"/>
    <x v="1"/>
    <x v="4"/>
    <x v="0"/>
    <x v="3"/>
    <x v="0"/>
    <x v="20"/>
    <x v="12"/>
  </r>
  <r>
    <x v="1"/>
    <x v="18"/>
    <x v="18"/>
    <x v="18"/>
    <x v="0"/>
    <x v="5"/>
    <x v="5"/>
    <x v="5"/>
    <x v="0"/>
    <x v="4"/>
    <x v="4"/>
    <x v="0"/>
    <x v="4"/>
    <x v="2"/>
    <x v="21"/>
    <x v="13"/>
  </r>
  <r>
    <x v="1"/>
    <x v="19"/>
    <x v="19"/>
    <x v="19"/>
    <x v="1"/>
    <x v="0"/>
    <x v="0"/>
    <x v="0"/>
    <x v="0"/>
    <x v="4"/>
    <x v="0"/>
    <x v="2"/>
    <x v="2"/>
    <x v="2"/>
    <x v="22"/>
    <x v="14"/>
  </r>
  <r>
    <x v="1"/>
    <x v="14"/>
    <x v="14"/>
    <x v="14"/>
    <x v="7"/>
    <x v="6"/>
    <x v="6"/>
    <x v="0"/>
    <x v="2"/>
    <x v="4"/>
    <x v="5"/>
    <x v="0"/>
    <x v="3"/>
    <x v="1"/>
    <x v="23"/>
    <x v="15"/>
  </r>
  <r>
    <x v="1"/>
    <x v="20"/>
    <x v="20"/>
    <x v="20"/>
    <x v="2"/>
    <x v="0"/>
    <x v="0"/>
    <x v="0"/>
    <x v="0"/>
    <x v="1"/>
    <x v="0"/>
    <x v="1"/>
    <x v="3"/>
    <x v="2"/>
    <x v="24"/>
    <x v="16"/>
  </r>
  <r>
    <x v="1"/>
    <x v="9"/>
    <x v="9"/>
    <x v="9"/>
    <x v="4"/>
    <x v="6"/>
    <x v="6"/>
    <x v="0"/>
    <x v="2"/>
    <x v="1"/>
    <x v="5"/>
    <x v="2"/>
    <x v="4"/>
    <x v="0"/>
    <x v="25"/>
    <x v="17"/>
  </r>
  <r>
    <x v="1"/>
    <x v="21"/>
    <x v="21"/>
    <x v="21"/>
    <x v="4"/>
    <x v="7"/>
    <x v="7"/>
    <x v="6"/>
    <x v="1"/>
    <x v="0"/>
    <x v="6"/>
    <x v="2"/>
    <x v="4"/>
    <x v="1"/>
    <x v="26"/>
    <x v="18"/>
  </r>
  <r>
    <x v="1"/>
    <x v="18"/>
    <x v="18"/>
    <x v="18"/>
    <x v="0"/>
    <x v="8"/>
    <x v="8"/>
    <x v="7"/>
    <x v="0"/>
    <x v="1"/>
    <x v="7"/>
    <x v="0"/>
    <x v="2"/>
    <x v="1"/>
    <x v="27"/>
    <x v="19"/>
  </r>
  <r>
    <x v="1"/>
    <x v="22"/>
    <x v="22"/>
    <x v="22"/>
    <x v="8"/>
    <x v="1"/>
    <x v="1"/>
    <x v="1"/>
    <x v="1"/>
    <x v="2"/>
    <x v="1"/>
    <x v="3"/>
    <x v="0"/>
    <x v="2"/>
    <x v="28"/>
    <x v="3"/>
  </r>
  <r>
    <x v="1"/>
    <x v="23"/>
    <x v="23"/>
    <x v="23"/>
    <x v="2"/>
    <x v="1"/>
    <x v="1"/>
    <x v="1"/>
    <x v="1"/>
    <x v="4"/>
    <x v="1"/>
    <x v="3"/>
    <x v="4"/>
    <x v="2"/>
    <x v="29"/>
    <x v="20"/>
  </r>
  <r>
    <x v="1"/>
    <x v="6"/>
    <x v="6"/>
    <x v="6"/>
    <x v="3"/>
    <x v="9"/>
    <x v="9"/>
    <x v="8"/>
    <x v="2"/>
    <x v="1"/>
    <x v="8"/>
    <x v="0"/>
    <x v="1"/>
    <x v="2"/>
    <x v="30"/>
    <x v="21"/>
  </r>
  <r>
    <x v="1"/>
    <x v="24"/>
    <x v="24"/>
    <x v="24"/>
    <x v="1"/>
    <x v="2"/>
    <x v="2"/>
    <x v="2"/>
    <x v="2"/>
    <x v="2"/>
    <x v="2"/>
    <x v="1"/>
    <x v="3"/>
    <x v="0"/>
    <x v="31"/>
    <x v="22"/>
  </r>
  <r>
    <x v="1"/>
    <x v="25"/>
    <x v="25"/>
    <x v="25"/>
    <x v="1"/>
    <x v="2"/>
    <x v="2"/>
    <x v="2"/>
    <x v="2"/>
    <x v="0"/>
    <x v="2"/>
    <x v="1"/>
    <x v="3"/>
    <x v="1"/>
    <x v="32"/>
    <x v="6"/>
  </r>
  <r>
    <x v="1"/>
    <x v="2"/>
    <x v="2"/>
    <x v="2"/>
    <x v="2"/>
    <x v="4"/>
    <x v="4"/>
    <x v="4"/>
    <x v="0"/>
    <x v="3"/>
    <x v="3"/>
    <x v="1"/>
    <x v="3"/>
    <x v="1"/>
    <x v="33"/>
    <x v="8"/>
  </r>
  <r>
    <x v="1"/>
    <x v="18"/>
    <x v="18"/>
    <x v="18"/>
    <x v="0"/>
    <x v="6"/>
    <x v="6"/>
    <x v="0"/>
    <x v="2"/>
    <x v="0"/>
    <x v="5"/>
    <x v="1"/>
    <x v="4"/>
    <x v="0"/>
    <x v="34"/>
    <x v="23"/>
  </r>
  <r>
    <x v="1"/>
    <x v="24"/>
    <x v="24"/>
    <x v="24"/>
    <x v="1"/>
    <x v="7"/>
    <x v="7"/>
    <x v="6"/>
    <x v="1"/>
    <x v="0"/>
    <x v="6"/>
    <x v="0"/>
    <x v="1"/>
    <x v="0"/>
    <x v="35"/>
    <x v="18"/>
  </r>
  <r>
    <x v="1"/>
    <x v="26"/>
    <x v="26"/>
    <x v="26"/>
    <x v="2"/>
    <x v="9"/>
    <x v="9"/>
    <x v="8"/>
    <x v="2"/>
    <x v="0"/>
    <x v="8"/>
    <x v="1"/>
    <x v="2"/>
    <x v="1"/>
    <x v="36"/>
    <x v="24"/>
  </r>
  <r>
    <x v="1"/>
    <x v="27"/>
    <x v="27"/>
    <x v="27"/>
    <x v="4"/>
    <x v="5"/>
    <x v="5"/>
    <x v="5"/>
    <x v="0"/>
    <x v="1"/>
    <x v="4"/>
    <x v="2"/>
    <x v="3"/>
    <x v="2"/>
    <x v="37"/>
    <x v="12"/>
  </r>
  <r>
    <x v="1"/>
    <x v="28"/>
    <x v="28"/>
    <x v="28"/>
    <x v="4"/>
    <x v="8"/>
    <x v="8"/>
    <x v="7"/>
    <x v="0"/>
    <x v="0"/>
    <x v="7"/>
    <x v="2"/>
    <x v="0"/>
    <x v="1"/>
    <x v="38"/>
    <x v="25"/>
  </r>
  <r>
    <x v="1"/>
    <x v="29"/>
    <x v="29"/>
    <x v="29"/>
    <x v="8"/>
    <x v="7"/>
    <x v="7"/>
    <x v="6"/>
    <x v="1"/>
    <x v="3"/>
    <x v="6"/>
    <x v="0"/>
    <x v="2"/>
    <x v="2"/>
    <x v="39"/>
    <x v="26"/>
  </r>
  <r>
    <x v="2"/>
    <x v="30"/>
    <x v="30"/>
    <x v="30"/>
    <x v="2"/>
    <x v="1"/>
    <x v="1"/>
    <x v="1"/>
    <x v="1"/>
    <x v="2"/>
    <x v="1"/>
    <x v="0"/>
    <x v="3"/>
    <x v="0"/>
    <x v="40"/>
    <x v="3"/>
  </r>
  <r>
    <x v="2"/>
    <x v="6"/>
    <x v="6"/>
    <x v="6"/>
    <x v="3"/>
    <x v="8"/>
    <x v="8"/>
    <x v="7"/>
    <x v="0"/>
    <x v="3"/>
    <x v="7"/>
    <x v="0"/>
    <x v="2"/>
    <x v="0"/>
    <x v="41"/>
    <x v="27"/>
  </r>
  <r>
    <x v="2"/>
    <x v="31"/>
    <x v="31"/>
    <x v="31"/>
    <x v="1"/>
    <x v="8"/>
    <x v="8"/>
    <x v="7"/>
    <x v="0"/>
    <x v="1"/>
    <x v="7"/>
    <x v="1"/>
    <x v="4"/>
    <x v="2"/>
    <x v="42"/>
    <x v="19"/>
  </r>
  <r>
    <x v="2"/>
    <x v="1"/>
    <x v="1"/>
    <x v="1"/>
    <x v="1"/>
    <x v="0"/>
    <x v="0"/>
    <x v="0"/>
    <x v="0"/>
    <x v="1"/>
    <x v="0"/>
    <x v="1"/>
    <x v="4"/>
    <x v="2"/>
    <x v="43"/>
    <x v="16"/>
  </r>
  <r>
    <x v="2"/>
    <x v="32"/>
    <x v="32"/>
    <x v="32"/>
    <x v="1"/>
    <x v="8"/>
    <x v="8"/>
    <x v="7"/>
    <x v="0"/>
    <x v="3"/>
    <x v="7"/>
    <x v="1"/>
    <x v="1"/>
    <x v="2"/>
    <x v="44"/>
    <x v="27"/>
  </r>
  <r>
    <x v="2"/>
    <x v="4"/>
    <x v="4"/>
    <x v="4"/>
    <x v="3"/>
    <x v="2"/>
    <x v="2"/>
    <x v="2"/>
    <x v="2"/>
    <x v="2"/>
    <x v="2"/>
    <x v="0"/>
    <x v="4"/>
    <x v="1"/>
    <x v="45"/>
    <x v="22"/>
  </r>
  <r>
    <x v="2"/>
    <x v="33"/>
    <x v="33"/>
    <x v="33"/>
    <x v="9"/>
    <x v="1"/>
    <x v="1"/>
    <x v="1"/>
    <x v="1"/>
    <x v="4"/>
    <x v="1"/>
    <x v="0"/>
    <x v="4"/>
    <x v="2"/>
    <x v="46"/>
    <x v="20"/>
  </r>
  <r>
    <x v="2"/>
    <x v="24"/>
    <x v="24"/>
    <x v="24"/>
    <x v="1"/>
    <x v="8"/>
    <x v="8"/>
    <x v="7"/>
    <x v="0"/>
    <x v="1"/>
    <x v="7"/>
    <x v="0"/>
    <x v="0"/>
    <x v="1"/>
    <x v="47"/>
    <x v="19"/>
  </r>
  <r>
    <x v="2"/>
    <x v="18"/>
    <x v="18"/>
    <x v="18"/>
    <x v="0"/>
    <x v="8"/>
    <x v="8"/>
    <x v="7"/>
    <x v="0"/>
    <x v="2"/>
    <x v="7"/>
    <x v="1"/>
    <x v="1"/>
    <x v="1"/>
    <x v="48"/>
    <x v="28"/>
  </r>
  <r>
    <x v="2"/>
    <x v="0"/>
    <x v="0"/>
    <x v="0"/>
    <x v="0"/>
    <x v="4"/>
    <x v="4"/>
    <x v="4"/>
    <x v="0"/>
    <x v="1"/>
    <x v="3"/>
    <x v="1"/>
    <x v="1"/>
    <x v="2"/>
    <x v="49"/>
    <x v="29"/>
  </r>
  <r>
    <x v="2"/>
    <x v="23"/>
    <x v="23"/>
    <x v="23"/>
    <x v="2"/>
    <x v="4"/>
    <x v="4"/>
    <x v="4"/>
    <x v="0"/>
    <x v="1"/>
    <x v="3"/>
    <x v="2"/>
    <x v="4"/>
    <x v="1"/>
    <x v="50"/>
    <x v="29"/>
  </r>
  <r>
    <x v="2"/>
    <x v="32"/>
    <x v="32"/>
    <x v="32"/>
    <x v="1"/>
    <x v="1"/>
    <x v="1"/>
    <x v="1"/>
    <x v="1"/>
    <x v="3"/>
    <x v="1"/>
    <x v="3"/>
    <x v="3"/>
    <x v="1"/>
    <x v="51"/>
    <x v="30"/>
  </r>
  <r>
    <x v="2"/>
    <x v="27"/>
    <x v="27"/>
    <x v="27"/>
    <x v="4"/>
    <x v="6"/>
    <x v="6"/>
    <x v="0"/>
    <x v="2"/>
    <x v="2"/>
    <x v="5"/>
    <x v="3"/>
    <x v="4"/>
    <x v="2"/>
    <x v="52"/>
    <x v="31"/>
  </r>
  <r>
    <x v="2"/>
    <x v="34"/>
    <x v="34"/>
    <x v="34"/>
    <x v="4"/>
    <x v="8"/>
    <x v="8"/>
    <x v="7"/>
    <x v="0"/>
    <x v="4"/>
    <x v="7"/>
    <x v="3"/>
    <x v="1"/>
    <x v="0"/>
    <x v="53"/>
    <x v="32"/>
  </r>
  <r>
    <x v="2"/>
    <x v="2"/>
    <x v="2"/>
    <x v="2"/>
    <x v="2"/>
    <x v="7"/>
    <x v="7"/>
    <x v="6"/>
    <x v="1"/>
    <x v="3"/>
    <x v="6"/>
    <x v="2"/>
    <x v="0"/>
    <x v="1"/>
    <x v="54"/>
    <x v="26"/>
  </r>
  <r>
    <x v="2"/>
    <x v="7"/>
    <x v="7"/>
    <x v="7"/>
    <x v="1"/>
    <x v="8"/>
    <x v="8"/>
    <x v="7"/>
    <x v="0"/>
    <x v="2"/>
    <x v="7"/>
    <x v="0"/>
    <x v="3"/>
    <x v="0"/>
    <x v="55"/>
    <x v="28"/>
  </r>
  <r>
    <x v="2"/>
    <x v="3"/>
    <x v="3"/>
    <x v="3"/>
    <x v="2"/>
    <x v="5"/>
    <x v="5"/>
    <x v="5"/>
    <x v="0"/>
    <x v="0"/>
    <x v="4"/>
    <x v="1"/>
    <x v="4"/>
    <x v="1"/>
    <x v="56"/>
    <x v="7"/>
  </r>
  <r>
    <x v="2"/>
    <x v="18"/>
    <x v="18"/>
    <x v="18"/>
    <x v="0"/>
    <x v="4"/>
    <x v="4"/>
    <x v="4"/>
    <x v="0"/>
    <x v="4"/>
    <x v="3"/>
    <x v="1"/>
    <x v="4"/>
    <x v="1"/>
    <x v="57"/>
    <x v="11"/>
  </r>
  <r>
    <x v="2"/>
    <x v="22"/>
    <x v="22"/>
    <x v="22"/>
    <x v="8"/>
    <x v="2"/>
    <x v="2"/>
    <x v="2"/>
    <x v="2"/>
    <x v="3"/>
    <x v="2"/>
    <x v="2"/>
    <x v="4"/>
    <x v="0"/>
    <x v="58"/>
    <x v="5"/>
  </r>
  <r>
    <x v="3"/>
    <x v="25"/>
    <x v="25"/>
    <x v="25"/>
    <x v="1"/>
    <x v="8"/>
    <x v="8"/>
    <x v="7"/>
    <x v="0"/>
    <x v="2"/>
    <x v="7"/>
    <x v="2"/>
    <x v="0"/>
    <x v="1"/>
    <x v="59"/>
    <x v="28"/>
  </r>
  <r>
    <x v="3"/>
    <x v="6"/>
    <x v="6"/>
    <x v="6"/>
    <x v="3"/>
    <x v="8"/>
    <x v="8"/>
    <x v="7"/>
    <x v="0"/>
    <x v="3"/>
    <x v="7"/>
    <x v="2"/>
    <x v="3"/>
    <x v="2"/>
    <x v="60"/>
    <x v="27"/>
  </r>
  <r>
    <x v="3"/>
    <x v="9"/>
    <x v="9"/>
    <x v="9"/>
    <x v="4"/>
    <x v="8"/>
    <x v="8"/>
    <x v="7"/>
    <x v="0"/>
    <x v="3"/>
    <x v="7"/>
    <x v="0"/>
    <x v="1"/>
    <x v="2"/>
    <x v="61"/>
    <x v="27"/>
  </r>
  <r>
    <x v="3"/>
    <x v="35"/>
    <x v="35"/>
    <x v="35"/>
    <x v="2"/>
    <x v="7"/>
    <x v="7"/>
    <x v="6"/>
    <x v="1"/>
    <x v="1"/>
    <x v="6"/>
    <x v="3"/>
    <x v="0"/>
    <x v="0"/>
    <x v="62"/>
    <x v="33"/>
  </r>
  <r>
    <x v="3"/>
    <x v="36"/>
    <x v="36"/>
    <x v="36"/>
    <x v="4"/>
    <x v="2"/>
    <x v="2"/>
    <x v="2"/>
    <x v="2"/>
    <x v="3"/>
    <x v="2"/>
    <x v="2"/>
    <x v="2"/>
    <x v="0"/>
    <x v="63"/>
    <x v="5"/>
  </r>
  <r>
    <x v="3"/>
    <x v="4"/>
    <x v="4"/>
    <x v="4"/>
    <x v="3"/>
    <x v="5"/>
    <x v="5"/>
    <x v="5"/>
    <x v="0"/>
    <x v="2"/>
    <x v="4"/>
    <x v="2"/>
    <x v="4"/>
    <x v="1"/>
    <x v="64"/>
    <x v="10"/>
  </r>
  <r>
    <x v="3"/>
    <x v="17"/>
    <x v="17"/>
    <x v="17"/>
    <x v="1"/>
    <x v="8"/>
    <x v="8"/>
    <x v="7"/>
    <x v="0"/>
    <x v="1"/>
    <x v="7"/>
    <x v="3"/>
    <x v="2"/>
    <x v="1"/>
    <x v="65"/>
    <x v="19"/>
  </r>
  <r>
    <x v="3"/>
    <x v="34"/>
    <x v="34"/>
    <x v="34"/>
    <x v="4"/>
    <x v="1"/>
    <x v="1"/>
    <x v="1"/>
    <x v="1"/>
    <x v="4"/>
    <x v="1"/>
    <x v="0"/>
    <x v="1"/>
    <x v="2"/>
    <x v="66"/>
    <x v="20"/>
  </r>
  <r>
    <x v="3"/>
    <x v="1"/>
    <x v="1"/>
    <x v="1"/>
    <x v="1"/>
    <x v="3"/>
    <x v="3"/>
    <x v="3"/>
    <x v="0"/>
    <x v="3"/>
    <x v="2"/>
    <x v="0"/>
    <x v="0"/>
    <x v="2"/>
    <x v="67"/>
    <x v="5"/>
  </r>
  <r>
    <x v="3"/>
    <x v="37"/>
    <x v="37"/>
    <x v="37"/>
    <x v="1"/>
    <x v="6"/>
    <x v="6"/>
    <x v="0"/>
    <x v="2"/>
    <x v="3"/>
    <x v="5"/>
    <x v="1"/>
    <x v="2"/>
    <x v="1"/>
    <x v="68"/>
    <x v="34"/>
  </r>
  <r>
    <x v="3"/>
    <x v="37"/>
    <x v="37"/>
    <x v="37"/>
    <x v="1"/>
    <x v="9"/>
    <x v="9"/>
    <x v="8"/>
    <x v="2"/>
    <x v="2"/>
    <x v="8"/>
    <x v="0"/>
    <x v="2"/>
    <x v="0"/>
    <x v="69"/>
    <x v="35"/>
  </r>
  <r>
    <x v="3"/>
    <x v="38"/>
    <x v="38"/>
    <x v="38"/>
    <x v="4"/>
    <x v="1"/>
    <x v="1"/>
    <x v="1"/>
    <x v="1"/>
    <x v="0"/>
    <x v="1"/>
    <x v="1"/>
    <x v="3"/>
    <x v="0"/>
    <x v="70"/>
    <x v="1"/>
  </r>
  <r>
    <x v="3"/>
    <x v="10"/>
    <x v="10"/>
    <x v="10"/>
    <x v="1"/>
    <x v="2"/>
    <x v="2"/>
    <x v="2"/>
    <x v="2"/>
    <x v="0"/>
    <x v="2"/>
    <x v="0"/>
    <x v="0"/>
    <x v="1"/>
    <x v="71"/>
    <x v="6"/>
  </r>
  <r>
    <x v="3"/>
    <x v="8"/>
    <x v="8"/>
    <x v="8"/>
    <x v="0"/>
    <x v="9"/>
    <x v="9"/>
    <x v="8"/>
    <x v="2"/>
    <x v="0"/>
    <x v="8"/>
    <x v="0"/>
    <x v="2"/>
    <x v="1"/>
    <x v="72"/>
    <x v="24"/>
  </r>
  <r>
    <x v="3"/>
    <x v="30"/>
    <x v="30"/>
    <x v="30"/>
    <x v="2"/>
    <x v="4"/>
    <x v="4"/>
    <x v="4"/>
    <x v="0"/>
    <x v="3"/>
    <x v="3"/>
    <x v="0"/>
    <x v="0"/>
    <x v="2"/>
    <x v="73"/>
    <x v="8"/>
  </r>
  <r>
    <x v="3"/>
    <x v="1"/>
    <x v="1"/>
    <x v="1"/>
    <x v="1"/>
    <x v="4"/>
    <x v="4"/>
    <x v="4"/>
    <x v="0"/>
    <x v="1"/>
    <x v="3"/>
    <x v="3"/>
    <x v="1"/>
    <x v="2"/>
    <x v="74"/>
    <x v="29"/>
  </r>
  <r>
    <x v="3"/>
    <x v="35"/>
    <x v="35"/>
    <x v="35"/>
    <x v="2"/>
    <x v="1"/>
    <x v="1"/>
    <x v="1"/>
    <x v="1"/>
    <x v="2"/>
    <x v="1"/>
    <x v="0"/>
    <x v="2"/>
    <x v="2"/>
    <x v="75"/>
    <x v="3"/>
  </r>
  <r>
    <x v="3"/>
    <x v="38"/>
    <x v="38"/>
    <x v="38"/>
    <x v="4"/>
    <x v="0"/>
    <x v="0"/>
    <x v="0"/>
    <x v="0"/>
    <x v="4"/>
    <x v="0"/>
    <x v="3"/>
    <x v="0"/>
    <x v="2"/>
    <x v="76"/>
    <x v="14"/>
  </r>
  <r>
    <x v="3"/>
    <x v="17"/>
    <x v="17"/>
    <x v="17"/>
    <x v="1"/>
    <x v="0"/>
    <x v="0"/>
    <x v="0"/>
    <x v="0"/>
    <x v="2"/>
    <x v="0"/>
    <x v="0"/>
    <x v="2"/>
    <x v="1"/>
    <x v="77"/>
    <x v="36"/>
  </r>
  <r>
    <x v="3"/>
    <x v="29"/>
    <x v="29"/>
    <x v="29"/>
    <x v="8"/>
    <x v="6"/>
    <x v="6"/>
    <x v="0"/>
    <x v="2"/>
    <x v="3"/>
    <x v="5"/>
    <x v="0"/>
    <x v="1"/>
    <x v="0"/>
    <x v="78"/>
    <x v="34"/>
  </r>
  <r>
    <x v="3"/>
    <x v="14"/>
    <x v="14"/>
    <x v="14"/>
    <x v="7"/>
    <x v="8"/>
    <x v="8"/>
    <x v="7"/>
    <x v="0"/>
    <x v="2"/>
    <x v="7"/>
    <x v="2"/>
    <x v="1"/>
    <x v="0"/>
    <x v="79"/>
    <x v="28"/>
  </r>
  <r>
    <x v="3"/>
    <x v="29"/>
    <x v="29"/>
    <x v="29"/>
    <x v="8"/>
    <x v="6"/>
    <x v="6"/>
    <x v="0"/>
    <x v="2"/>
    <x v="0"/>
    <x v="5"/>
    <x v="0"/>
    <x v="0"/>
    <x v="0"/>
    <x v="80"/>
    <x v="23"/>
  </r>
  <r>
    <x v="3"/>
    <x v="14"/>
    <x v="14"/>
    <x v="14"/>
    <x v="7"/>
    <x v="5"/>
    <x v="5"/>
    <x v="5"/>
    <x v="0"/>
    <x v="2"/>
    <x v="4"/>
    <x v="1"/>
    <x v="2"/>
    <x v="1"/>
    <x v="81"/>
    <x v="10"/>
  </r>
  <r>
    <x v="3"/>
    <x v="22"/>
    <x v="22"/>
    <x v="22"/>
    <x v="8"/>
    <x v="4"/>
    <x v="4"/>
    <x v="4"/>
    <x v="0"/>
    <x v="4"/>
    <x v="3"/>
    <x v="3"/>
    <x v="1"/>
    <x v="2"/>
    <x v="82"/>
    <x v="11"/>
  </r>
  <r>
    <x v="4"/>
    <x v="39"/>
    <x v="39"/>
    <x v="39"/>
    <x v="4"/>
    <x v="2"/>
    <x v="2"/>
    <x v="2"/>
    <x v="2"/>
    <x v="2"/>
    <x v="2"/>
    <x v="1"/>
    <x v="3"/>
    <x v="0"/>
    <x v="83"/>
    <x v="22"/>
  </r>
  <r>
    <x v="4"/>
    <x v="19"/>
    <x v="19"/>
    <x v="19"/>
    <x v="1"/>
    <x v="2"/>
    <x v="2"/>
    <x v="2"/>
    <x v="2"/>
    <x v="2"/>
    <x v="2"/>
    <x v="3"/>
    <x v="4"/>
    <x v="2"/>
    <x v="84"/>
    <x v="22"/>
  </r>
  <r>
    <x v="4"/>
    <x v="15"/>
    <x v="15"/>
    <x v="15"/>
    <x v="4"/>
    <x v="8"/>
    <x v="8"/>
    <x v="7"/>
    <x v="0"/>
    <x v="3"/>
    <x v="7"/>
    <x v="1"/>
    <x v="2"/>
    <x v="2"/>
    <x v="85"/>
    <x v="27"/>
  </r>
  <r>
    <x v="4"/>
    <x v="14"/>
    <x v="14"/>
    <x v="14"/>
    <x v="7"/>
    <x v="6"/>
    <x v="6"/>
    <x v="0"/>
    <x v="2"/>
    <x v="1"/>
    <x v="5"/>
    <x v="1"/>
    <x v="2"/>
    <x v="0"/>
    <x v="86"/>
    <x v="17"/>
  </r>
  <r>
    <x v="4"/>
    <x v="35"/>
    <x v="35"/>
    <x v="35"/>
    <x v="2"/>
    <x v="3"/>
    <x v="3"/>
    <x v="3"/>
    <x v="0"/>
    <x v="4"/>
    <x v="2"/>
    <x v="3"/>
    <x v="1"/>
    <x v="1"/>
    <x v="87"/>
    <x v="9"/>
  </r>
  <r>
    <x v="4"/>
    <x v="36"/>
    <x v="36"/>
    <x v="36"/>
    <x v="4"/>
    <x v="0"/>
    <x v="0"/>
    <x v="0"/>
    <x v="0"/>
    <x v="1"/>
    <x v="0"/>
    <x v="2"/>
    <x v="4"/>
    <x v="1"/>
    <x v="88"/>
    <x v="16"/>
  </r>
  <r>
    <x v="4"/>
    <x v="8"/>
    <x v="8"/>
    <x v="8"/>
    <x v="0"/>
    <x v="0"/>
    <x v="0"/>
    <x v="0"/>
    <x v="0"/>
    <x v="0"/>
    <x v="0"/>
    <x v="2"/>
    <x v="2"/>
    <x v="1"/>
    <x v="89"/>
    <x v="0"/>
  </r>
  <r>
    <x v="4"/>
    <x v="3"/>
    <x v="3"/>
    <x v="3"/>
    <x v="2"/>
    <x v="9"/>
    <x v="9"/>
    <x v="8"/>
    <x v="2"/>
    <x v="4"/>
    <x v="8"/>
    <x v="0"/>
    <x v="2"/>
    <x v="2"/>
    <x v="90"/>
    <x v="37"/>
  </r>
  <r>
    <x v="4"/>
    <x v="32"/>
    <x v="32"/>
    <x v="32"/>
    <x v="1"/>
    <x v="9"/>
    <x v="9"/>
    <x v="8"/>
    <x v="2"/>
    <x v="1"/>
    <x v="8"/>
    <x v="0"/>
    <x v="2"/>
    <x v="1"/>
    <x v="91"/>
    <x v="21"/>
  </r>
  <r>
    <x v="4"/>
    <x v="14"/>
    <x v="14"/>
    <x v="14"/>
    <x v="7"/>
    <x v="8"/>
    <x v="8"/>
    <x v="7"/>
    <x v="0"/>
    <x v="2"/>
    <x v="7"/>
    <x v="0"/>
    <x v="4"/>
    <x v="1"/>
    <x v="92"/>
    <x v="28"/>
  </r>
  <r>
    <x v="4"/>
    <x v="38"/>
    <x v="38"/>
    <x v="38"/>
    <x v="4"/>
    <x v="4"/>
    <x v="4"/>
    <x v="4"/>
    <x v="0"/>
    <x v="1"/>
    <x v="3"/>
    <x v="3"/>
    <x v="4"/>
    <x v="0"/>
    <x v="93"/>
    <x v="29"/>
  </r>
  <r>
    <x v="4"/>
    <x v="20"/>
    <x v="20"/>
    <x v="20"/>
    <x v="2"/>
    <x v="3"/>
    <x v="3"/>
    <x v="3"/>
    <x v="0"/>
    <x v="0"/>
    <x v="2"/>
    <x v="2"/>
    <x v="4"/>
    <x v="0"/>
    <x v="94"/>
    <x v="6"/>
  </r>
  <r>
    <x v="4"/>
    <x v="19"/>
    <x v="19"/>
    <x v="19"/>
    <x v="1"/>
    <x v="2"/>
    <x v="2"/>
    <x v="2"/>
    <x v="2"/>
    <x v="1"/>
    <x v="2"/>
    <x v="1"/>
    <x v="0"/>
    <x v="0"/>
    <x v="95"/>
    <x v="2"/>
  </r>
  <r>
    <x v="4"/>
    <x v="40"/>
    <x v="40"/>
    <x v="40"/>
    <x v="0"/>
    <x v="7"/>
    <x v="7"/>
    <x v="6"/>
    <x v="1"/>
    <x v="0"/>
    <x v="6"/>
    <x v="0"/>
    <x v="0"/>
    <x v="1"/>
    <x v="96"/>
    <x v="18"/>
  </r>
  <r>
    <x v="4"/>
    <x v="28"/>
    <x v="28"/>
    <x v="28"/>
    <x v="4"/>
    <x v="0"/>
    <x v="0"/>
    <x v="0"/>
    <x v="0"/>
    <x v="2"/>
    <x v="0"/>
    <x v="0"/>
    <x v="1"/>
    <x v="2"/>
    <x v="97"/>
    <x v="36"/>
  </r>
  <r>
    <x v="4"/>
    <x v="38"/>
    <x v="38"/>
    <x v="38"/>
    <x v="4"/>
    <x v="5"/>
    <x v="5"/>
    <x v="5"/>
    <x v="0"/>
    <x v="3"/>
    <x v="4"/>
    <x v="0"/>
    <x v="0"/>
    <x v="1"/>
    <x v="98"/>
    <x v="38"/>
  </r>
  <r>
    <x v="4"/>
    <x v="41"/>
    <x v="41"/>
    <x v="41"/>
    <x v="6"/>
    <x v="3"/>
    <x v="3"/>
    <x v="3"/>
    <x v="0"/>
    <x v="0"/>
    <x v="2"/>
    <x v="0"/>
    <x v="3"/>
    <x v="1"/>
    <x v="99"/>
    <x v="6"/>
  </r>
  <r>
    <x v="4"/>
    <x v="42"/>
    <x v="42"/>
    <x v="42"/>
    <x v="1"/>
    <x v="5"/>
    <x v="5"/>
    <x v="5"/>
    <x v="0"/>
    <x v="2"/>
    <x v="4"/>
    <x v="1"/>
    <x v="2"/>
    <x v="1"/>
    <x v="63"/>
    <x v="10"/>
  </r>
  <r>
    <x v="5"/>
    <x v="41"/>
    <x v="41"/>
    <x v="41"/>
    <x v="6"/>
    <x v="0"/>
    <x v="0"/>
    <x v="0"/>
    <x v="0"/>
    <x v="3"/>
    <x v="0"/>
    <x v="1"/>
    <x v="3"/>
    <x v="1"/>
    <x v="100"/>
    <x v="39"/>
  </r>
  <r>
    <x v="5"/>
    <x v="0"/>
    <x v="0"/>
    <x v="0"/>
    <x v="0"/>
    <x v="0"/>
    <x v="0"/>
    <x v="0"/>
    <x v="0"/>
    <x v="3"/>
    <x v="0"/>
    <x v="3"/>
    <x v="2"/>
    <x v="1"/>
    <x v="101"/>
    <x v="39"/>
  </r>
  <r>
    <x v="5"/>
    <x v="40"/>
    <x v="40"/>
    <x v="40"/>
    <x v="0"/>
    <x v="5"/>
    <x v="5"/>
    <x v="5"/>
    <x v="0"/>
    <x v="2"/>
    <x v="4"/>
    <x v="3"/>
    <x v="0"/>
    <x v="1"/>
    <x v="102"/>
    <x v="10"/>
  </r>
  <r>
    <x v="5"/>
    <x v="26"/>
    <x v="26"/>
    <x v="26"/>
    <x v="2"/>
    <x v="1"/>
    <x v="1"/>
    <x v="1"/>
    <x v="1"/>
    <x v="0"/>
    <x v="1"/>
    <x v="1"/>
    <x v="0"/>
    <x v="1"/>
    <x v="103"/>
    <x v="1"/>
  </r>
  <r>
    <x v="5"/>
    <x v="25"/>
    <x v="25"/>
    <x v="25"/>
    <x v="1"/>
    <x v="1"/>
    <x v="1"/>
    <x v="1"/>
    <x v="1"/>
    <x v="0"/>
    <x v="1"/>
    <x v="2"/>
    <x v="4"/>
    <x v="2"/>
    <x v="104"/>
    <x v="1"/>
  </r>
  <r>
    <x v="5"/>
    <x v="27"/>
    <x v="27"/>
    <x v="27"/>
    <x v="4"/>
    <x v="7"/>
    <x v="7"/>
    <x v="6"/>
    <x v="1"/>
    <x v="4"/>
    <x v="6"/>
    <x v="0"/>
    <x v="2"/>
    <x v="0"/>
    <x v="105"/>
    <x v="40"/>
  </r>
  <r>
    <x v="5"/>
    <x v="6"/>
    <x v="6"/>
    <x v="6"/>
    <x v="3"/>
    <x v="7"/>
    <x v="7"/>
    <x v="6"/>
    <x v="1"/>
    <x v="3"/>
    <x v="6"/>
    <x v="0"/>
    <x v="3"/>
    <x v="0"/>
    <x v="106"/>
    <x v="26"/>
  </r>
  <r>
    <x v="5"/>
    <x v="5"/>
    <x v="5"/>
    <x v="5"/>
    <x v="2"/>
    <x v="6"/>
    <x v="6"/>
    <x v="0"/>
    <x v="2"/>
    <x v="0"/>
    <x v="5"/>
    <x v="1"/>
    <x v="0"/>
    <x v="1"/>
    <x v="107"/>
    <x v="23"/>
  </r>
  <r>
    <x v="5"/>
    <x v="3"/>
    <x v="3"/>
    <x v="3"/>
    <x v="2"/>
    <x v="8"/>
    <x v="8"/>
    <x v="7"/>
    <x v="0"/>
    <x v="2"/>
    <x v="7"/>
    <x v="1"/>
    <x v="1"/>
    <x v="1"/>
    <x v="108"/>
    <x v="28"/>
  </r>
  <r>
    <x v="5"/>
    <x v="43"/>
    <x v="43"/>
    <x v="43"/>
    <x v="6"/>
    <x v="3"/>
    <x v="3"/>
    <x v="3"/>
    <x v="0"/>
    <x v="4"/>
    <x v="2"/>
    <x v="0"/>
    <x v="2"/>
    <x v="0"/>
    <x v="67"/>
    <x v="9"/>
  </r>
  <r>
    <x v="5"/>
    <x v="8"/>
    <x v="8"/>
    <x v="8"/>
    <x v="0"/>
    <x v="0"/>
    <x v="0"/>
    <x v="0"/>
    <x v="0"/>
    <x v="2"/>
    <x v="0"/>
    <x v="2"/>
    <x v="1"/>
    <x v="0"/>
    <x v="57"/>
    <x v="36"/>
  </r>
  <r>
    <x v="5"/>
    <x v="31"/>
    <x v="31"/>
    <x v="31"/>
    <x v="1"/>
    <x v="9"/>
    <x v="9"/>
    <x v="8"/>
    <x v="2"/>
    <x v="4"/>
    <x v="8"/>
    <x v="3"/>
    <x v="4"/>
    <x v="0"/>
    <x v="90"/>
    <x v="37"/>
  </r>
  <r>
    <x v="5"/>
    <x v="29"/>
    <x v="29"/>
    <x v="29"/>
    <x v="8"/>
    <x v="8"/>
    <x v="8"/>
    <x v="7"/>
    <x v="0"/>
    <x v="1"/>
    <x v="7"/>
    <x v="1"/>
    <x v="4"/>
    <x v="1"/>
    <x v="109"/>
    <x v="19"/>
  </r>
  <r>
    <x v="5"/>
    <x v="44"/>
    <x v="44"/>
    <x v="44"/>
    <x v="6"/>
    <x v="3"/>
    <x v="3"/>
    <x v="3"/>
    <x v="0"/>
    <x v="3"/>
    <x v="2"/>
    <x v="2"/>
    <x v="4"/>
    <x v="2"/>
    <x v="110"/>
    <x v="5"/>
  </r>
  <r>
    <x v="5"/>
    <x v="10"/>
    <x v="10"/>
    <x v="10"/>
    <x v="1"/>
    <x v="5"/>
    <x v="5"/>
    <x v="5"/>
    <x v="0"/>
    <x v="4"/>
    <x v="4"/>
    <x v="2"/>
    <x v="1"/>
    <x v="0"/>
    <x v="111"/>
    <x v="13"/>
  </r>
  <r>
    <x v="5"/>
    <x v="42"/>
    <x v="42"/>
    <x v="42"/>
    <x v="1"/>
    <x v="4"/>
    <x v="4"/>
    <x v="4"/>
    <x v="0"/>
    <x v="0"/>
    <x v="3"/>
    <x v="1"/>
    <x v="2"/>
    <x v="2"/>
    <x v="112"/>
    <x v="4"/>
  </r>
  <r>
    <x v="5"/>
    <x v="21"/>
    <x v="21"/>
    <x v="21"/>
    <x v="4"/>
    <x v="2"/>
    <x v="2"/>
    <x v="2"/>
    <x v="2"/>
    <x v="0"/>
    <x v="2"/>
    <x v="2"/>
    <x v="4"/>
    <x v="0"/>
    <x v="113"/>
    <x v="6"/>
  </r>
  <r>
    <x v="5"/>
    <x v="18"/>
    <x v="18"/>
    <x v="18"/>
    <x v="0"/>
    <x v="6"/>
    <x v="6"/>
    <x v="0"/>
    <x v="2"/>
    <x v="2"/>
    <x v="5"/>
    <x v="3"/>
    <x v="0"/>
    <x v="0"/>
    <x v="114"/>
    <x v="31"/>
  </r>
  <r>
    <x v="5"/>
    <x v="45"/>
    <x v="45"/>
    <x v="45"/>
    <x v="6"/>
    <x v="9"/>
    <x v="9"/>
    <x v="8"/>
    <x v="2"/>
    <x v="3"/>
    <x v="8"/>
    <x v="3"/>
    <x v="4"/>
    <x v="2"/>
    <x v="115"/>
    <x v="41"/>
  </r>
  <r>
    <x v="6"/>
    <x v="4"/>
    <x v="4"/>
    <x v="4"/>
    <x v="3"/>
    <x v="6"/>
    <x v="6"/>
    <x v="0"/>
    <x v="2"/>
    <x v="4"/>
    <x v="5"/>
    <x v="0"/>
    <x v="0"/>
    <x v="1"/>
    <x v="116"/>
    <x v="15"/>
  </r>
  <r>
    <x v="6"/>
    <x v="15"/>
    <x v="15"/>
    <x v="15"/>
    <x v="4"/>
    <x v="1"/>
    <x v="1"/>
    <x v="1"/>
    <x v="1"/>
    <x v="2"/>
    <x v="1"/>
    <x v="1"/>
    <x v="0"/>
    <x v="0"/>
    <x v="47"/>
    <x v="3"/>
  </r>
  <r>
    <x v="6"/>
    <x v="42"/>
    <x v="42"/>
    <x v="42"/>
    <x v="1"/>
    <x v="3"/>
    <x v="3"/>
    <x v="3"/>
    <x v="0"/>
    <x v="4"/>
    <x v="2"/>
    <x v="1"/>
    <x v="2"/>
    <x v="1"/>
    <x v="117"/>
    <x v="9"/>
  </r>
  <r>
    <x v="6"/>
    <x v="39"/>
    <x v="39"/>
    <x v="39"/>
    <x v="4"/>
    <x v="5"/>
    <x v="5"/>
    <x v="5"/>
    <x v="0"/>
    <x v="2"/>
    <x v="4"/>
    <x v="3"/>
    <x v="4"/>
    <x v="1"/>
    <x v="118"/>
    <x v="10"/>
  </r>
  <r>
    <x v="6"/>
    <x v="41"/>
    <x v="41"/>
    <x v="41"/>
    <x v="6"/>
    <x v="2"/>
    <x v="2"/>
    <x v="2"/>
    <x v="2"/>
    <x v="0"/>
    <x v="2"/>
    <x v="1"/>
    <x v="1"/>
    <x v="2"/>
    <x v="119"/>
    <x v="6"/>
  </r>
  <r>
    <x v="6"/>
    <x v="29"/>
    <x v="29"/>
    <x v="29"/>
    <x v="8"/>
    <x v="6"/>
    <x v="6"/>
    <x v="0"/>
    <x v="2"/>
    <x v="0"/>
    <x v="5"/>
    <x v="1"/>
    <x v="0"/>
    <x v="2"/>
    <x v="120"/>
    <x v="23"/>
  </r>
  <r>
    <x v="6"/>
    <x v="13"/>
    <x v="13"/>
    <x v="13"/>
    <x v="6"/>
    <x v="4"/>
    <x v="4"/>
    <x v="4"/>
    <x v="0"/>
    <x v="0"/>
    <x v="3"/>
    <x v="2"/>
    <x v="3"/>
    <x v="0"/>
    <x v="121"/>
    <x v="4"/>
  </r>
  <r>
    <x v="6"/>
    <x v="17"/>
    <x v="17"/>
    <x v="17"/>
    <x v="1"/>
    <x v="5"/>
    <x v="5"/>
    <x v="5"/>
    <x v="0"/>
    <x v="1"/>
    <x v="4"/>
    <x v="0"/>
    <x v="4"/>
    <x v="2"/>
    <x v="122"/>
    <x v="12"/>
  </r>
  <r>
    <x v="6"/>
    <x v="34"/>
    <x v="34"/>
    <x v="34"/>
    <x v="4"/>
    <x v="5"/>
    <x v="5"/>
    <x v="5"/>
    <x v="0"/>
    <x v="4"/>
    <x v="4"/>
    <x v="1"/>
    <x v="0"/>
    <x v="0"/>
    <x v="123"/>
    <x v="13"/>
  </r>
  <r>
    <x v="6"/>
    <x v="30"/>
    <x v="30"/>
    <x v="30"/>
    <x v="2"/>
    <x v="4"/>
    <x v="4"/>
    <x v="4"/>
    <x v="0"/>
    <x v="3"/>
    <x v="3"/>
    <x v="1"/>
    <x v="4"/>
    <x v="2"/>
    <x v="124"/>
    <x v="8"/>
  </r>
  <r>
    <x v="6"/>
    <x v="40"/>
    <x v="40"/>
    <x v="40"/>
    <x v="0"/>
    <x v="3"/>
    <x v="3"/>
    <x v="3"/>
    <x v="0"/>
    <x v="2"/>
    <x v="2"/>
    <x v="1"/>
    <x v="3"/>
    <x v="0"/>
    <x v="125"/>
    <x v="22"/>
  </r>
  <r>
    <x v="6"/>
    <x v="40"/>
    <x v="40"/>
    <x v="40"/>
    <x v="0"/>
    <x v="8"/>
    <x v="8"/>
    <x v="7"/>
    <x v="0"/>
    <x v="0"/>
    <x v="7"/>
    <x v="2"/>
    <x v="0"/>
    <x v="0"/>
    <x v="126"/>
    <x v="25"/>
  </r>
  <r>
    <x v="6"/>
    <x v="3"/>
    <x v="3"/>
    <x v="3"/>
    <x v="2"/>
    <x v="3"/>
    <x v="3"/>
    <x v="3"/>
    <x v="0"/>
    <x v="2"/>
    <x v="2"/>
    <x v="2"/>
    <x v="0"/>
    <x v="0"/>
    <x v="127"/>
    <x v="22"/>
  </r>
  <r>
    <x v="6"/>
    <x v="31"/>
    <x v="31"/>
    <x v="31"/>
    <x v="1"/>
    <x v="5"/>
    <x v="5"/>
    <x v="5"/>
    <x v="0"/>
    <x v="2"/>
    <x v="4"/>
    <x v="0"/>
    <x v="0"/>
    <x v="0"/>
    <x v="128"/>
    <x v="10"/>
  </r>
  <r>
    <x v="6"/>
    <x v="32"/>
    <x v="32"/>
    <x v="32"/>
    <x v="1"/>
    <x v="5"/>
    <x v="5"/>
    <x v="5"/>
    <x v="0"/>
    <x v="1"/>
    <x v="4"/>
    <x v="0"/>
    <x v="2"/>
    <x v="1"/>
    <x v="129"/>
    <x v="12"/>
  </r>
  <r>
    <x v="6"/>
    <x v="34"/>
    <x v="34"/>
    <x v="34"/>
    <x v="4"/>
    <x v="8"/>
    <x v="8"/>
    <x v="7"/>
    <x v="0"/>
    <x v="0"/>
    <x v="7"/>
    <x v="1"/>
    <x v="2"/>
    <x v="2"/>
    <x v="130"/>
    <x v="25"/>
  </r>
  <r>
    <x v="7"/>
    <x v="0"/>
    <x v="0"/>
    <x v="0"/>
    <x v="0"/>
    <x v="0"/>
    <x v="0"/>
    <x v="0"/>
    <x v="0"/>
    <x v="1"/>
    <x v="0"/>
    <x v="1"/>
    <x v="1"/>
    <x v="2"/>
    <x v="131"/>
    <x v="16"/>
  </r>
  <r>
    <x v="7"/>
    <x v="8"/>
    <x v="8"/>
    <x v="8"/>
    <x v="0"/>
    <x v="6"/>
    <x v="6"/>
    <x v="0"/>
    <x v="2"/>
    <x v="0"/>
    <x v="5"/>
    <x v="1"/>
    <x v="1"/>
    <x v="2"/>
    <x v="132"/>
    <x v="23"/>
  </r>
  <r>
    <x v="7"/>
    <x v="18"/>
    <x v="18"/>
    <x v="18"/>
    <x v="0"/>
    <x v="8"/>
    <x v="8"/>
    <x v="7"/>
    <x v="0"/>
    <x v="0"/>
    <x v="7"/>
    <x v="1"/>
    <x v="2"/>
    <x v="1"/>
    <x v="133"/>
    <x v="25"/>
  </r>
  <r>
    <x v="7"/>
    <x v="15"/>
    <x v="15"/>
    <x v="15"/>
    <x v="4"/>
    <x v="2"/>
    <x v="2"/>
    <x v="2"/>
    <x v="2"/>
    <x v="2"/>
    <x v="2"/>
    <x v="1"/>
    <x v="3"/>
    <x v="1"/>
    <x v="134"/>
    <x v="22"/>
  </r>
  <r>
    <x v="7"/>
    <x v="36"/>
    <x v="36"/>
    <x v="36"/>
    <x v="4"/>
    <x v="0"/>
    <x v="0"/>
    <x v="0"/>
    <x v="0"/>
    <x v="3"/>
    <x v="0"/>
    <x v="1"/>
    <x v="2"/>
    <x v="1"/>
    <x v="135"/>
    <x v="39"/>
  </r>
  <r>
    <x v="7"/>
    <x v="10"/>
    <x v="10"/>
    <x v="10"/>
    <x v="1"/>
    <x v="3"/>
    <x v="3"/>
    <x v="3"/>
    <x v="0"/>
    <x v="0"/>
    <x v="2"/>
    <x v="0"/>
    <x v="2"/>
    <x v="0"/>
    <x v="136"/>
    <x v="6"/>
  </r>
  <r>
    <x v="7"/>
    <x v="0"/>
    <x v="0"/>
    <x v="0"/>
    <x v="0"/>
    <x v="1"/>
    <x v="1"/>
    <x v="1"/>
    <x v="1"/>
    <x v="1"/>
    <x v="1"/>
    <x v="2"/>
    <x v="3"/>
    <x v="1"/>
    <x v="137"/>
    <x v="42"/>
  </r>
  <r>
    <x v="7"/>
    <x v="18"/>
    <x v="18"/>
    <x v="18"/>
    <x v="0"/>
    <x v="0"/>
    <x v="0"/>
    <x v="0"/>
    <x v="0"/>
    <x v="4"/>
    <x v="0"/>
    <x v="1"/>
    <x v="3"/>
    <x v="2"/>
    <x v="138"/>
    <x v="14"/>
  </r>
  <r>
    <x v="7"/>
    <x v="31"/>
    <x v="31"/>
    <x v="31"/>
    <x v="1"/>
    <x v="2"/>
    <x v="2"/>
    <x v="2"/>
    <x v="2"/>
    <x v="1"/>
    <x v="2"/>
    <x v="2"/>
    <x v="0"/>
    <x v="0"/>
    <x v="139"/>
    <x v="2"/>
  </r>
  <r>
    <x v="7"/>
    <x v="13"/>
    <x v="13"/>
    <x v="13"/>
    <x v="6"/>
    <x v="1"/>
    <x v="1"/>
    <x v="1"/>
    <x v="1"/>
    <x v="0"/>
    <x v="1"/>
    <x v="3"/>
    <x v="1"/>
    <x v="2"/>
    <x v="140"/>
    <x v="1"/>
  </r>
  <r>
    <x v="7"/>
    <x v="42"/>
    <x v="42"/>
    <x v="42"/>
    <x v="1"/>
    <x v="2"/>
    <x v="2"/>
    <x v="2"/>
    <x v="2"/>
    <x v="1"/>
    <x v="2"/>
    <x v="0"/>
    <x v="2"/>
    <x v="0"/>
    <x v="141"/>
    <x v="2"/>
  </r>
  <r>
    <x v="7"/>
    <x v="14"/>
    <x v="14"/>
    <x v="14"/>
    <x v="7"/>
    <x v="5"/>
    <x v="5"/>
    <x v="5"/>
    <x v="0"/>
    <x v="2"/>
    <x v="4"/>
    <x v="2"/>
    <x v="3"/>
    <x v="2"/>
    <x v="142"/>
    <x v="10"/>
  </r>
  <r>
    <x v="7"/>
    <x v="23"/>
    <x v="23"/>
    <x v="23"/>
    <x v="2"/>
    <x v="9"/>
    <x v="9"/>
    <x v="8"/>
    <x v="2"/>
    <x v="4"/>
    <x v="8"/>
    <x v="3"/>
    <x v="0"/>
    <x v="1"/>
    <x v="143"/>
    <x v="37"/>
  </r>
  <r>
    <x v="7"/>
    <x v="37"/>
    <x v="37"/>
    <x v="37"/>
    <x v="1"/>
    <x v="1"/>
    <x v="1"/>
    <x v="1"/>
    <x v="1"/>
    <x v="3"/>
    <x v="1"/>
    <x v="3"/>
    <x v="3"/>
    <x v="2"/>
    <x v="144"/>
    <x v="30"/>
  </r>
  <r>
    <x v="7"/>
    <x v="31"/>
    <x v="31"/>
    <x v="31"/>
    <x v="1"/>
    <x v="5"/>
    <x v="5"/>
    <x v="5"/>
    <x v="0"/>
    <x v="0"/>
    <x v="4"/>
    <x v="2"/>
    <x v="3"/>
    <x v="2"/>
    <x v="145"/>
    <x v="7"/>
  </r>
  <r>
    <x v="7"/>
    <x v="46"/>
    <x v="46"/>
    <x v="46"/>
    <x v="4"/>
    <x v="0"/>
    <x v="0"/>
    <x v="0"/>
    <x v="0"/>
    <x v="1"/>
    <x v="0"/>
    <x v="1"/>
    <x v="2"/>
    <x v="0"/>
    <x v="146"/>
    <x v="16"/>
  </r>
  <r>
    <x v="7"/>
    <x v="21"/>
    <x v="21"/>
    <x v="21"/>
    <x v="4"/>
    <x v="2"/>
    <x v="2"/>
    <x v="2"/>
    <x v="2"/>
    <x v="2"/>
    <x v="2"/>
    <x v="0"/>
    <x v="1"/>
    <x v="2"/>
    <x v="147"/>
    <x v="22"/>
  </r>
  <r>
    <x v="8"/>
    <x v="2"/>
    <x v="2"/>
    <x v="2"/>
    <x v="2"/>
    <x v="6"/>
    <x v="6"/>
    <x v="0"/>
    <x v="2"/>
    <x v="0"/>
    <x v="5"/>
    <x v="0"/>
    <x v="1"/>
    <x v="1"/>
    <x v="138"/>
    <x v="23"/>
  </r>
  <r>
    <x v="8"/>
    <x v="6"/>
    <x v="6"/>
    <x v="6"/>
    <x v="3"/>
    <x v="0"/>
    <x v="0"/>
    <x v="0"/>
    <x v="0"/>
    <x v="1"/>
    <x v="0"/>
    <x v="0"/>
    <x v="0"/>
    <x v="1"/>
    <x v="148"/>
    <x v="16"/>
  </r>
  <r>
    <x v="8"/>
    <x v="1"/>
    <x v="1"/>
    <x v="1"/>
    <x v="1"/>
    <x v="3"/>
    <x v="3"/>
    <x v="3"/>
    <x v="0"/>
    <x v="2"/>
    <x v="2"/>
    <x v="0"/>
    <x v="1"/>
    <x v="1"/>
    <x v="149"/>
    <x v="22"/>
  </r>
  <r>
    <x v="8"/>
    <x v="14"/>
    <x v="14"/>
    <x v="14"/>
    <x v="7"/>
    <x v="5"/>
    <x v="5"/>
    <x v="5"/>
    <x v="0"/>
    <x v="1"/>
    <x v="4"/>
    <x v="3"/>
    <x v="3"/>
    <x v="2"/>
    <x v="150"/>
    <x v="12"/>
  </r>
  <r>
    <x v="8"/>
    <x v="44"/>
    <x v="44"/>
    <x v="44"/>
    <x v="6"/>
    <x v="0"/>
    <x v="0"/>
    <x v="0"/>
    <x v="0"/>
    <x v="4"/>
    <x v="0"/>
    <x v="2"/>
    <x v="4"/>
    <x v="1"/>
    <x v="151"/>
    <x v="14"/>
  </r>
  <r>
    <x v="8"/>
    <x v="5"/>
    <x v="5"/>
    <x v="5"/>
    <x v="2"/>
    <x v="5"/>
    <x v="5"/>
    <x v="5"/>
    <x v="0"/>
    <x v="4"/>
    <x v="4"/>
    <x v="1"/>
    <x v="2"/>
    <x v="1"/>
    <x v="152"/>
    <x v="13"/>
  </r>
  <r>
    <x v="8"/>
    <x v="20"/>
    <x v="20"/>
    <x v="20"/>
    <x v="2"/>
    <x v="0"/>
    <x v="0"/>
    <x v="0"/>
    <x v="0"/>
    <x v="2"/>
    <x v="0"/>
    <x v="1"/>
    <x v="0"/>
    <x v="1"/>
    <x v="153"/>
    <x v="36"/>
  </r>
  <r>
    <x v="8"/>
    <x v="47"/>
    <x v="47"/>
    <x v="1"/>
    <x v="9"/>
    <x v="1"/>
    <x v="1"/>
    <x v="1"/>
    <x v="1"/>
    <x v="0"/>
    <x v="1"/>
    <x v="0"/>
    <x v="0"/>
    <x v="1"/>
    <x v="154"/>
    <x v="1"/>
  </r>
  <r>
    <x v="8"/>
    <x v="27"/>
    <x v="27"/>
    <x v="27"/>
    <x v="4"/>
    <x v="7"/>
    <x v="7"/>
    <x v="6"/>
    <x v="1"/>
    <x v="4"/>
    <x v="6"/>
    <x v="3"/>
    <x v="4"/>
    <x v="2"/>
    <x v="155"/>
    <x v="40"/>
  </r>
  <r>
    <x v="8"/>
    <x v="22"/>
    <x v="22"/>
    <x v="22"/>
    <x v="8"/>
    <x v="7"/>
    <x v="7"/>
    <x v="6"/>
    <x v="1"/>
    <x v="0"/>
    <x v="6"/>
    <x v="3"/>
    <x v="4"/>
    <x v="2"/>
    <x v="96"/>
    <x v="18"/>
  </r>
  <r>
    <x v="8"/>
    <x v="10"/>
    <x v="10"/>
    <x v="10"/>
    <x v="1"/>
    <x v="4"/>
    <x v="4"/>
    <x v="4"/>
    <x v="0"/>
    <x v="2"/>
    <x v="3"/>
    <x v="0"/>
    <x v="2"/>
    <x v="0"/>
    <x v="156"/>
    <x v="43"/>
  </r>
  <r>
    <x v="8"/>
    <x v="35"/>
    <x v="35"/>
    <x v="35"/>
    <x v="2"/>
    <x v="2"/>
    <x v="2"/>
    <x v="2"/>
    <x v="2"/>
    <x v="3"/>
    <x v="2"/>
    <x v="3"/>
    <x v="4"/>
    <x v="2"/>
    <x v="157"/>
    <x v="5"/>
  </r>
  <r>
    <x v="8"/>
    <x v="26"/>
    <x v="26"/>
    <x v="26"/>
    <x v="2"/>
    <x v="6"/>
    <x v="6"/>
    <x v="0"/>
    <x v="2"/>
    <x v="2"/>
    <x v="5"/>
    <x v="0"/>
    <x v="4"/>
    <x v="1"/>
    <x v="158"/>
    <x v="31"/>
  </r>
  <r>
    <x v="8"/>
    <x v="25"/>
    <x v="25"/>
    <x v="25"/>
    <x v="1"/>
    <x v="1"/>
    <x v="1"/>
    <x v="1"/>
    <x v="1"/>
    <x v="2"/>
    <x v="1"/>
    <x v="0"/>
    <x v="3"/>
    <x v="0"/>
    <x v="159"/>
    <x v="3"/>
  </r>
  <r>
    <x v="8"/>
    <x v="35"/>
    <x v="35"/>
    <x v="35"/>
    <x v="2"/>
    <x v="8"/>
    <x v="8"/>
    <x v="7"/>
    <x v="0"/>
    <x v="3"/>
    <x v="7"/>
    <x v="3"/>
    <x v="0"/>
    <x v="2"/>
    <x v="160"/>
    <x v="27"/>
  </r>
  <r>
    <x v="8"/>
    <x v="29"/>
    <x v="29"/>
    <x v="29"/>
    <x v="8"/>
    <x v="4"/>
    <x v="4"/>
    <x v="4"/>
    <x v="0"/>
    <x v="1"/>
    <x v="3"/>
    <x v="3"/>
    <x v="4"/>
    <x v="2"/>
    <x v="161"/>
    <x v="29"/>
  </r>
  <r>
    <x v="8"/>
    <x v="4"/>
    <x v="4"/>
    <x v="4"/>
    <x v="3"/>
    <x v="2"/>
    <x v="2"/>
    <x v="2"/>
    <x v="2"/>
    <x v="2"/>
    <x v="2"/>
    <x v="0"/>
    <x v="1"/>
    <x v="0"/>
    <x v="162"/>
    <x v="22"/>
  </r>
  <r>
    <x v="8"/>
    <x v="21"/>
    <x v="21"/>
    <x v="21"/>
    <x v="4"/>
    <x v="3"/>
    <x v="3"/>
    <x v="3"/>
    <x v="0"/>
    <x v="2"/>
    <x v="2"/>
    <x v="3"/>
    <x v="3"/>
    <x v="1"/>
    <x v="163"/>
    <x v="22"/>
  </r>
  <r>
    <x v="8"/>
    <x v="35"/>
    <x v="35"/>
    <x v="35"/>
    <x v="2"/>
    <x v="2"/>
    <x v="2"/>
    <x v="2"/>
    <x v="2"/>
    <x v="0"/>
    <x v="2"/>
    <x v="3"/>
    <x v="2"/>
    <x v="2"/>
    <x v="164"/>
    <x v="6"/>
  </r>
  <r>
    <x v="8"/>
    <x v="2"/>
    <x v="2"/>
    <x v="2"/>
    <x v="2"/>
    <x v="6"/>
    <x v="6"/>
    <x v="0"/>
    <x v="2"/>
    <x v="2"/>
    <x v="5"/>
    <x v="2"/>
    <x v="1"/>
    <x v="0"/>
    <x v="165"/>
    <x v="31"/>
  </r>
  <r>
    <x v="8"/>
    <x v="4"/>
    <x v="4"/>
    <x v="4"/>
    <x v="3"/>
    <x v="6"/>
    <x v="6"/>
    <x v="0"/>
    <x v="2"/>
    <x v="2"/>
    <x v="5"/>
    <x v="0"/>
    <x v="3"/>
    <x v="0"/>
    <x v="166"/>
    <x v="31"/>
  </r>
  <r>
    <x v="8"/>
    <x v="22"/>
    <x v="22"/>
    <x v="22"/>
    <x v="8"/>
    <x v="9"/>
    <x v="9"/>
    <x v="8"/>
    <x v="2"/>
    <x v="4"/>
    <x v="8"/>
    <x v="1"/>
    <x v="0"/>
    <x v="0"/>
    <x v="82"/>
    <x v="37"/>
  </r>
  <r>
    <x v="8"/>
    <x v="7"/>
    <x v="7"/>
    <x v="7"/>
    <x v="1"/>
    <x v="8"/>
    <x v="8"/>
    <x v="7"/>
    <x v="0"/>
    <x v="3"/>
    <x v="7"/>
    <x v="1"/>
    <x v="1"/>
    <x v="1"/>
    <x v="167"/>
    <x v="27"/>
  </r>
  <r>
    <x v="8"/>
    <x v="20"/>
    <x v="20"/>
    <x v="20"/>
    <x v="2"/>
    <x v="2"/>
    <x v="2"/>
    <x v="2"/>
    <x v="2"/>
    <x v="1"/>
    <x v="2"/>
    <x v="0"/>
    <x v="0"/>
    <x v="1"/>
    <x v="168"/>
    <x v="2"/>
  </r>
  <r>
    <x v="8"/>
    <x v="14"/>
    <x v="14"/>
    <x v="14"/>
    <x v="7"/>
    <x v="4"/>
    <x v="4"/>
    <x v="4"/>
    <x v="0"/>
    <x v="3"/>
    <x v="3"/>
    <x v="2"/>
    <x v="2"/>
    <x v="1"/>
    <x v="169"/>
    <x v="8"/>
  </r>
  <r>
    <x v="9"/>
    <x v="29"/>
    <x v="29"/>
    <x v="29"/>
    <x v="8"/>
    <x v="8"/>
    <x v="8"/>
    <x v="7"/>
    <x v="0"/>
    <x v="2"/>
    <x v="7"/>
    <x v="1"/>
    <x v="1"/>
    <x v="1"/>
    <x v="170"/>
    <x v="28"/>
  </r>
  <r>
    <x v="9"/>
    <x v="48"/>
    <x v="48"/>
    <x v="47"/>
    <x v="6"/>
    <x v="4"/>
    <x v="4"/>
    <x v="4"/>
    <x v="0"/>
    <x v="3"/>
    <x v="3"/>
    <x v="2"/>
    <x v="2"/>
    <x v="2"/>
    <x v="171"/>
    <x v="8"/>
  </r>
  <r>
    <x v="9"/>
    <x v="24"/>
    <x v="24"/>
    <x v="24"/>
    <x v="1"/>
    <x v="3"/>
    <x v="3"/>
    <x v="3"/>
    <x v="0"/>
    <x v="1"/>
    <x v="2"/>
    <x v="2"/>
    <x v="4"/>
    <x v="1"/>
    <x v="34"/>
    <x v="2"/>
  </r>
  <r>
    <x v="9"/>
    <x v="4"/>
    <x v="4"/>
    <x v="4"/>
    <x v="3"/>
    <x v="6"/>
    <x v="6"/>
    <x v="0"/>
    <x v="2"/>
    <x v="0"/>
    <x v="5"/>
    <x v="0"/>
    <x v="1"/>
    <x v="2"/>
    <x v="172"/>
    <x v="23"/>
  </r>
  <r>
    <x v="9"/>
    <x v="8"/>
    <x v="8"/>
    <x v="8"/>
    <x v="0"/>
    <x v="5"/>
    <x v="5"/>
    <x v="5"/>
    <x v="0"/>
    <x v="0"/>
    <x v="4"/>
    <x v="1"/>
    <x v="0"/>
    <x v="1"/>
    <x v="173"/>
    <x v="7"/>
  </r>
  <r>
    <x v="9"/>
    <x v="20"/>
    <x v="20"/>
    <x v="20"/>
    <x v="2"/>
    <x v="9"/>
    <x v="9"/>
    <x v="8"/>
    <x v="2"/>
    <x v="1"/>
    <x v="8"/>
    <x v="2"/>
    <x v="0"/>
    <x v="2"/>
    <x v="174"/>
    <x v="21"/>
  </r>
  <r>
    <x v="9"/>
    <x v="16"/>
    <x v="16"/>
    <x v="16"/>
    <x v="2"/>
    <x v="0"/>
    <x v="0"/>
    <x v="0"/>
    <x v="0"/>
    <x v="1"/>
    <x v="0"/>
    <x v="1"/>
    <x v="1"/>
    <x v="0"/>
    <x v="175"/>
    <x v="16"/>
  </r>
  <r>
    <x v="9"/>
    <x v="26"/>
    <x v="26"/>
    <x v="26"/>
    <x v="2"/>
    <x v="3"/>
    <x v="3"/>
    <x v="3"/>
    <x v="0"/>
    <x v="4"/>
    <x v="2"/>
    <x v="3"/>
    <x v="4"/>
    <x v="2"/>
    <x v="176"/>
    <x v="9"/>
  </r>
  <r>
    <x v="9"/>
    <x v="12"/>
    <x v="12"/>
    <x v="12"/>
    <x v="5"/>
    <x v="5"/>
    <x v="5"/>
    <x v="5"/>
    <x v="0"/>
    <x v="0"/>
    <x v="4"/>
    <x v="0"/>
    <x v="2"/>
    <x v="1"/>
    <x v="177"/>
    <x v="7"/>
  </r>
  <r>
    <x v="9"/>
    <x v="46"/>
    <x v="46"/>
    <x v="46"/>
    <x v="4"/>
    <x v="7"/>
    <x v="7"/>
    <x v="6"/>
    <x v="1"/>
    <x v="3"/>
    <x v="6"/>
    <x v="1"/>
    <x v="1"/>
    <x v="0"/>
    <x v="178"/>
    <x v="26"/>
  </r>
  <r>
    <x v="9"/>
    <x v="14"/>
    <x v="14"/>
    <x v="14"/>
    <x v="7"/>
    <x v="6"/>
    <x v="6"/>
    <x v="0"/>
    <x v="2"/>
    <x v="3"/>
    <x v="5"/>
    <x v="1"/>
    <x v="2"/>
    <x v="0"/>
    <x v="179"/>
    <x v="34"/>
  </r>
  <r>
    <x v="9"/>
    <x v="32"/>
    <x v="32"/>
    <x v="32"/>
    <x v="1"/>
    <x v="0"/>
    <x v="0"/>
    <x v="0"/>
    <x v="0"/>
    <x v="4"/>
    <x v="0"/>
    <x v="1"/>
    <x v="2"/>
    <x v="1"/>
    <x v="116"/>
    <x v="14"/>
  </r>
  <r>
    <x v="9"/>
    <x v="22"/>
    <x v="22"/>
    <x v="22"/>
    <x v="8"/>
    <x v="3"/>
    <x v="3"/>
    <x v="3"/>
    <x v="0"/>
    <x v="2"/>
    <x v="2"/>
    <x v="0"/>
    <x v="2"/>
    <x v="2"/>
    <x v="180"/>
    <x v="22"/>
  </r>
  <r>
    <x v="9"/>
    <x v="42"/>
    <x v="42"/>
    <x v="42"/>
    <x v="1"/>
    <x v="6"/>
    <x v="6"/>
    <x v="0"/>
    <x v="2"/>
    <x v="0"/>
    <x v="5"/>
    <x v="1"/>
    <x v="1"/>
    <x v="0"/>
    <x v="181"/>
    <x v="23"/>
  </r>
  <r>
    <x v="9"/>
    <x v="40"/>
    <x v="40"/>
    <x v="40"/>
    <x v="0"/>
    <x v="9"/>
    <x v="9"/>
    <x v="8"/>
    <x v="2"/>
    <x v="4"/>
    <x v="8"/>
    <x v="3"/>
    <x v="1"/>
    <x v="2"/>
    <x v="182"/>
    <x v="37"/>
  </r>
  <r>
    <x v="9"/>
    <x v="39"/>
    <x v="39"/>
    <x v="39"/>
    <x v="4"/>
    <x v="6"/>
    <x v="6"/>
    <x v="0"/>
    <x v="2"/>
    <x v="1"/>
    <x v="5"/>
    <x v="3"/>
    <x v="0"/>
    <x v="0"/>
    <x v="183"/>
    <x v="17"/>
  </r>
  <r>
    <x v="9"/>
    <x v="7"/>
    <x v="7"/>
    <x v="7"/>
    <x v="1"/>
    <x v="2"/>
    <x v="2"/>
    <x v="2"/>
    <x v="2"/>
    <x v="0"/>
    <x v="2"/>
    <x v="1"/>
    <x v="4"/>
    <x v="2"/>
    <x v="184"/>
    <x v="6"/>
  </r>
  <r>
    <x v="9"/>
    <x v="24"/>
    <x v="24"/>
    <x v="24"/>
    <x v="1"/>
    <x v="1"/>
    <x v="1"/>
    <x v="1"/>
    <x v="1"/>
    <x v="1"/>
    <x v="1"/>
    <x v="3"/>
    <x v="4"/>
    <x v="0"/>
    <x v="185"/>
    <x v="42"/>
  </r>
  <r>
    <x v="9"/>
    <x v="9"/>
    <x v="9"/>
    <x v="9"/>
    <x v="4"/>
    <x v="1"/>
    <x v="1"/>
    <x v="1"/>
    <x v="1"/>
    <x v="4"/>
    <x v="1"/>
    <x v="3"/>
    <x v="4"/>
    <x v="2"/>
    <x v="170"/>
    <x v="20"/>
  </r>
  <r>
    <x v="9"/>
    <x v="5"/>
    <x v="5"/>
    <x v="5"/>
    <x v="2"/>
    <x v="0"/>
    <x v="0"/>
    <x v="0"/>
    <x v="0"/>
    <x v="4"/>
    <x v="0"/>
    <x v="3"/>
    <x v="0"/>
    <x v="1"/>
    <x v="186"/>
    <x v="14"/>
  </r>
  <r>
    <x v="9"/>
    <x v="44"/>
    <x v="44"/>
    <x v="44"/>
    <x v="6"/>
    <x v="4"/>
    <x v="4"/>
    <x v="4"/>
    <x v="0"/>
    <x v="4"/>
    <x v="3"/>
    <x v="2"/>
    <x v="0"/>
    <x v="0"/>
    <x v="187"/>
    <x v="11"/>
  </r>
  <r>
    <x v="9"/>
    <x v="14"/>
    <x v="14"/>
    <x v="14"/>
    <x v="7"/>
    <x v="6"/>
    <x v="6"/>
    <x v="0"/>
    <x v="2"/>
    <x v="0"/>
    <x v="5"/>
    <x v="3"/>
    <x v="3"/>
    <x v="2"/>
    <x v="188"/>
    <x v="23"/>
  </r>
  <r>
    <x v="9"/>
    <x v="46"/>
    <x v="46"/>
    <x v="46"/>
    <x v="4"/>
    <x v="5"/>
    <x v="5"/>
    <x v="5"/>
    <x v="0"/>
    <x v="2"/>
    <x v="4"/>
    <x v="3"/>
    <x v="0"/>
    <x v="1"/>
    <x v="189"/>
    <x v="10"/>
  </r>
  <r>
    <x v="9"/>
    <x v="8"/>
    <x v="8"/>
    <x v="8"/>
    <x v="0"/>
    <x v="5"/>
    <x v="5"/>
    <x v="5"/>
    <x v="0"/>
    <x v="4"/>
    <x v="4"/>
    <x v="3"/>
    <x v="3"/>
    <x v="1"/>
    <x v="190"/>
    <x v="13"/>
  </r>
  <r>
    <x v="9"/>
    <x v="23"/>
    <x v="23"/>
    <x v="23"/>
    <x v="2"/>
    <x v="8"/>
    <x v="8"/>
    <x v="7"/>
    <x v="0"/>
    <x v="2"/>
    <x v="7"/>
    <x v="3"/>
    <x v="1"/>
    <x v="0"/>
    <x v="191"/>
    <x v="28"/>
  </r>
  <r>
    <x v="9"/>
    <x v="4"/>
    <x v="4"/>
    <x v="4"/>
    <x v="3"/>
    <x v="8"/>
    <x v="8"/>
    <x v="7"/>
    <x v="0"/>
    <x v="0"/>
    <x v="7"/>
    <x v="3"/>
    <x v="1"/>
    <x v="1"/>
    <x v="192"/>
    <x v="25"/>
  </r>
  <r>
    <x v="10"/>
    <x v="48"/>
    <x v="48"/>
    <x v="47"/>
    <x v="6"/>
    <x v="1"/>
    <x v="1"/>
    <x v="1"/>
    <x v="1"/>
    <x v="3"/>
    <x v="1"/>
    <x v="3"/>
    <x v="0"/>
    <x v="2"/>
    <x v="193"/>
    <x v="30"/>
  </r>
  <r>
    <x v="10"/>
    <x v="43"/>
    <x v="43"/>
    <x v="43"/>
    <x v="6"/>
    <x v="2"/>
    <x v="2"/>
    <x v="2"/>
    <x v="2"/>
    <x v="0"/>
    <x v="2"/>
    <x v="3"/>
    <x v="2"/>
    <x v="1"/>
    <x v="170"/>
    <x v="6"/>
  </r>
  <r>
    <x v="10"/>
    <x v="16"/>
    <x v="16"/>
    <x v="16"/>
    <x v="2"/>
    <x v="6"/>
    <x v="6"/>
    <x v="0"/>
    <x v="2"/>
    <x v="1"/>
    <x v="5"/>
    <x v="1"/>
    <x v="1"/>
    <x v="0"/>
    <x v="194"/>
    <x v="17"/>
  </r>
  <r>
    <x v="10"/>
    <x v="30"/>
    <x v="30"/>
    <x v="30"/>
    <x v="2"/>
    <x v="1"/>
    <x v="1"/>
    <x v="1"/>
    <x v="1"/>
    <x v="1"/>
    <x v="1"/>
    <x v="3"/>
    <x v="0"/>
    <x v="2"/>
    <x v="195"/>
    <x v="42"/>
  </r>
  <r>
    <x v="10"/>
    <x v="20"/>
    <x v="20"/>
    <x v="20"/>
    <x v="2"/>
    <x v="7"/>
    <x v="7"/>
    <x v="6"/>
    <x v="1"/>
    <x v="0"/>
    <x v="6"/>
    <x v="0"/>
    <x v="4"/>
    <x v="1"/>
    <x v="179"/>
    <x v="18"/>
  </r>
  <r>
    <x v="10"/>
    <x v="2"/>
    <x v="2"/>
    <x v="2"/>
    <x v="2"/>
    <x v="9"/>
    <x v="9"/>
    <x v="8"/>
    <x v="2"/>
    <x v="0"/>
    <x v="8"/>
    <x v="0"/>
    <x v="0"/>
    <x v="0"/>
    <x v="196"/>
    <x v="24"/>
  </r>
  <r>
    <x v="10"/>
    <x v="0"/>
    <x v="0"/>
    <x v="0"/>
    <x v="0"/>
    <x v="8"/>
    <x v="8"/>
    <x v="7"/>
    <x v="0"/>
    <x v="2"/>
    <x v="7"/>
    <x v="2"/>
    <x v="0"/>
    <x v="0"/>
    <x v="197"/>
    <x v="28"/>
  </r>
  <r>
    <x v="10"/>
    <x v="45"/>
    <x v="45"/>
    <x v="45"/>
    <x v="6"/>
    <x v="2"/>
    <x v="2"/>
    <x v="2"/>
    <x v="2"/>
    <x v="2"/>
    <x v="2"/>
    <x v="0"/>
    <x v="1"/>
    <x v="1"/>
    <x v="198"/>
    <x v="22"/>
  </r>
  <r>
    <x v="10"/>
    <x v="23"/>
    <x v="23"/>
    <x v="23"/>
    <x v="2"/>
    <x v="5"/>
    <x v="5"/>
    <x v="5"/>
    <x v="0"/>
    <x v="1"/>
    <x v="4"/>
    <x v="2"/>
    <x v="1"/>
    <x v="1"/>
    <x v="54"/>
    <x v="12"/>
  </r>
  <r>
    <x v="10"/>
    <x v="4"/>
    <x v="4"/>
    <x v="4"/>
    <x v="3"/>
    <x v="2"/>
    <x v="2"/>
    <x v="2"/>
    <x v="2"/>
    <x v="0"/>
    <x v="2"/>
    <x v="2"/>
    <x v="0"/>
    <x v="2"/>
    <x v="174"/>
    <x v="6"/>
  </r>
  <r>
    <x v="10"/>
    <x v="17"/>
    <x v="17"/>
    <x v="17"/>
    <x v="1"/>
    <x v="4"/>
    <x v="4"/>
    <x v="4"/>
    <x v="0"/>
    <x v="0"/>
    <x v="3"/>
    <x v="0"/>
    <x v="4"/>
    <x v="2"/>
    <x v="199"/>
    <x v="4"/>
  </r>
  <r>
    <x v="10"/>
    <x v="37"/>
    <x v="37"/>
    <x v="37"/>
    <x v="1"/>
    <x v="9"/>
    <x v="9"/>
    <x v="8"/>
    <x v="2"/>
    <x v="0"/>
    <x v="8"/>
    <x v="0"/>
    <x v="3"/>
    <x v="1"/>
    <x v="31"/>
    <x v="24"/>
  </r>
  <r>
    <x v="10"/>
    <x v="6"/>
    <x v="6"/>
    <x v="6"/>
    <x v="3"/>
    <x v="6"/>
    <x v="6"/>
    <x v="0"/>
    <x v="2"/>
    <x v="1"/>
    <x v="5"/>
    <x v="0"/>
    <x v="3"/>
    <x v="2"/>
    <x v="200"/>
    <x v="17"/>
  </r>
  <r>
    <x v="10"/>
    <x v="30"/>
    <x v="30"/>
    <x v="30"/>
    <x v="2"/>
    <x v="5"/>
    <x v="5"/>
    <x v="5"/>
    <x v="0"/>
    <x v="3"/>
    <x v="4"/>
    <x v="2"/>
    <x v="3"/>
    <x v="0"/>
    <x v="201"/>
    <x v="38"/>
  </r>
  <r>
    <x v="10"/>
    <x v="43"/>
    <x v="43"/>
    <x v="43"/>
    <x v="6"/>
    <x v="5"/>
    <x v="5"/>
    <x v="5"/>
    <x v="0"/>
    <x v="3"/>
    <x v="4"/>
    <x v="0"/>
    <x v="2"/>
    <x v="1"/>
    <x v="145"/>
    <x v="38"/>
  </r>
  <r>
    <x v="10"/>
    <x v="48"/>
    <x v="48"/>
    <x v="47"/>
    <x v="6"/>
    <x v="2"/>
    <x v="2"/>
    <x v="2"/>
    <x v="2"/>
    <x v="4"/>
    <x v="2"/>
    <x v="2"/>
    <x v="2"/>
    <x v="1"/>
    <x v="30"/>
    <x v="9"/>
  </r>
  <r>
    <x v="10"/>
    <x v="39"/>
    <x v="39"/>
    <x v="39"/>
    <x v="4"/>
    <x v="8"/>
    <x v="8"/>
    <x v="7"/>
    <x v="0"/>
    <x v="1"/>
    <x v="7"/>
    <x v="2"/>
    <x v="3"/>
    <x v="1"/>
    <x v="202"/>
    <x v="19"/>
  </r>
  <r>
    <x v="10"/>
    <x v="26"/>
    <x v="26"/>
    <x v="26"/>
    <x v="2"/>
    <x v="9"/>
    <x v="9"/>
    <x v="8"/>
    <x v="2"/>
    <x v="2"/>
    <x v="8"/>
    <x v="0"/>
    <x v="0"/>
    <x v="1"/>
    <x v="203"/>
    <x v="35"/>
  </r>
  <r>
    <x v="10"/>
    <x v="45"/>
    <x v="45"/>
    <x v="45"/>
    <x v="6"/>
    <x v="1"/>
    <x v="1"/>
    <x v="1"/>
    <x v="1"/>
    <x v="4"/>
    <x v="1"/>
    <x v="0"/>
    <x v="3"/>
    <x v="2"/>
    <x v="204"/>
    <x v="20"/>
  </r>
  <r>
    <x v="10"/>
    <x v="16"/>
    <x v="16"/>
    <x v="16"/>
    <x v="2"/>
    <x v="6"/>
    <x v="6"/>
    <x v="0"/>
    <x v="2"/>
    <x v="2"/>
    <x v="5"/>
    <x v="2"/>
    <x v="1"/>
    <x v="0"/>
    <x v="205"/>
    <x v="31"/>
  </r>
  <r>
    <x v="11"/>
    <x v="6"/>
    <x v="6"/>
    <x v="6"/>
    <x v="3"/>
    <x v="2"/>
    <x v="2"/>
    <x v="2"/>
    <x v="2"/>
    <x v="2"/>
    <x v="2"/>
    <x v="0"/>
    <x v="0"/>
    <x v="0"/>
    <x v="32"/>
    <x v="22"/>
  </r>
  <r>
    <x v="11"/>
    <x v="40"/>
    <x v="40"/>
    <x v="40"/>
    <x v="0"/>
    <x v="5"/>
    <x v="5"/>
    <x v="5"/>
    <x v="0"/>
    <x v="1"/>
    <x v="4"/>
    <x v="3"/>
    <x v="4"/>
    <x v="1"/>
    <x v="65"/>
    <x v="12"/>
  </r>
  <r>
    <x v="11"/>
    <x v="11"/>
    <x v="11"/>
    <x v="11"/>
    <x v="5"/>
    <x v="1"/>
    <x v="1"/>
    <x v="1"/>
    <x v="1"/>
    <x v="1"/>
    <x v="1"/>
    <x v="0"/>
    <x v="3"/>
    <x v="1"/>
    <x v="206"/>
    <x v="42"/>
  </r>
  <r>
    <x v="11"/>
    <x v="0"/>
    <x v="0"/>
    <x v="0"/>
    <x v="0"/>
    <x v="8"/>
    <x v="8"/>
    <x v="7"/>
    <x v="0"/>
    <x v="2"/>
    <x v="7"/>
    <x v="1"/>
    <x v="3"/>
    <x v="1"/>
    <x v="4"/>
    <x v="28"/>
  </r>
  <r>
    <x v="11"/>
    <x v="22"/>
    <x v="22"/>
    <x v="22"/>
    <x v="8"/>
    <x v="0"/>
    <x v="0"/>
    <x v="0"/>
    <x v="0"/>
    <x v="1"/>
    <x v="0"/>
    <x v="0"/>
    <x v="4"/>
    <x v="2"/>
    <x v="207"/>
    <x v="16"/>
  </r>
  <r>
    <x v="11"/>
    <x v="40"/>
    <x v="40"/>
    <x v="40"/>
    <x v="0"/>
    <x v="2"/>
    <x v="2"/>
    <x v="2"/>
    <x v="2"/>
    <x v="2"/>
    <x v="2"/>
    <x v="2"/>
    <x v="0"/>
    <x v="1"/>
    <x v="208"/>
    <x v="22"/>
  </r>
  <r>
    <x v="11"/>
    <x v="28"/>
    <x v="28"/>
    <x v="28"/>
    <x v="4"/>
    <x v="4"/>
    <x v="4"/>
    <x v="4"/>
    <x v="0"/>
    <x v="1"/>
    <x v="3"/>
    <x v="2"/>
    <x v="4"/>
    <x v="1"/>
    <x v="64"/>
    <x v="29"/>
  </r>
  <r>
    <x v="11"/>
    <x v="6"/>
    <x v="6"/>
    <x v="6"/>
    <x v="3"/>
    <x v="2"/>
    <x v="2"/>
    <x v="2"/>
    <x v="2"/>
    <x v="4"/>
    <x v="2"/>
    <x v="0"/>
    <x v="0"/>
    <x v="2"/>
    <x v="209"/>
    <x v="9"/>
  </r>
  <r>
    <x v="11"/>
    <x v="28"/>
    <x v="28"/>
    <x v="28"/>
    <x v="4"/>
    <x v="0"/>
    <x v="0"/>
    <x v="0"/>
    <x v="0"/>
    <x v="3"/>
    <x v="0"/>
    <x v="0"/>
    <x v="2"/>
    <x v="2"/>
    <x v="210"/>
    <x v="39"/>
  </r>
  <r>
    <x v="11"/>
    <x v="37"/>
    <x v="37"/>
    <x v="37"/>
    <x v="1"/>
    <x v="1"/>
    <x v="1"/>
    <x v="1"/>
    <x v="1"/>
    <x v="2"/>
    <x v="1"/>
    <x v="1"/>
    <x v="3"/>
    <x v="0"/>
    <x v="211"/>
    <x v="3"/>
  </r>
  <r>
    <x v="11"/>
    <x v="25"/>
    <x v="25"/>
    <x v="25"/>
    <x v="1"/>
    <x v="2"/>
    <x v="2"/>
    <x v="2"/>
    <x v="2"/>
    <x v="2"/>
    <x v="2"/>
    <x v="0"/>
    <x v="3"/>
    <x v="1"/>
    <x v="212"/>
    <x v="22"/>
  </r>
  <r>
    <x v="11"/>
    <x v="30"/>
    <x v="30"/>
    <x v="30"/>
    <x v="2"/>
    <x v="4"/>
    <x v="4"/>
    <x v="4"/>
    <x v="0"/>
    <x v="0"/>
    <x v="3"/>
    <x v="3"/>
    <x v="2"/>
    <x v="1"/>
    <x v="213"/>
    <x v="4"/>
  </r>
  <r>
    <x v="11"/>
    <x v="5"/>
    <x v="5"/>
    <x v="5"/>
    <x v="2"/>
    <x v="4"/>
    <x v="4"/>
    <x v="4"/>
    <x v="0"/>
    <x v="0"/>
    <x v="3"/>
    <x v="2"/>
    <x v="2"/>
    <x v="0"/>
    <x v="214"/>
    <x v="4"/>
  </r>
  <r>
    <x v="11"/>
    <x v="0"/>
    <x v="0"/>
    <x v="0"/>
    <x v="0"/>
    <x v="6"/>
    <x v="6"/>
    <x v="0"/>
    <x v="2"/>
    <x v="0"/>
    <x v="5"/>
    <x v="1"/>
    <x v="3"/>
    <x v="1"/>
    <x v="215"/>
    <x v="23"/>
  </r>
  <r>
    <x v="11"/>
    <x v="49"/>
    <x v="49"/>
    <x v="48"/>
    <x v="9"/>
    <x v="2"/>
    <x v="2"/>
    <x v="2"/>
    <x v="2"/>
    <x v="4"/>
    <x v="2"/>
    <x v="2"/>
    <x v="3"/>
    <x v="2"/>
    <x v="144"/>
    <x v="9"/>
  </r>
  <r>
    <x v="11"/>
    <x v="19"/>
    <x v="19"/>
    <x v="19"/>
    <x v="1"/>
    <x v="7"/>
    <x v="7"/>
    <x v="6"/>
    <x v="1"/>
    <x v="4"/>
    <x v="6"/>
    <x v="1"/>
    <x v="0"/>
    <x v="0"/>
    <x v="216"/>
    <x v="40"/>
  </r>
  <r>
    <x v="11"/>
    <x v="36"/>
    <x v="36"/>
    <x v="36"/>
    <x v="4"/>
    <x v="8"/>
    <x v="8"/>
    <x v="7"/>
    <x v="0"/>
    <x v="1"/>
    <x v="7"/>
    <x v="2"/>
    <x v="1"/>
    <x v="0"/>
    <x v="217"/>
    <x v="19"/>
  </r>
  <r>
    <x v="11"/>
    <x v="16"/>
    <x v="16"/>
    <x v="16"/>
    <x v="2"/>
    <x v="2"/>
    <x v="2"/>
    <x v="2"/>
    <x v="2"/>
    <x v="0"/>
    <x v="2"/>
    <x v="2"/>
    <x v="0"/>
    <x v="2"/>
    <x v="218"/>
    <x v="6"/>
  </r>
  <r>
    <x v="11"/>
    <x v="8"/>
    <x v="8"/>
    <x v="8"/>
    <x v="0"/>
    <x v="8"/>
    <x v="8"/>
    <x v="7"/>
    <x v="0"/>
    <x v="2"/>
    <x v="7"/>
    <x v="3"/>
    <x v="3"/>
    <x v="1"/>
    <x v="164"/>
    <x v="28"/>
  </r>
  <r>
    <x v="12"/>
    <x v="19"/>
    <x v="19"/>
    <x v="19"/>
    <x v="1"/>
    <x v="5"/>
    <x v="5"/>
    <x v="5"/>
    <x v="0"/>
    <x v="2"/>
    <x v="4"/>
    <x v="2"/>
    <x v="2"/>
    <x v="2"/>
    <x v="111"/>
    <x v="10"/>
  </r>
  <r>
    <x v="12"/>
    <x v="23"/>
    <x v="23"/>
    <x v="23"/>
    <x v="2"/>
    <x v="4"/>
    <x v="4"/>
    <x v="4"/>
    <x v="0"/>
    <x v="0"/>
    <x v="3"/>
    <x v="0"/>
    <x v="0"/>
    <x v="2"/>
    <x v="115"/>
    <x v="4"/>
  </r>
  <r>
    <x v="12"/>
    <x v="16"/>
    <x v="16"/>
    <x v="16"/>
    <x v="2"/>
    <x v="7"/>
    <x v="7"/>
    <x v="6"/>
    <x v="1"/>
    <x v="0"/>
    <x v="6"/>
    <x v="1"/>
    <x v="2"/>
    <x v="0"/>
    <x v="219"/>
    <x v="18"/>
  </r>
  <r>
    <x v="12"/>
    <x v="7"/>
    <x v="7"/>
    <x v="7"/>
    <x v="1"/>
    <x v="8"/>
    <x v="8"/>
    <x v="7"/>
    <x v="0"/>
    <x v="3"/>
    <x v="7"/>
    <x v="3"/>
    <x v="4"/>
    <x v="0"/>
    <x v="220"/>
    <x v="27"/>
  </r>
  <r>
    <x v="12"/>
    <x v="46"/>
    <x v="46"/>
    <x v="46"/>
    <x v="4"/>
    <x v="5"/>
    <x v="5"/>
    <x v="5"/>
    <x v="0"/>
    <x v="0"/>
    <x v="4"/>
    <x v="2"/>
    <x v="2"/>
    <x v="0"/>
    <x v="67"/>
    <x v="7"/>
  </r>
  <r>
    <x v="12"/>
    <x v="40"/>
    <x v="40"/>
    <x v="40"/>
    <x v="0"/>
    <x v="8"/>
    <x v="8"/>
    <x v="7"/>
    <x v="0"/>
    <x v="2"/>
    <x v="7"/>
    <x v="3"/>
    <x v="4"/>
    <x v="0"/>
    <x v="221"/>
    <x v="28"/>
  </r>
  <r>
    <x v="12"/>
    <x v="26"/>
    <x v="26"/>
    <x v="26"/>
    <x v="2"/>
    <x v="8"/>
    <x v="8"/>
    <x v="7"/>
    <x v="0"/>
    <x v="0"/>
    <x v="7"/>
    <x v="3"/>
    <x v="2"/>
    <x v="1"/>
    <x v="22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5" firstHeaderRow="1" firstDataRow="1" firstDataCol="1"/>
  <pivotFields count="18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8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50">
        <item x="47"/>
        <item x="32"/>
        <item x="17"/>
        <item x="6"/>
        <item x="41"/>
        <item x="19"/>
        <item x="11"/>
        <item x="29"/>
        <item x="35"/>
        <item x="5"/>
        <item x="46"/>
        <item x="39"/>
        <item x="23"/>
        <item x="25"/>
        <item x="37"/>
        <item x="13"/>
        <item x="38"/>
        <item x="28"/>
        <item x="22"/>
        <item x="33"/>
        <item x="1"/>
        <item x="48"/>
        <item x="27"/>
        <item x="3"/>
        <item x="8"/>
        <item x="2"/>
        <item x="24"/>
        <item x="21"/>
        <item x="40"/>
        <item x="4"/>
        <item x="14"/>
        <item x="15"/>
        <item x="12"/>
        <item x="36"/>
        <item x="20"/>
        <item x="0"/>
        <item x="18"/>
        <item x="10"/>
        <item x="43"/>
        <item x="45"/>
        <item x="34"/>
        <item x="7"/>
        <item x="30"/>
        <item x="31"/>
        <item x="9"/>
        <item x="42"/>
        <item x="26"/>
        <item x="16"/>
        <item x="44"/>
        <item t="default"/>
      </items>
    </pivotField>
    <pivotField compact="0" showAll="0">
      <items count="11">
        <item x="9"/>
        <item x="5"/>
        <item x="6"/>
        <item x="4"/>
        <item x="1"/>
        <item x="2"/>
        <item x="8"/>
        <item x="0"/>
        <item x="3"/>
        <item x="7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10">
        <item x="6"/>
        <item x="8"/>
        <item x="3"/>
        <item x="4"/>
        <item x="0"/>
        <item x="1"/>
        <item x="5"/>
        <item x="7"/>
        <item x="2"/>
        <item t="default"/>
      </items>
    </pivotField>
    <pivotField compact="0" showAll="0">
      <items count="4">
        <item h="1" x="1"/>
        <item x="0"/>
        <item h="1"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axis="axisRow" compact="0" showAll="0">
      <items count="6">
        <item h="1" x="0"/>
        <item h="1" x="4"/>
        <item x="2"/>
        <item h="1" x="1"/>
        <item h="1"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3"/>
  </rowFields>
  <rowItems count="2">
    <i>
      <x v="2"/>
    </i>
    <i t="grand">
      <x/>
    </i>
  </rowItems>
  <colItems count="1">
    <i/>
  </colItems>
  <dataFields count="1">
    <dataField name="Sum of Total_Amount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8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8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50">
        <item x="47"/>
        <item x="32"/>
        <item x="17"/>
        <item x="6"/>
        <item x="41"/>
        <item x="19"/>
        <item x="11"/>
        <item x="29"/>
        <item x="35"/>
        <item x="5"/>
        <item x="46"/>
        <item x="39"/>
        <item x="23"/>
        <item x="25"/>
        <item x="37"/>
        <item x="13"/>
        <item x="38"/>
        <item x="28"/>
        <item x="22"/>
        <item x="33"/>
        <item x="1"/>
        <item x="48"/>
        <item x="27"/>
        <item x="3"/>
        <item x="8"/>
        <item x="2"/>
        <item x="24"/>
        <item x="21"/>
        <item x="40"/>
        <item x="4"/>
        <item x="14"/>
        <item x="15"/>
        <item x="12"/>
        <item x="36"/>
        <item x="20"/>
        <item x="0"/>
        <item x="18"/>
        <item x="10"/>
        <item x="43"/>
        <item x="45"/>
        <item x="34"/>
        <item x="7"/>
        <item x="30"/>
        <item x="31"/>
        <item x="9"/>
        <item x="42"/>
        <item x="26"/>
        <item x="16"/>
        <item x="44"/>
        <item t="default"/>
      </items>
    </pivotField>
    <pivotField compact="0" showAll="0">
      <items count="11">
        <item x="9"/>
        <item x="5"/>
        <item x="6"/>
        <item x="4"/>
        <item x="1"/>
        <item x="2"/>
        <item x="8"/>
        <item x="0"/>
        <item x="3"/>
        <item x="7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axis="axisRow"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10">
        <item x="6"/>
        <item x="8"/>
        <item x="3"/>
        <item x="4"/>
        <item x="0"/>
        <item x="1"/>
        <item x="5"/>
        <item x="7"/>
        <item x="2"/>
        <item t="default"/>
      </items>
    </pivotField>
    <pivotField compact="0" showAll="0">
      <items count="4">
        <item h="1" x="1"/>
        <item x="0"/>
        <item h="1"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h="1" x="0"/>
        <item h="1" x="4"/>
        <item x="2"/>
        <item h="1" x="1"/>
        <item h="1"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7"/>
  </rowFields>
  <rowItems count="6">
    <i>
      <x v="4"/>
    </i>
    <i>
      <x v="5"/>
    </i>
    <i>
      <x v="6"/>
    </i>
    <i>
      <x v="7"/>
    </i>
    <i>
      <x v="9"/>
    </i>
    <i t="grand">
      <x/>
    </i>
  </rowItems>
  <colItems count="1">
    <i/>
  </colItems>
  <dataFields count="1">
    <dataField name="Sum of Total_Amount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8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8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50">
        <item x="47"/>
        <item x="32"/>
        <item x="17"/>
        <item x="6"/>
        <item x="41"/>
        <item x="19"/>
        <item x="11"/>
        <item x="29"/>
        <item x="35"/>
        <item x="5"/>
        <item x="46"/>
        <item x="39"/>
        <item x="23"/>
        <item x="25"/>
        <item x="37"/>
        <item x="13"/>
        <item x="38"/>
        <item x="28"/>
        <item x="22"/>
        <item x="33"/>
        <item x="1"/>
        <item x="48"/>
        <item x="27"/>
        <item x="3"/>
        <item x="8"/>
        <item x="2"/>
        <item x="24"/>
        <item x="21"/>
        <item x="40"/>
        <item x="4"/>
        <item x="14"/>
        <item x="15"/>
        <item x="12"/>
        <item x="36"/>
        <item x="20"/>
        <item x="0"/>
        <item x="18"/>
        <item x="10"/>
        <item x="43"/>
        <item x="45"/>
        <item x="34"/>
        <item x="7"/>
        <item x="30"/>
        <item x="31"/>
        <item x="9"/>
        <item x="42"/>
        <item x="26"/>
        <item x="16"/>
        <item x="44"/>
        <item t="default"/>
      </items>
    </pivotField>
    <pivotField compact="0" showAll="0">
      <items count="11">
        <item x="9"/>
        <item x="5"/>
        <item x="6"/>
        <item x="4"/>
        <item x="1"/>
        <item x="2"/>
        <item x="8"/>
        <item x="0"/>
        <item x="3"/>
        <item x="7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10">
        <item x="6"/>
        <item x="8"/>
        <item x="3"/>
        <item x="4"/>
        <item x="0"/>
        <item x="1"/>
        <item x="5"/>
        <item x="7"/>
        <item x="2"/>
        <item t="default"/>
      </items>
    </pivotField>
    <pivotField compact="0" showAll="0">
      <items count="4">
        <item h="1" x="1"/>
        <item x="0"/>
        <item h="1" x="2"/>
        <item t="default"/>
      </items>
    </pivotField>
    <pivotField dataField="1"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h="1" x="0"/>
        <item h="1" x="4"/>
        <item x="2"/>
        <item h="1" x="1"/>
        <item h="1"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numFmtId="180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compact="0" showAll="0">
      <items count="45">
        <item h="1" x="30"/>
        <item h="1" x="26"/>
        <item h="1" x="27"/>
        <item h="1" x="3"/>
        <item x="5"/>
        <item h="1" x="1"/>
        <item h="1" x="28"/>
        <item h="1" x="41"/>
        <item h="1" x="20"/>
        <item h="1" x="18"/>
        <item h="1" x="39"/>
        <item h="1" x="25"/>
        <item h="1" x="42"/>
        <item h="1" x="22"/>
        <item h="1" x="34"/>
        <item h="1" x="40"/>
        <item h="1" x="32"/>
        <item h="1" x="33"/>
        <item h="1" x="35"/>
        <item h="1" x="19"/>
        <item h="1" x="6"/>
        <item h="1" x="36"/>
        <item h="1" x="9"/>
        <item h="1" x="24"/>
        <item h="1" x="31"/>
        <item h="1" x="38"/>
        <item h="1" x="2"/>
        <item h="1" x="0"/>
        <item h="1" x="37"/>
        <item h="1" x="23"/>
        <item h="1" x="8"/>
        <item h="1" x="21"/>
        <item h="1" x="14"/>
        <item h="1" x="15"/>
        <item h="1" x="16"/>
        <item h="1" x="10"/>
        <item h="1" x="17"/>
        <item h="1" x="43"/>
        <item h="1" x="7"/>
        <item h="1" x="4"/>
        <item h="1" x="13"/>
        <item h="1" x="12"/>
        <item h="1" x="11"/>
        <item h="1" x="29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7" firstHeaderRow="1" firstDataRow="1" firstDataCol="1"/>
  <pivotFields count="16">
    <pivotField axis="axisRow" compact="0" showAll="0">
      <items count="14">
        <item x="0"/>
        <item x="12"/>
        <item x="4"/>
        <item x="8"/>
        <item x="10"/>
        <item x="9"/>
        <item x="3"/>
        <item x="2"/>
        <item x="11"/>
        <item x="1"/>
        <item x="7"/>
        <item x="6"/>
        <item x="5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50">
        <item x="47"/>
        <item x="32"/>
        <item x="17"/>
        <item x="6"/>
        <item x="41"/>
        <item x="19"/>
        <item x="11"/>
        <item x="29"/>
        <item x="35"/>
        <item x="5"/>
        <item x="46"/>
        <item x="39"/>
        <item x="23"/>
        <item x="25"/>
        <item x="37"/>
        <item x="13"/>
        <item x="38"/>
        <item x="28"/>
        <item x="22"/>
        <item x="33"/>
        <item x="1"/>
        <item x="48"/>
        <item x="27"/>
        <item x="3"/>
        <item x="8"/>
        <item x="2"/>
        <item x="24"/>
        <item x="21"/>
        <item x="40"/>
        <item x="4"/>
        <item x="14"/>
        <item x="15"/>
        <item x="12"/>
        <item x="36"/>
        <item x="20"/>
        <item x="0"/>
        <item x="18"/>
        <item x="10"/>
        <item x="43"/>
        <item x="45"/>
        <item x="34"/>
        <item x="7"/>
        <item x="30"/>
        <item x="31"/>
        <item x="9"/>
        <item x="42"/>
        <item x="26"/>
        <item x="16"/>
        <item x="44"/>
        <item t="default"/>
      </items>
    </pivotField>
    <pivotField compact="0" showAll="0">
      <items count="11">
        <item x="9"/>
        <item x="5"/>
        <item x="6"/>
        <item x="4"/>
        <item x="1"/>
        <item x="2"/>
        <item x="8"/>
        <item x="0"/>
        <item x="3"/>
        <item x="7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10">
        <item x="6"/>
        <item x="8"/>
        <item x="3"/>
        <item x="4"/>
        <item x="0"/>
        <item x="1"/>
        <item x="5"/>
        <item x="7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Amount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PivotTable1"/>
    <pivotTable tabId="4" name="PivotTable1"/>
    <pivotTable tabId="5" name="PivotTable1"/>
  </pivotTables>
  <data>
    <tabular pivotCacheId="1">
      <items count="3">
        <i x="1" s="0"/>
        <i x="0" s="1"/>
        <i x="2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PivotTable1"/>
    <pivotTable tabId="4" name="PivotTable1"/>
    <pivotTable tabId="5" name="PivotTable1"/>
  </pivotTables>
  <data>
    <tabular pivotCacheId="1">
      <items count="5">
        <i x="0" s="0"/>
        <i x="4" s="0"/>
        <i x="2" s="1"/>
        <i x="1" s="0"/>
        <i x="3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_Year" sourceName="Month-Year">
  <pivotTables>
    <pivotTable tabId="10" name="PivotTable6"/>
  </pivotTables>
  <data>
    <tabular pivotCacheId="2">
      <items count="13">
        <i x="0" s="1"/>
        <i x="12" s="1"/>
        <i x="4" s="1"/>
        <i x="8" s="1"/>
        <i x="10" s="1"/>
        <i x="9" s="1"/>
        <i x="3" s="1"/>
        <i x="2" s="1"/>
        <i x="11" s="1"/>
        <i x="1" s="1"/>
        <i x="7" s="1"/>
        <i x="6" s="1"/>
        <i x="5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5425"/>
  <slicer name="Region" cache="Slicer_Region" caption="Region" rowHeight="225425"/>
  <slicer name="Month-Year" cache="Slicer_Month_Year" caption="Month-Year" rowHeight="225425"/>
</slicers>
</file>

<file path=xl/tables/table1.xml><?xml version="1.0" encoding="utf-8"?>
<table xmlns="http://schemas.openxmlformats.org/spreadsheetml/2006/main" id="2" name="Table2" displayName="Table2" ref="AB9:AC14" totalsRowShown="0">
  <autoFilter xmlns:etc="http://www.wps.cn/officeDocument/2017/etCustomData" ref="AB9:AC14" etc:filterBottomFollowUsedRange="0"/>
  <tableColumns count="2">
    <tableColumn id="1" name="Column1" dataDxfId="0"/>
    <tableColumn id="2" name="Column2" dataDxfId="1">
      <calculatedColumnFormula array="1">_xlfn.IFS(AB10=FALSE,"",AC10="",NOW(),TRUE,AC10)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Hardcover">
  <a:themeElements>
    <a:clrScheme name="Hardcover">
      <a:dk1>
        <a:sysClr val="windowText" lastClr="000000"/>
      </a:dk1>
      <a:lt1>
        <a:sysClr val="window" lastClr="FFFFFF"/>
      </a:lt1>
      <a:dk2>
        <a:srgbClr val="895D1D"/>
      </a:dk2>
      <a:lt2>
        <a:srgbClr val="ECE9C6"/>
      </a:lt2>
      <a:accent1>
        <a:srgbClr val="873624"/>
      </a:accent1>
      <a:accent2>
        <a:srgbClr val="D6862D"/>
      </a:accent2>
      <a:accent3>
        <a:srgbClr val="D0BE40"/>
      </a:accent3>
      <a:accent4>
        <a:srgbClr val="877F6C"/>
      </a:accent4>
      <a:accent5>
        <a:srgbClr val="972109"/>
      </a:accent5>
      <a:accent6>
        <a:srgbClr val="AEB795"/>
      </a:accent6>
      <a:hlink>
        <a:srgbClr val="CC9900"/>
      </a:hlink>
      <a:folHlink>
        <a:srgbClr val="B2B2B2"/>
      </a:folHlink>
    </a:clrScheme>
    <a:fontScheme name="Hardcover">
      <a:maj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궁서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Book Antiqua"/>
        <a:ea typeface=""/>
        <a:cs typeface=""/>
        <a:font script="Grek" typeface="Times New Roman"/>
        <a:font script="Cyrl" typeface="Times New Roman"/>
        <a:font script="Jpan" typeface="HGS明朝E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Hardcover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>
            <a:tint val="96000"/>
            <a:lumMod val="110000"/>
          </a:schemeClr>
        </a:solidFill>
        <a:blipFill rotWithShape="1">
          <a:tile tx="0" ty="0" sx="60000" sy="60000" flip="none" algn="tl"/>
        </a:blipFill>
        <a:blipFill rotWithShape="1">
          <a:stretch>
            <a:fillRect/>
          </a:stretch>
        </a:blip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"/>
  <sheetViews>
    <sheetView topLeftCell="A2" workbookViewId="0">
      <selection activeCell="A2" sqref="A2"/>
    </sheetView>
  </sheetViews>
  <sheetFormatPr defaultColWidth="14.4259259259259" defaultRowHeight="14.4" customHeight="1"/>
  <cols>
    <col min="1" max="1" width="94.8611111111111" customWidth="1"/>
    <col min="2" max="25" width="8.71296296296296" customWidth="1"/>
  </cols>
  <sheetData>
    <row r="1" spans="1: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409.5" spans="1: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 spans="1: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 spans="1: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 spans="1: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 spans="1: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 spans="1: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 spans="1: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 spans="1: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 spans="1: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 spans="1: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 spans="1: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 spans="1: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 spans="1: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 spans="1: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 spans="1: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 spans="1: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 spans="1: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 spans="1: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 spans="1: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 spans="1: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 spans="1: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 spans="1: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 spans="1: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 spans="1: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 spans="1: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 spans="1: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 spans="1: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 spans="1: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 spans="1: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 spans="1: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 spans="1: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 spans="1: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 spans="1: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 spans="1: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 spans="1: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 spans="1: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 spans="1: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 spans="1: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 spans="1: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 spans="1: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 spans="1: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 spans="1: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 spans="1: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 spans="1: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 spans="1: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 spans="1: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 spans="1: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 spans="1: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 spans="1: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 spans="1: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 spans="1: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 spans="1: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 spans="1: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 spans="1: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 spans="1: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 spans="1: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 spans="1: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 spans="1: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 spans="1: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 spans="1: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 spans="1: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 spans="1: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 spans="1: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 spans="1: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 spans="1: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 spans="1: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 spans="1: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 spans="1: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 spans="1: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 spans="1: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 spans="1: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 spans="1: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 spans="1: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 spans="1: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 spans="1: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 spans="1: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 spans="1: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 spans="1: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 spans="1: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 spans="1: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 spans="1: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 spans="1: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 spans="1: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 spans="1: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 spans="1: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 spans="1: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 spans="1: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 spans="1: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 spans="1: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 spans="1: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 spans="1: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 spans="1: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 spans="1: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 spans="1: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 spans="1: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 spans="1: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 spans="1: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 spans="1: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 spans="1: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 spans="1: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 spans="1: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 spans="1: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 spans="1: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 spans="1: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 spans="1: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 spans="1: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 spans="1: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 spans="1: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 spans="1: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 spans="1: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 spans="1: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 spans="1: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 spans="1: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 spans="1: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 spans="1: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 spans="1: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 spans="1: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 spans="1: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 spans="1: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 spans="1: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 spans="1: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 spans="1: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 spans="1: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 spans="1: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 spans="1: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 spans="1: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 spans="1: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 spans="1: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 spans="1: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 spans="1: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 spans="1: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 spans="1: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 spans="1: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 spans="1: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 spans="1: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 spans="1: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 spans="1: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 spans="1: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 spans="1: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 spans="1: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 spans="1: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 spans="1: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 spans="1: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 spans="1: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 spans="1: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 spans="1: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 spans="1: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 spans="1: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 spans="1: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 spans="1: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 spans="1: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 spans="1: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 spans="1: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 spans="1: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 spans="1: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 spans="1: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 spans="1: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 spans="1: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 spans="1: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 spans="1: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 spans="1: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 spans="1: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 spans="1: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 spans="1: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 spans="1: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 spans="1: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 spans="1: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 spans="1: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 spans="1: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 spans="1: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 spans="1: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 spans="1: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 spans="1: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 spans="1: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 spans="1: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 spans="1: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 spans="1: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 spans="1: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 spans="1: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 spans="1: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 spans="1: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 spans="1: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 spans="1: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 spans="1: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 spans="1: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 spans="1: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 spans="1: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 spans="1: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 spans="1: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 spans="1: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 spans="1: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 spans="1: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 spans="1: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 spans="1: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 spans="1: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 spans="1: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 spans="1: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 spans="1: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 spans="1: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 spans="1: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 spans="1: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 spans="1: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 spans="1: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 spans="1: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 spans="1: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 spans="1: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 spans="1: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 spans="1: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 spans="1: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 spans="1: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 spans="1: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 spans="1: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 spans="1: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 spans="1: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 spans="1: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 spans="1: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 spans="1: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 spans="1: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 spans="1: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 spans="1: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 spans="1: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 spans="1: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 spans="1: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 spans="1: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 spans="1: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 spans="1: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 spans="1: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 spans="1: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 spans="1: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 spans="1: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 spans="1: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 spans="1: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 spans="1: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 spans="1: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 spans="1: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 spans="1: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 spans="1: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 spans="1: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 spans="1: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 spans="1: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 spans="1: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 spans="1: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 spans="1: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 spans="1: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 spans="1: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 spans="1: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 spans="1: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 spans="1: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 spans="1: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 spans="1: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 spans="1: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 spans="1: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 spans="1: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 spans="1: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 spans="1: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 spans="1: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 spans="1: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 spans="1: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 spans="1: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 spans="1: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 spans="1: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5.75" customHeight="1" spans="1: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 spans="1: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15.75" customHeight="1" spans="1: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 spans="1: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15.75" customHeight="1" spans="1: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5.75" customHeight="1" spans="1: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 spans="1: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15.75" customHeight="1" spans="1: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 spans="1: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15.75" customHeight="1" spans="1: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5.75" customHeight="1" spans="1: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5.75" customHeight="1" spans="1: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5.75" customHeight="1" spans="1: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5.75" customHeight="1" spans="1: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15.75" customHeight="1" spans="1: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5.75" customHeight="1" spans="1: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 spans="1: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15.75" customHeight="1" spans="1: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 spans="1: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15.75" customHeight="1" spans="1: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5.75" customHeight="1" spans="1: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 spans="1: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15.75" customHeight="1" spans="1: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 spans="1: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 spans="1: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5.75" customHeight="1" spans="1: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 spans="1: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5.75" customHeight="1" spans="1: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 spans="1: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 spans="1: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5.75" customHeight="1" spans="1: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 spans="1: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5.75" customHeight="1" spans="1: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 spans="1: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 spans="1: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5.75" customHeight="1" spans="1: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 spans="1: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5.75" customHeight="1" spans="1: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 spans="1: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 spans="1: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5.75" customHeight="1" spans="1: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 spans="1: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5.75" customHeight="1" spans="1: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 spans="1: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 spans="1: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5.75" customHeight="1" spans="1: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 spans="1: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5.75" customHeight="1" spans="1: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 spans="1: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 spans="1: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5.75" customHeight="1" spans="1: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 spans="1: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 spans="1: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 spans="1: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 spans="1: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 spans="1: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 spans="1: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5.75" customHeight="1" spans="1: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 spans="1: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 spans="1: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5.75" customHeight="1" spans="1: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 spans="1: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5.75" customHeight="1" spans="1: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 spans="1: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 spans="1: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5.75" customHeight="1" spans="1: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 spans="1: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5.75" customHeight="1" spans="1: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 spans="1: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 spans="1: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5.75" customHeight="1" spans="1: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 spans="1: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 spans="1: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 spans="1: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 spans="1: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 spans="1: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 spans="1: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 spans="1: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 spans="1: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 spans="1: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 spans="1: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 spans="1: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 spans="1: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 spans="1: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 spans="1: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 spans="1: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 spans="1: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 spans="1: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 spans="1: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 spans="1: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 spans="1: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 spans="1: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 spans="1: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 spans="1: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 spans="1: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 spans="1: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 spans="1: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 spans="1: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 spans="1: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 spans="1: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 spans="1: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 spans="1: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 spans="1: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 spans="1: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 spans="1: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 spans="1: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 spans="1: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 spans="1: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 spans="1: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 spans="1: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 spans="1: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 spans="1: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 spans="1: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 spans="1: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 spans="1: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 spans="1: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 spans="1: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 spans="1: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 spans="1: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 spans="1: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 spans="1: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 spans="1: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 spans="1: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 spans="1: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 spans="1: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 spans="1: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 spans="1: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 spans="1: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 spans="1: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 spans="1: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 spans="1: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 spans="1: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 spans="1: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 spans="1: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 spans="1: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 spans="1: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 spans="1: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 spans="1: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 spans="1: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 spans="1: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 spans="1: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 spans="1: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 spans="1: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 spans="1: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 spans="1: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 spans="1: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 spans="1: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 spans="1: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 spans="1: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 spans="1: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 spans="1: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 spans="1: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 spans="1: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 spans="1: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 spans="1: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 spans="1: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 spans="1: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 spans="1: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 spans="1: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 spans="1: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 spans="1: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 spans="1: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 spans="1: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 spans="1: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 spans="1: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 spans="1: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 spans="1: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 spans="1: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 spans="1: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 spans="1: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 spans="1: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 spans="1: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 spans="1: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 spans="1: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 spans="1: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 spans="1: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 spans="1: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 spans="1: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 spans="1: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 spans="1: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 spans="1: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 spans="1: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 spans="1: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 spans="1: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 spans="1: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 spans="1: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 spans="1: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 spans="1: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 spans="1: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 spans="1: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 spans="1: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 spans="1: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 spans="1: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 spans="1: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 spans="1: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 spans="1: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 spans="1: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 spans="1: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 spans="1: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 spans="1: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 spans="1: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 spans="1: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 spans="1: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 spans="1: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 spans="1: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 spans="1: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 spans="1: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 spans="1: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 spans="1: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 spans="1: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 spans="1: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 spans="1: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 spans="1: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 spans="1: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 spans="1: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 spans="1: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 spans="1: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 spans="1: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 spans="1: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 spans="1: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 spans="1: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 spans="1: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 spans="1: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 spans="1: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 spans="1: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 spans="1: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 spans="1: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 spans="1: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 spans="1: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 spans="1: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 spans="1: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 spans="1: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 spans="1: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 spans="1: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 spans="1: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 spans="1: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 spans="1: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 spans="1: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 spans="1: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 spans="1: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 spans="1: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 spans="1: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 spans="1: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 spans="1: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 spans="1: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 spans="1: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 spans="1: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 spans="1: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 spans="1: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 spans="1: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 spans="1: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 spans="1: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 spans="1: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 spans="1: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 spans="1: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 spans="1: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 spans="1: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 spans="1: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 spans="1: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 spans="1: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 spans="1: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 spans="1: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 spans="1: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 spans="1: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 spans="1: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 spans="1: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 spans="1: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 spans="1: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 spans="1: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 spans="1: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 spans="1: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 spans="1: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 spans="1: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 spans="1: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 spans="1: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 spans="1: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 spans="1: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 spans="1: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 spans="1: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 spans="1: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 spans="1: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 spans="1: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 spans="1: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 spans="1: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 spans="1: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 spans="1: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 spans="1: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 spans="1: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 spans="1: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 spans="1: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 spans="1: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 spans="1: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 spans="1: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 spans="1: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 spans="1: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 spans="1: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 spans="1: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 spans="1: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 spans="1: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 spans="1: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 spans="1: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 spans="1: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 spans="1: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 spans="1: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 spans="1: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 spans="1: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 spans="1: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 spans="1: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 spans="1: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 spans="1: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 spans="1: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 spans="1: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 spans="1: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 spans="1: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 spans="1: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 spans="1: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 spans="1: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 spans="1: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 spans="1: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 spans="1: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 spans="1: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 spans="1: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 spans="1: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 spans="1: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 spans="1: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 spans="1: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 spans="1: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 spans="1: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 spans="1: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 spans="1: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 spans="1: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 spans="1: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 spans="1: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 spans="1: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 spans="1: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 spans="1: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 spans="1: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 spans="1: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 spans="1: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 spans="1: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 spans="1: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 spans="1: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 spans="1: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 spans="1: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 spans="1: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 spans="1: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 spans="1: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 spans="1: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 spans="1: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 spans="1: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 spans="1: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 spans="1: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 spans="1: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 spans="1: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 spans="1: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 spans="1: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 spans="1: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 spans="1: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 spans="1: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 spans="1: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 spans="1: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 spans="1: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 spans="1: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 spans="1: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 spans="1: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 spans="1: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 spans="1: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 spans="1: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 spans="1: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 spans="1: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 spans="1: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 spans="1: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 spans="1: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 spans="1: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 spans="1: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 spans="1: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 spans="1: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 spans="1: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 spans="1: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 spans="1: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 spans="1: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 spans="1: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 spans="1: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 spans="1: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 spans="1: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 spans="1: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 spans="1: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 spans="1: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 spans="1: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 spans="1: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 spans="1: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 spans="1: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 spans="1: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 spans="1: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 spans="1: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 spans="1: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 spans="1: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 spans="1: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 spans="1: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 spans="1: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 spans="1: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 spans="1: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 spans="1: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 spans="1: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 spans="1: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 spans="1: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 spans="1: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 spans="1: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 spans="1: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 spans="1: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 spans="1: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 spans="1: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 spans="1: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 spans="1: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 spans="1: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 spans="1: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 spans="1: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 spans="1: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 spans="1: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 spans="1: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 spans="1: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 spans="1: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 spans="1: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 spans="1: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 spans="1: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 spans="1: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 spans="1: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 spans="1: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 spans="1: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 spans="1: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 spans="1: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 spans="1: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 spans="1: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 spans="1: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 spans="1: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 spans="1: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 spans="1: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 spans="1: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 spans="1: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 spans="1: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 spans="1: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 spans="1: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 spans="1: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 spans="1: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 spans="1: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 spans="1: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 spans="1: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 spans="1: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 spans="1: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 spans="1: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 spans="1: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 spans="1: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 spans="1: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 spans="1: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 spans="1: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 spans="1: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 spans="1: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 spans="1: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 spans="1: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 spans="1: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 spans="1: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 spans="1: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 spans="1: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 spans="1: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 spans="1: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 spans="1: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 spans="1: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 spans="1: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 spans="1: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 spans="1: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 spans="1: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 spans="1: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 spans="1: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 spans="1: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 spans="1: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 spans="1: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 spans="1: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 spans="1: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 spans="1: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 spans="1: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 spans="1: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 spans="1: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 spans="1: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 spans="1: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 spans="1: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 spans="1: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 spans="1: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 spans="1: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 spans="1: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 spans="1: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 spans="1: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 spans="1: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 spans="1: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 spans="1: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 spans="1: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 spans="1: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 spans="1: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 spans="1: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 spans="1: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 spans="1: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 spans="1: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 spans="1: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 spans="1: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 spans="1: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 spans="1: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 spans="1: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 spans="1: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 spans="1: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 spans="1: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 spans="1: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 spans="1: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 spans="1: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 spans="1: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 spans="1: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 spans="1: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 spans="1: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 spans="1: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 spans="1: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 spans="1: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 spans="1: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 spans="1: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 spans="1: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 spans="1: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 spans="1: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 spans="1: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 spans="1: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 spans="1: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 spans="1: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 spans="1: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 spans="1: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 spans="1: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 spans="1: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 spans="1: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 spans="1: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 spans="1: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 spans="1: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 spans="1: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 spans="1: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 spans="1: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 spans="1: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 spans="1: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 spans="1: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 spans="1: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 spans="1: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 spans="1: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 spans="1: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 spans="1: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 spans="1: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 spans="1: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 spans="1: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 spans="1: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 spans="1: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 spans="1: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 spans="1: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 spans="1: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 spans="1: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 spans="1: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 spans="1: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 spans="1: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 spans="1: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 spans="1: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 spans="1: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 spans="1: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 spans="1: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 spans="1: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 spans="1: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 spans="1: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 spans="1: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 spans="1: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 spans="1: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 spans="1: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 spans="1: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 spans="1: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 spans="1: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 spans="1: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 spans="1: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 spans="1: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 spans="1: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 spans="1: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 spans="1: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 spans="1: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 spans="1: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 spans="1: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 spans="1: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 spans="1: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 spans="1: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 spans="1: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 spans="1: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 spans="1: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 spans="1: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 spans="1: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 spans="1: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 spans="1: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 spans="1: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 spans="1: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 spans="1: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 spans="1: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 spans="1: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 spans="1: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 spans="1: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 spans="1: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 spans="1: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 spans="1: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 spans="1: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 spans="1: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 spans="1: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 spans="1: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 spans="1: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 spans="1: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 spans="1: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 spans="1: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 spans="1: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 spans="1: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 spans="1: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 spans="1: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 spans="1: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 spans="1: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 spans="1: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 spans="1: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 spans="1: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 spans="1: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 spans="1: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 spans="1: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 spans="1: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 spans="1: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 spans="1: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 spans="1: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 spans="1: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 spans="1: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 spans="1: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 spans="1: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 spans="1: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 spans="1: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 spans="1: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 spans="1: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 spans="1: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 spans="1: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 spans="1: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 spans="1: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 spans="1: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 spans="1: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 spans="1: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 spans="1: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 spans="1: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 spans="1: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 spans="1: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 spans="1: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 spans="1: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 spans="1: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 spans="1: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 spans="1: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 spans="1: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 spans="1: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 spans="1: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 spans="1: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 spans="1: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 spans="1: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 spans="1: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 spans="1: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 spans="1: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 spans="1: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 spans="1: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 spans="1: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 spans="1: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 spans="1: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 spans="1: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 spans="1: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 spans="1: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 spans="1: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 spans="1: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 spans="1: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 spans="1: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 spans="1: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 spans="1: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 spans="1: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 spans="1: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 spans="1: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 spans="1: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 spans="1: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 spans="1: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 spans="1: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 spans="1: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 spans="1: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 spans="1: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 spans="1: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 spans="1: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 spans="1: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 spans="1: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 spans="1: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 spans="1: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 spans="1: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 spans="1: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 spans="1: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 spans="1: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 spans="1: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 spans="1: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 spans="1: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 spans="1: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 spans="1: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 spans="1: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 spans="1: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 spans="1: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 spans="1: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 spans="1: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 spans="1: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 spans="1: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 spans="1: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 spans="1: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 spans="1: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 spans="1: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 spans="1: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 spans="1: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 spans="1: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 spans="1: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 spans="1: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 spans="1: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 spans="1: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 spans="1: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 spans="1: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 spans="1: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zoomScale="86" zoomScaleNormal="86" topLeftCell="E1" workbookViewId="0">
      <selection activeCell="A1" sqref="$A1:$XFD1048576"/>
    </sheetView>
  </sheetViews>
  <sheetFormatPr defaultColWidth="8.88888888888889" defaultRowHeight="14.4"/>
  <cols>
    <col min="1" max="27" width="8.88888888888889" style="11"/>
    <col min="28" max="28" width="10.6666666666667" style="11"/>
    <col min="29" max="16384" width="8.88888888888889" style="11"/>
  </cols>
  <sheetData/>
  <mergeCells count="1">
    <mergeCell ref="A1:XFD104857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00"/>
  <sheetViews>
    <sheetView zoomScale="80" zoomScaleNormal="80" topLeftCell="R1" workbookViewId="0">
      <selection activeCell="AE10" sqref="AE10"/>
    </sheetView>
  </sheetViews>
  <sheetFormatPr defaultColWidth="14.4259259259259" defaultRowHeight="14.4" customHeight="1"/>
  <cols>
    <col min="1" max="1" width="13.712962962963" customWidth="1"/>
    <col min="2" max="2" width="10.8611111111111" customWidth="1"/>
    <col min="3" max="4" width="12.287037037037" customWidth="1"/>
    <col min="5" max="5" width="15.8611111111111" customWidth="1"/>
    <col min="6" max="7" width="12.8888888888889" customWidth="1"/>
    <col min="8" max="8" width="10.712962962963" customWidth="1"/>
    <col min="9" max="9" width="13.8611111111111" customWidth="1"/>
    <col min="10" max="10" width="15" customWidth="1"/>
    <col min="11" max="11" width="10.4259259259259" customWidth="1"/>
    <col min="12" max="12" width="8.57407407407407" customWidth="1"/>
    <col min="13" max="13" width="10" customWidth="1"/>
    <col min="14" max="14" width="16.4259259259259" customWidth="1"/>
    <col min="15" max="15" width="7.28703703703704" customWidth="1"/>
    <col min="16" max="16" width="17.8611111111111" customWidth="1"/>
    <col min="17" max="17" width="14.8611111111111" customWidth="1"/>
    <col min="18" max="18" width="13.1388888888889" customWidth="1"/>
    <col min="19" max="19" width="19.8888888888889" customWidth="1"/>
    <col min="20" max="21" width="8.71296296296296" customWidth="1"/>
    <col min="22" max="22" width="19.2222222222222" customWidth="1"/>
    <col min="23" max="23" width="16.7777777777778" customWidth="1"/>
    <col min="24" max="26" width="8.71296296296296" customWidth="1"/>
    <col min="27" max="27" width="9" customWidth="1"/>
    <col min="28" max="28" width="16.4444444444444" customWidth="1"/>
    <col min="29" max="29" width="14.2222222222222" customWidth="1"/>
    <col min="30" max="30" width="8.71296296296296" customWidth="1"/>
    <col min="31" max="31" width="17.5" customWidth="1"/>
    <col min="32" max="32" width="19.4444444444444" customWidth="1"/>
  </cols>
  <sheetData>
    <row r="1" spans="1:3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19">
      <c r="A2" t="s">
        <v>21</v>
      </c>
      <c r="B2" s="2">
        <v>45393</v>
      </c>
      <c r="C2" t="str">
        <f>TEXT(B2,"mmm-yyy")</f>
        <v>Apr-2024</v>
      </c>
      <c r="D2" t="s">
        <v>22</v>
      </c>
      <c r="E2" t="s">
        <v>23</v>
      </c>
      <c r="F2" t="str">
        <f>LEFT(E2,1)&amp;MID(E2,FIND(" ",E2)+1,1)</f>
        <v>PB</v>
      </c>
      <c r="G2">
        <f>COUNTIF(E:E,E2)</f>
        <v>8</v>
      </c>
      <c r="H2" t="s">
        <v>24</v>
      </c>
      <c r="I2" t="s">
        <v>25</v>
      </c>
      <c r="J2">
        <f>COUNTIF(I:I,I2)</f>
        <v>26</v>
      </c>
      <c r="K2" t="s">
        <v>26</v>
      </c>
      <c r="L2">
        <v>3</v>
      </c>
      <c r="M2">
        <v>249.99</v>
      </c>
      <c r="N2" t="s">
        <v>27</v>
      </c>
      <c r="O2" t="s">
        <v>28</v>
      </c>
      <c r="P2" t="s">
        <v>29</v>
      </c>
      <c r="Q2" s="2">
        <v>44425</v>
      </c>
      <c r="R2">
        <f>M2*L2</f>
        <v>749.97</v>
      </c>
      <c r="S2" t="str">
        <f>IF(R2&gt;2000,"High-Value Customer","Other")</f>
        <v>Other</v>
      </c>
    </row>
    <row r="3" spans="1:19">
      <c r="A3" t="s">
        <v>30</v>
      </c>
      <c r="B3" s="2">
        <v>45396</v>
      </c>
      <c r="C3" t="str">
        <f t="shared" ref="C3:C66" si="0">TEXT(B3,"mmm-yyy")</f>
        <v>Apr-2024</v>
      </c>
      <c r="D3" t="s">
        <v>31</v>
      </c>
      <c r="E3" t="s">
        <v>32</v>
      </c>
      <c r="F3" t="str">
        <f t="shared" ref="F3:F66" si="1">LEFT(E3,1)&amp;MID(E3,FIND(" ",E3)+1,1)</f>
        <v>JJ</v>
      </c>
      <c r="G3">
        <f t="shared" ref="G3:G66" si="2">COUNTIF(E:E,E3)</f>
        <v>5</v>
      </c>
      <c r="H3" t="s">
        <v>24</v>
      </c>
      <c r="I3" t="s">
        <v>25</v>
      </c>
      <c r="J3">
        <f t="shared" ref="J3:J66" si="3">COUNTIF(I:I,I3)</f>
        <v>26</v>
      </c>
      <c r="K3" t="s">
        <v>26</v>
      </c>
      <c r="L3">
        <v>3</v>
      </c>
      <c r="M3">
        <v>249.99</v>
      </c>
      <c r="N3" t="s">
        <v>33</v>
      </c>
      <c r="O3" t="s">
        <v>28</v>
      </c>
      <c r="P3" t="s">
        <v>34</v>
      </c>
      <c r="Q3" s="2">
        <v>44575</v>
      </c>
      <c r="R3">
        <f t="shared" ref="R3:R66" si="4">M3*L3</f>
        <v>749.97</v>
      </c>
      <c r="S3" t="str">
        <f t="shared" ref="S3:S66" si="5">IF(R3&gt;2000,"High-Value Customer","Other")</f>
        <v>Other</v>
      </c>
    </row>
    <row r="4" spans="1:19">
      <c r="A4" t="s">
        <v>35</v>
      </c>
      <c r="B4" s="2">
        <v>45399</v>
      </c>
      <c r="C4" t="str">
        <f t="shared" si="0"/>
        <v>Apr-2024</v>
      </c>
      <c r="D4" t="s">
        <v>36</v>
      </c>
      <c r="E4" t="s">
        <v>37</v>
      </c>
      <c r="F4" t="str">
        <f t="shared" si="1"/>
        <v>KS</v>
      </c>
      <c r="G4">
        <f t="shared" si="2"/>
        <v>6</v>
      </c>
      <c r="H4" t="s">
        <v>38</v>
      </c>
      <c r="I4" t="s">
        <v>39</v>
      </c>
      <c r="J4">
        <f t="shared" si="3"/>
        <v>29</v>
      </c>
      <c r="K4" t="s">
        <v>40</v>
      </c>
      <c r="L4">
        <v>3</v>
      </c>
      <c r="M4">
        <v>59.99</v>
      </c>
      <c r="N4" t="s">
        <v>41</v>
      </c>
      <c r="O4" t="s">
        <v>42</v>
      </c>
      <c r="P4" t="s">
        <v>43</v>
      </c>
      <c r="Q4" s="2">
        <v>45262</v>
      </c>
      <c r="R4">
        <f t="shared" si="4"/>
        <v>179.97</v>
      </c>
      <c r="S4" t="str">
        <f t="shared" si="5"/>
        <v>Other</v>
      </c>
    </row>
    <row r="5" spans="1:19">
      <c r="A5" t="s">
        <v>44</v>
      </c>
      <c r="B5" s="2">
        <v>45400</v>
      </c>
      <c r="C5" t="str">
        <f t="shared" si="0"/>
        <v>Apr-2024</v>
      </c>
      <c r="D5" t="s">
        <v>45</v>
      </c>
      <c r="E5" t="s">
        <v>46</v>
      </c>
      <c r="F5" t="str">
        <f t="shared" si="1"/>
        <v>KB</v>
      </c>
      <c r="G5">
        <f t="shared" si="2"/>
        <v>6</v>
      </c>
      <c r="H5" t="s">
        <v>38</v>
      </c>
      <c r="I5" t="s">
        <v>39</v>
      </c>
      <c r="J5">
        <f t="shared" si="3"/>
        <v>29</v>
      </c>
      <c r="K5" t="s">
        <v>40</v>
      </c>
      <c r="L5">
        <v>3</v>
      </c>
      <c r="M5">
        <v>59.99</v>
      </c>
      <c r="N5" t="s">
        <v>27</v>
      </c>
      <c r="O5" t="s">
        <v>47</v>
      </c>
      <c r="P5" t="s">
        <v>34</v>
      </c>
      <c r="Q5" s="2">
        <v>45114</v>
      </c>
      <c r="R5">
        <f t="shared" si="4"/>
        <v>179.97</v>
      </c>
      <c r="S5" t="str">
        <f t="shared" si="5"/>
        <v>Other</v>
      </c>
    </row>
    <row r="6" spans="1:28">
      <c r="A6" t="s">
        <v>48</v>
      </c>
      <c r="B6" s="2">
        <v>45400</v>
      </c>
      <c r="C6" t="str">
        <f t="shared" si="0"/>
        <v>Apr-2024</v>
      </c>
      <c r="D6" t="s">
        <v>49</v>
      </c>
      <c r="E6" t="s">
        <v>50</v>
      </c>
      <c r="F6" t="str">
        <f t="shared" si="1"/>
        <v>MB</v>
      </c>
      <c r="G6">
        <f t="shared" si="2"/>
        <v>9</v>
      </c>
      <c r="H6" t="s">
        <v>51</v>
      </c>
      <c r="I6" t="s">
        <v>52</v>
      </c>
      <c r="J6">
        <f t="shared" si="3"/>
        <v>35</v>
      </c>
      <c r="K6" t="s">
        <v>53</v>
      </c>
      <c r="L6">
        <v>5</v>
      </c>
      <c r="M6">
        <v>149.99</v>
      </c>
      <c r="N6" t="s">
        <v>33</v>
      </c>
      <c r="O6" t="s">
        <v>47</v>
      </c>
      <c r="P6" t="s">
        <v>34</v>
      </c>
      <c r="Q6" s="2">
        <v>45295</v>
      </c>
      <c r="R6">
        <f t="shared" si="4"/>
        <v>749.95</v>
      </c>
      <c r="S6" t="str">
        <f t="shared" si="5"/>
        <v>Other</v>
      </c>
      <c r="V6" s="4" t="s">
        <v>54</v>
      </c>
      <c r="W6" s="4"/>
      <c r="X6" s="4"/>
      <c r="AB6" s="3"/>
    </row>
    <row r="7" spans="1:23">
      <c r="A7" t="s">
        <v>55</v>
      </c>
      <c r="B7" s="2">
        <v>45403</v>
      </c>
      <c r="C7" t="str">
        <f t="shared" si="0"/>
        <v>Apr-2024</v>
      </c>
      <c r="D7" t="s">
        <v>56</v>
      </c>
      <c r="E7" t="s">
        <v>57</v>
      </c>
      <c r="F7" t="str">
        <f t="shared" si="1"/>
        <v>DN</v>
      </c>
      <c r="G7">
        <f t="shared" si="2"/>
        <v>6</v>
      </c>
      <c r="H7" t="s">
        <v>38</v>
      </c>
      <c r="I7" t="s">
        <v>39</v>
      </c>
      <c r="J7">
        <f t="shared" si="3"/>
        <v>29</v>
      </c>
      <c r="K7" t="s">
        <v>40</v>
      </c>
      <c r="L7">
        <v>2</v>
      </c>
      <c r="M7">
        <v>59.99</v>
      </c>
      <c r="N7" t="s">
        <v>27</v>
      </c>
      <c r="O7" t="s">
        <v>58</v>
      </c>
      <c r="P7" t="s">
        <v>43</v>
      </c>
      <c r="Q7" s="2">
        <v>44746</v>
      </c>
      <c r="R7">
        <f t="shared" si="4"/>
        <v>119.98</v>
      </c>
      <c r="S7" t="str">
        <f t="shared" si="5"/>
        <v>Other</v>
      </c>
      <c r="V7" t="s">
        <v>59</v>
      </c>
      <c r="W7" s="5">
        <f ca="1">TODAY()</f>
        <v>45972</v>
      </c>
    </row>
    <row r="8" spans="1:32">
      <c r="A8" t="s">
        <v>60</v>
      </c>
      <c r="B8" s="2">
        <v>45403</v>
      </c>
      <c r="C8" t="str">
        <f t="shared" si="0"/>
        <v>Apr-2024</v>
      </c>
      <c r="D8" t="s">
        <v>56</v>
      </c>
      <c r="E8" t="s">
        <v>57</v>
      </c>
      <c r="F8" t="str">
        <f t="shared" si="1"/>
        <v>DN</v>
      </c>
      <c r="G8">
        <f t="shared" si="2"/>
        <v>6</v>
      </c>
      <c r="H8" t="s">
        <v>61</v>
      </c>
      <c r="I8" t="s">
        <v>62</v>
      </c>
      <c r="J8">
        <f t="shared" si="3"/>
        <v>16</v>
      </c>
      <c r="K8" t="s">
        <v>26</v>
      </c>
      <c r="L8">
        <v>5</v>
      </c>
      <c r="M8">
        <v>149.99</v>
      </c>
      <c r="N8" t="s">
        <v>33</v>
      </c>
      <c r="O8" t="s">
        <v>28</v>
      </c>
      <c r="P8" t="s">
        <v>43</v>
      </c>
      <c r="Q8" s="2">
        <v>44418</v>
      </c>
      <c r="R8">
        <f t="shared" si="4"/>
        <v>749.95</v>
      </c>
      <c r="S8" t="str">
        <f t="shared" si="5"/>
        <v>Other</v>
      </c>
      <c r="V8" t="s">
        <v>63</v>
      </c>
      <c r="W8" s="6">
        <f ca="1">NOW()</f>
        <v>45972.7750462963</v>
      </c>
      <c r="AB8" s="4" t="s">
        <v>64</v>
      </c>
      <c r="AC8" s="4"/>
      <c r="AE8" s="4" t="s">
        <v>65</v>
      </c>
      <c r="AF8" s="4"/>
    </row>
    <row r="9" spans="1:32">
      <c r="A9" t="s">
        <v>66</v>
      </c>
      <c r="B9" s="2">
        <v>45403</v>
      </c>
      <c r="C9" t="str">
        <f t="shared" si="0"/>
        <v>Apr-2024</v>
      </c>
      <c r="D9" t="s">
        <v>67</v>
      </c>
      <c r="E9" t="s">
        <v>68</v>
      </c>
      <c r="F9" t="str">
        <f t="shared" si="1"/>
        <v>CA</v>
      </c>
      <c r="G9">
        <f t="shared" si="2"/>
        <v>9</v>
      </c>
      <c r="H9" t="s">
        <v>38</v>
      </c>
      <c r="I9" t="s">
        <v>39</v>
      </c>
      <c r="J9">
        <f t="shared" si="3"/>
        <v>29</v>
      </c>
      <c r="K9" t="s">
        <v>40</v>
      </c>
      <c r="L9">
        <v>3</v>
      </c>
      <c r="M9">
        <v>59.99</v>
      </c>
      <c r="N9" t="s">
        <v>69</v>
      </c>
      <c r="O9" t="s">
        <v>42</v>
      </c>
      <c r="P9" t="s">
        <v>29</v>
      </c>
      <c r="Q9" s="2">
        <v>45007</v>
      </c>
      <c r="R9">
        <f t="shared" si="4"/>
        <v>179.97</v>
      </c>
      <c r="S9" t="str">
        <f t="shared" si="5"/>
        <v>Other</v>
      </c>
      <c r="V9" t="s">
        <v>70</v>
      </c>
      <c r="W9">
        <f ca="1">DATEDIF(Q2,W7,"Y")</f>
        <v>4</v>
      </c>
      <c r="AB9" t="s">
        <v>71</v>
      </c>
      <c r="AC9" t="s">
        <v>72</v>
      </c>
      <c r="AE9" s="1" t="s">
        <v>6</v>
      </c>
      <c r="AF9" s="1" t="s">
        <v>73</v>
      </c>
    </row>
    <row r="10" spans="1:32">
      <c r="A10" t="s">
        <v>74</v>
      </c>
      <c r="B10" s="2">
        <v>45405</v>
      </c>
      <c r="C10" t="str">
        <f t="shared" si="0"/>
        <v>Apr-2024</v>
      </c>
      <c r="D10" t="s">
        <v>75</v>
      </c>
      <c r="E10" t="s">
        <v>76</v>
      </c>
      <c r="F10" t="str">
        <f t="shared" si="1"/>
        <v>RT</v>
      </c>
      <c r="G10">
        <f t="shared" si="2"/>
        <v>5</v>
      </c>
      <c r="H10" t="s">
        <v>77</v>
      </c>
      <c r="I10" t="s">
        <v>78</v>
      </c>
      <c r="J10">
        <f t="shared" si="3"/>
        <v>24</v>
      </c>
      <c r="K10" t="s">
        <v>26</v>
      </c>
      <c r="L10">
        <v>3</v>
      </c>
      <c r="M10">
        <v>899.99</v>
      </c>
      <c r="N10" t="s">
        <v>41</v>
      </c>
      <c r="O10" t="s">
        <v>79</v>
      </c>
      <c r="P10" t="s">
        <v>43</v>
      </c>
      <c r="Q10" s="2">
        <v>45299</v>
      </c>
      <c r="R10">
        <f t="shared" si="4"/>
        <v>2699.97</v>
      </c>
      <c r="S10" t="str">
        <f t="shared" si="5"/>
        <v>High-Value Customer</v>
      </c>
      <c r="V10" t="s">
        <v>80</v>
      </c>
      <c r="W10" s="5">
        <f>EOMONTH(Q2,8)</f>
        <v>44681</v>
      </c>
      <c r="AC10" s="8" t="str" cm="1">
        <f ca="1" t="array" ref="AC10">_xlfn.IFS(AB10=FALSE,"",AC10="",NOW(),TRUE,AC10)</f>
        <v/>
      </c>
      <c r="AE10" t="str" cm="1">
        <f t="array" ref="AE10:AE59">_xlfn.UNIQUE(E2:E251)</f>
        <v>Paul Baker</v>
      </c>
      <c r="AF10">
        <f>SUMIF(E:E,AE10,R:R)</f>
        <v>8309.74</v>
      </c>
    </row>
    <row r="11" spans="1:32">
      <c r="A11" t="s">
        <v>81</v>
      </c>
      <c r="B11" s="2">
        <v>45408</v>
      </c>
      <c r="C11" t="str">
        <f t="shared" si="0"/>
        <v>Apr-2024</v>
      </c>
      <c r="D11" t="s">
        <v>82</v>
      </c>
      <c r="E11" t="s">
        <v>83</v>
      </c>
      <c r="F11" t="str">
        <f t="shared" si="1"/>
        <v>KH</v>
      </c>
      <c r="G11">
        <f t="shared" si="2"/>
        <v>8</v>
      </c>
      <c r="H11" t="s">
        <v>38</v>
      </c>
      <c r="I11" t="s">
        <v>39</v>
      </c>
      <c r="J11">
        <f t="shared" si="3"/>
        <v>29</v>
      </c>
      <c r="K11" t="s">
        <v>40</v>
      </c>
      <c r="L11">
        <v>3</v>
      </c>
      <c r="M11">
        <v>59.99</v>
      </c>
      <c r="N11" t="s">
        <v>27</v>
      </c>
      <c r="O11" t="s">
        <v>58</v>
      </c>
      <c r="P11" t="s">
        <v>34</v>
      </c>
      <c r="Q11" s="2">
        <v>45207</v>
      </c>
      <c r="R11">
        <f t="shared" si="4"/>
        <v>179.97</v>
      </c>
      <c r="S11" t="str">
        <f t="shared" si="5"/>
        <v>Other</v>
      </c>
      <c r="AC11" s="8" t="str" cm="1">
        <f ca="1" t="array" ref="AC11">_xlfn.IFS(AB11=FALSE,"",AC11="",NOW(),TRUE,AC11)</f>
        <v/>
      </c>
      <c r="AE11" t="str">
        <v>Joseph Jackson</v>
      </c>
      <c r="AF11">
        <f t="shared" ref="AF11:AF42" si="6">SUMIF(E:E,AE11,R:R)</f>
        <v>6949.84</v>
      </c>
    </row>
    <row r="12" spans="1:32">
      <c r="A12" t="s">
        <v>84</v>
      </c>
      <c r="B12" s="2">
        <v>45408</v>
      </c>
      <c r="C12" t="str">
        <f t="shared" si="0"/>
        <v>Apr-2024</v>
      </c>
      <c r="D12" t="s">
        <v>85</v>
      </c>
      <c r="E12" t="s">
        <v>86</v>
      </c>
      <c r="F12" t="str">
        <f t="shared" si="1"/>
        <v>SG</v>
      </c>
      <c r="G12">
        <f t="shared" si="2"/>
        <v>4</v>
      </c>
      <c r="H12" t="s">
        <v>51</v>
      </c>
      <c r="I12" t="s">
        <v>52</v>
      </c>
      <c r="J12">
        <f t="shared" si="3"/>
        <v>35</v>
      </c>
      <c r="K12" t="s">
        <v>53</v>
      </c>
      <c r="L12">
        <v>1</v>
      </c>
      <c r="M12">
        <v>149.99</v>
      </c>
      <c r="N12" t="s">
        <v>33</v>
      </c>
      <c r="O12" t="s">
        <v>58</v>
      </c>
      <c r="P12" t="s">
        <v>43</v>
      </c>
      <c r="Q12" s="2">
        <v>45103</v>
      </c>
      <c r="R12">
        <f t="shared" si="4"/>
        <v>149.99</v>
      </c>
      <c r="S12" t="str">
        <f t="shared" si="5"/>
        <v>Other</v>
      </c>
      <c r="AC12" s="8" t="str" cm="1">
        <f ca="1" t="array" ref="AC12">_xlfn.IFS(AB12=FALSE,"",AC12="",NOW(),TRUE,AC12)</f>
        <v/>
      </c>
      <c r="AE12" t="str">
        <v>Kevin Scott</v>
      </c>
      <c r="AF12">
        <f t="shared" si="6"/>
        <v>3259.87</v>
      </c>
    </row>
    <row r="13" spans="1:36">
      <c r="A13" t="s">
        <v>87</v>
      </c>
      <c r="B13" s="2">
        <v>45408</v>
      </c>
      <c r="C13" t="str">
        <f t="shared" si="0"/>
        <v>Apr-2024</v>
      </c>
      <c r="D13" t="s">
        <v>45</v>
      </c>
      <c r="E13" t="s">
        <v>46</v>
      </c>
      <c r="F13" t="str">
        <f t="shared" si="1"/>
        <v>KB</v>
      </c>
      <c r="G13">
        <f t="shared" si="2"/>
        <v>6</v>
      </c>
      <c r="H13" t="s">
        <v>51</v>
      </c>
      <c r="I13" t="s">
        <v>52</v>
      </c>
      <c r="J13">
        <f t="shared" si="3"/>
        <v>35</v>
      </c>
      <c r="K13" t="s">
        <v>53</v>
      </c>
      <c r="L13">
        <v>5</v>
      </c>
      <c r="M13">
        <v>149.99</v>
      </c>
      <c r="N13" t="s">
        <v>69</v>
      </c>
      <c r="O13" t="s">
        <v>47</v>
      </c>
      <c r="P13" t="s">
        <v>29</v>
      </c>
      <c r="Q13" s="2">
        <v>44830</v>
      </c>
      <c r="R13">
        <f t="shared" si="4"/>
        <v>749.95</v>
      </c>
      <c r="S13" t="str">
        <f t="shared" si="5"/>
        <v>Other</v>
      </c>
      <c r="AC13" s="8" t="str" cm="1">
        <f ca="1" t="array" ref="AC13">_xlfn.IFS(AB13=FALSE,"",AC13="",NOW(),TRUE,AC13)</f>
        <v/>
      </c>
      <c r="AE13" t="str">
        <v>Kathleen Bennett</v>
      </c>
      <c r="AF13">
        <f t="shared" si="6"/>
        <v>4309.81</v>
      </c>
      <c r="AJ13" s="3"/>
    </row>
    <row r="14" spans="1:36">
      <c r="A14" t="s">
        <v>88</v>
      </c>
      <c r="B14" s="2">
        <v>45408</v>
      </c>
      <c r="C14" t="str">
        <f t="shared" si="0"/>
        <v>Apr-2024</v>
      </c>
      <c r="D14" t="s">
        <v>89</v>
      </c>
      <c r="E14" t="s">
        <v>90</v>
      </c>
      <c r="F14" t="str">
        <f t="shared" si="1"/>
        <v>PR</v>
      </c>
      <c r="G14">
        <f t="shared" si="2"/>
        <v>5</v>
      </c>
      <c r="H14" t="s">
        <v>51</v>
      </c>
      <c r="I14" t="s">
        <v>52</v>
      </c>
      <c r="J14">
        <f t="shared" si="3"/>
        <v>35</v>
      </c>
      <c r="K14" t="s">
        <v>53</v>
      </c>
      <c r="L14">
        <v>3</v>
      </c>
      <c r="M14">
        <v>149.99</v>
      </c>
      <c r="N14" t="s">
        <v>27</v>
      </c>
      <c r="O14" t="s">
        <v>47</v>
      </c>
      <c r="P14" t="s">
        <v>34</v>
      </c>
      <c r="Q14" s="2">
        <v>44806</v>
      </c>
      <c r="R14">
        <f t="shared" si="4"/>
        <v>449.97</v>
      </c>
      <c r="S14" t="str">
        <f t="shared" si="5"/>
        <v>Other</v>
      </c>
      <c r="V14" s="4" t="s">
        <v>91</v>
      </c>
      <c r="W14" s="7"/>
      <c r="AC14" s="8" t="str" cm="1">
        <f ca="1" t="array" ref="AC14">_xlfn.IFS(AB14=FALSE,"",AC14="",NOW(),TRUE,AC14)</f>
        <v/>
      </c>
      <c r="AE14" t="str">
        <v>Michael Brown</v>
      </c>
      <c r="AF14">
        <f t="shared" si="6"/>
        <v>6169.74</v>
      </c>
      <c r="AJ14" s="3"/>
    </row>
    <row r="15" spans="1:36">
      <c r="A15" t="s">
        <v>92</v>
      </c>
      <c r="B15" s="2">
        <v>45409</v>
      </c>
      <c r="C15" t="str">
        <f t="shared" si="0"/>
        <v>Apr-2024</v>
      </c>
      <c r="D15" t="s">
        <v>93</v>
      </c>
      <c r="E15" t="s">
        <v>94</v>
      </c>
      <c r="F15" t="str">
        <f t="shared" si="1"/>
        <v>DG</v>
      </c>
      <c r="G15">
        <f t="shared" si="2"/>
        <v>2</v>
      </c>
      <c r="H15" t="s">
        <v>38</v>
      </c>
      <c r="I15" t="s">
        <v>39</v>
      </c>
      <c r="J15">
        <f t="shared" si="3"/>
        <v>29</v>
      </c>
      <c r="K15" t="s">
        <v>40</v>
      </c>
      <c r="L15">
        <v>3</v>
      </c>
      <c r="M15">
        <v>59.99</v>
      </c>
      <c r="N15" t="s">
        <v>33</v>
      </c>
      <c r="O15" t="s">
        <v>47</v>
      </c>
      <c r="P15" t="s">
        <v>43</v>
      </c>
      <c r="Q15" s="2">
        <v>45351</v>
      </c>
      <c r="R15">
        <f t="shared" si="4"/>
        <v>179.97</v>
      </c>
      <c r="S15" t="str">
        <f t="shared" si="5"/>
        <v>Other</v>
      </c>
      <c r="V15" s="1" t="s">
        <v>17</v>
      </c>
      <c r="W15" s="1" t="s">
        <v>6</v>
      </c>
      <c r="AB15" s="9"/>
      <c r="AE15" t="str">
        <v>Dorothy Nelson</v>
      </c>
      <c r="AF15">
        <f t="shared" si="6"/>
        <v>8269.79</v>
      </c>
      <c r="AJ15" s="3"/>
    </row>
    <row r="16" spans="1:36">
      <c r="A16" t="s">
        <v>95</v>
      </c>
      <c r="B16" s="2">
        <v>45409</v>
      </c>
      <c r="C16" t="str">
        <f t="shared" si="0"/>
        <v>Apr-2024</v>
      </c>
      <c r="D16" t="s">
        <v>96</v>
      </c>
      <c r="E16" t="s">
        <v>97</v>
      </c>
      <c r="F16" t="str">
        <f t="shared" si="1"/>
        <v>MR</v>
      </c>
      <c r="G16">
        <f t="shared" si="2"/>
        <v>2</v>
      </c>
      <c r="H16" t="s">
        <v>98</v>
      </c>
      <c r="I16" t="s">
        <v>99</v>
      </c>
      <c r="J16">
        <f t="shared" si="3"/>
        <v>31</v>
      </c>
      <c r="K16" t="s">
        <v>26</v>
      </c>
      <c r="L16">
        <v>3</v>
      </c>
      <c r="M16">
        <v>699.99</v>
      </c>
      <c r="N16" t="s">
        <v>33</v>
      </c>
      <c r="O16" t="s">
        <v>58</v>
      </c>
      <c r="P16" t="s">
        <v>29</v>
      </c>
      <c r="Q16" s="2">
        <v>44577</v>
      </c>
      <c r="R16">
        <f t="shared" si="4"/>
        <v>2099.97</v>
      </c>
      <c r="S16" t="str">
        <f t="shared" si="5"/>
        <v>High-Value Customer</v>
      </c>
      <c r="V16" t="s">
        <v>34</v>
      </c>
      <c r="W16" t="str" cm="1">
        <f t="array" ref="W16:W110">_xlfn._xlws.FILTER(E2:E251,P2:P251=V16,"Not Found")</f>
        <v>Joseph Jackson</v>
      </c>
      <c r="AB16" s="9"/>
      <c r="AE16" t="str">
        <v>Charles Allen</v>
      </c>
      <c r="AF16">
        <f t="shared" si="6"/>
        <v>5089.73</v>
      </c>
      <c r="AJ16" s="3"/>
    </row>
    <row r="17" spans="1:36">
      <c r="A17" t="s">
        <v>100</v>
      </c>
      <c r="B17" s="2">
        <v>45409</v>
      </c>
      <c r="C17" t="str">
        <f t="shared" si="0"/>
        <v>Apr-2024</v>
      </c>
      <c r="D17" t="s">
        <v>101</v>
      </c>
      <c r="E17" t="s">
        <v>102</v>
      </c>
      <c r="F17" t="str">
        <f t="shared" si="1"/>
        <v>GA</v>
      </c>
      <c r="G17">
        <f t="shared" si="2"/>
        <v>3</v>
      </c>
      <c r="H17" t="s">
        <v>77</v>
      </c>
      <c r="I17" t="s">
        <v>78</v>
      </c>
      <c r="J17">
        <f t="shared" si="3"/>
        <v>24</v>
      </c>
      <c r="K17" t="s">
        <v>26</v>
      </c>
      <c r="L17">
        <v>1</v>
      </c>
      <c r="M17">
        <v>899.99</v>
      </c>
      <c r="N17" t="s">
        <v>69</v>
      </c>
      <c r="O17" t="s">
        <v>47</v>
      </c>
      <c r="P17" t="s">
        <v>43</v>
      </c>
      <c r="Q17" s="2">
        <v>44920</v>
      </c>
      <c r="R17">
        <f t="shared" si="4"/>
        <v>899.99</v>
      </c>
      <c r="S17" t="str">
        <f t="shared" si="5"/>
        <v>Other</v>
      </c>
      <c r="W17" t="str">
        <v>Kathleen Bennett</v>
      </c>
      <c r="AE17" t="str">
        <v>Robert Thomas</v>
      </c>
      <c r="AF17">
        <f t="shared" si="6"/>
        <v>3509.9</v>
      </c>
      <c r="AJ17" s="3"/>
    </row>
    <row r="18" spans="1:36">
      <c r="A18" t="s">
        <v>103</v>
      </c>
      <c r="B18" s="2">
        <v>45410</v>
      </c>
      <c r="C18" t="str">
        <f t="shared" si="0"/>
        <v>Apr-2024</v>
      </c>
      <c r="D18" t="s">
        <v>104</v>
      </c>
      <c r="E18" t="s">
        <v>105</v>
      </c>
      <c r="F18" t="str">
        <f t="shared" si="1"/>
        <v>MC</v>
      </c>
      <c r="G18">
        <f t="shared" si="2"/>
        <v>12</v>
      </c>
      <c r="H18" t="s">
        <v>51</v>
      </c>
      <c r="I18" t="s">
        <v>52</v>
      </c>
      <c r="J18">
        <f t="shared" si="3"/>
        <v>35</v>
      </c>
      <c r="K18" t="s">
        <v>53</v>
      </c>
      <c r="L18">
        <v>4</v>
      </c>
      <c r="M18">
        <v>149.99</v>
      </c>
      <c r="N18" t="s">
        <v>69</v>
      </c>
      <c r="O18" t="s">
        <v>47</v>
      </c>
      <c r="P18" t="s">
        <v>34</v>
      </c>
      <c r="Q18" s="2">
        <v>45374</v>
      </c>
      <c r="R18">
        <f t="shared" si="4"/>
        <v>599.96</v>
      </c>
      <c r="S18" t="str">
        <f t="shared" si="5"/>
        <v>Other</v>
      </c>
      <c r="W18" t="str">
        <v>Michael Brown</v>
      </c>
      <c r="AB18" s="9"/>
      <c r="AE18" t="str">
        <v>Karen Hill</v>
      </c>
      <c r="AF18">
        <f t="shared" si="6"/>
        <v>8009.77</v>
      </c>
      <c r="AJ18" s="3"/>
    </row>
    <row r="19" spans="1:36">
      <c r="A19" t="s">
        <v>106</v>
      </c>
      <c r="B19" s="2">
        <v>45410</v>
      </c>
      <c r="C19" t="str">
        <f t="shared" si="0"/>
        <v>Apr-2024</v>
      </c>
      <c r="D19" t="s">
        <v>107</v>
      </c>
      <c r="E19" t="s">
        <v>108</v>
      </c>
      <c r="F19" t="str">
        <f t="shared" si="1"/>
        <v>MG</v>
      </c>
      <c r="G19">
        <f t="shared" si="2"/>
        <v>4</v>
      </c>
      <c r="H19" t="s">
        <v>98</v>
      </c>
      <c r="I19" t="s">
        <v>99</v>
      </c>
      <c r="J19">
        <f t="shared" si="3"/>
        <v>31</v>
      </c>
      <c r="K19" t="s">
        <v>26</v>
      </c>
      <c r="L19">
        <v>2</v>
      </c>
      <c r="M19">
        <v>699.99</v>
      </c>
      <c r="N19" t="s">
        <v>27</v>
      </c>
      <c r="O19" t="s">
        <v>47</v>
      </c>
      <c r="P19" t="s">
        <v>29</v>
      </c>
      <c r="Q19" s="2">
        <v>44781</v>
      </c>
      <c r="R19">
        <f t="shared" si="4"/>
        <v>1399.98</v>
      </c>
      <c r="S19" t="str">
        <f t="shared" si="5"/>
        <v>Other</v>
      </c>
      <c r="W19" t="str">
        <v>Karen Hill</v>
      </c>
      <c r="Z19" s="10" t="s">
        <v>109</v>
      </c>
      <c r="AA19" s="10"/>
      <c r="AB19" s="10"/>
      <c r="AC19" s="10"/>
      <c r="AE19" t="str">
        <v>Susan Green</v>
      </c>
      <c r="AF19">
        <f t="shared" si="6"/>
        <v>1979.89</v>
      </c>
      <c r="AJ19" s="3"/>
    </row>
    <row r="20" spans="1:36">
      <c r="A20" t="s">
        <v>110</v>
      </c>
      <c r="B20" s="2">
        <v>45410</v>
      </c>
      <c r="C20" t="str">
        <f t="shared" si="0"/>
        <v>Apr-2024</v>
      </c>
      <c r="D20" t="s">
        <v>104</v>
      </c>
      <c r="E20" t="s">
        <v>105</v>
      </c>
      <c r="F20" t="str">
        <f t="shared" si="1"/>
        <v>MC</v>
      </c>
      <c r="G20">
        <f t="shared" si="2"/>
        <v>12</v>
      </c>
      <c r="H20" t="s">
        <v>77</v>
      </c>
      <c r="I20" t="s">
        <v>78</v>
      </c>
      <c r="J20">
        <f t="shared" si="3"/>
        <v>24</v>
      </c>
      <c r="K20" t="s">
        <v>26</v>
      </c>
      <c r="L20">
        <v>4</v>
      </c>
      <c r="M20">
        <v>899.99</v>
      </c>
      <c r="N20" t="s">
        <v>33</v>
      </c>
      <c r="O20" t="s">
        <v>58</v>
      </c>
      <c r="P20" t="s">
        <v>43</v>
      </c>
      <c r="Q20" s="2">
        <v>45327</v>
      </c>
      <c r="R20">
        <f t="shared" si="4"/>
        <v>3599.96</v>
      </c>
      <c r="S20" t="str">
        <f t="shared" si="5"/>
        <v>High-Value Customer</v>
      </c>
      <c r="W20" t="str">
        <v>Peter Richardson</v>
      </c>
      <c r="AA20" s="1" t="s">
        <v>13</v>
      </c>
      <c r="AB20" s="1" t="s">
        <v>14</v>
      </c>
      <c r="AC20" s="1" t="s">
        <v>19</v>
      </c>
      <c r="AE20" t="str">
        <v>Peter Richardson</v>
      </c>
      <c r="AF20">
        <f t="shared" si="6"/>
        <v>5949.85</v>
      </c>
      <c r="AJ20" s="3"/>
    </row>
    <row r="21" ht="15.75" customHeight="1" spans="1:36">
      <c r="A21" t="s">
        <v>111</v>
      </c>
      <c r="B21" s="2">
        <v>45410</v>
      </c>
      <c r="C21" t="str">
        <f t="shared" si="0"/>
        <v>Apr-2024</v>
      </c>
      <c r="D21" t="s">
        <v>112</v>
      </c>
      <c r="E21" t="s">
        <v>113</v>
      </c>
      <c r="F21" t="str">
        <f t="shared" si="1"/>
        <v>VS</v>
      </c>
      <c r="G21">
        <f t="shared" si="2"/>
        <v>6</v>
      </c>
      <c r="H21" t="s">
        <v>24</v>
      </c>
      <c r="I21" t="s">
        <v>25</v>
      </c>
      <c r="J21">
        <f t="shared" si="3"/>
        <v>26</v>
      </c>
      <c r="K21" t="s">
        <v>26</v>
      </c>
      <c r="L21">
        <v>3</v>
      </c>
      <c r="M21">
        <v>249.99</v>
      </c>
      <c r="N21" t="s">
        <v>33</v>
      </c>
      <c r="O21" t="s">
        <v>47</v>
      </c>
      <c r="P21" t="s">
        <v>34</v>
      </c>
      <c r="Q21" s="2">
        <v>45224</v>
      </c>
      <c r="R21">
        <f t="shared" si="4"/>
        <v>749.97</v>
      </c>
      <c r="S21" t="str">
        <f t="shared" si="5"/>
        <v>Other</v>
      </c>
      <c r="W21" t="str">
        <v>Mark Carter</v>
      </c>
      <c r="Z21" s="1" t="s">
        <v>114</v>
      </c>
      <c r="AA21">
        <v>3</v>
      </c>
      <c r="AB21">
        <v>266.666666666667</v>
      </c>
      <c r="AC21">
        <f>AA21*AB21</f>
        <v>800</v>
      </c>
      <c r="AE21" t="str">
        <v>Dennis Gray</v>
      </c>
      <c r="AF21">
        <f t="shared" si="6"/>
        <v>479.92</v>
      </c>
      <c r="AJ21" s="3"/>
    </row>
    <row r="22" ht="15.75" customHeight="1" spans="1:36">
      <c r="A22" t="s">
        <v>115</v>
      </c>
      <c r="B22" s="2">
        <v>45412</v>
      </c>
      <c r="C22" t="str">
        <f t="shared" si="0"/>
        <v>Apr-2024</v>
      </c>
      <c r="D22" t="s">
        <v>116</v>
      </c>
      <c r="E22" t="s">
        <v>117</v>
      </c>
      <c r="F22" t="str">
        <f t="shared" si="1"/>
        <v>BY</v>
      </c>
      <c r="G22">
        <f t="shared" si="2"/>
        <v>5</v>
      </c>
      <c r="H22" t="s">
        <v>98</v>
      </c>
      <c r="I22" t="s">
        <v>99</v>
      </c>
      <c r="J22">
        <f t="shared" si="3"/>
        <v>31</v>
      </c>
      <c r="K22" t="s">
        <v>26</v>
      </c>
      <c r="L22">
        <v>5</v>
      </c>
      <c r="M22">
        <v>699.99</v>
      </c>
      <c r="N22" t="s">
        <v>27</v>
      </c>
      <c r="O22" t="s">
        <v>58</v>
      </c>
      <c r="P22" t="s">
        <v>29</v>
      </c>
      <c r="Q22" s="2">
        <v>45167</v>
      </c>
      <c r="R22">
        <f t="shared" si="4"/>
        <v>3499.95</v>
      </c>
      <c r="S22" t="str">
        <f t="shared" si="5"/>
        <v>High-Value Customer</v>
      </c>
      <c r="W22" t="str">
        <v>Virginia Sanders</v>
      </c>
      <c r="Z22" s="1" t="s">
        <v>118</v>
      </c>
      <c r="AA22">
        <v>3</v>
      </c>
      <c r="AB22">
        <v>249.99</v>
      </c>
      <c r="AC22">
        <f>AA22*AB22</f>
        <v>749.97</v>
      </c>
      <c r="AE22" t="str">
        <v>Michelle Rogers</v>
      </c>
      <c r="AF22">
        <f t="shared" si="6"/>
        <v>4199.94</v>
      </c>
      <c r="AJ22" s="3"/>
    </row>
    <row r="23" ht="15.75" customHeight="1" spans="1:36">
      <c r="A23" t="s">
        <v>119</v>
      </c>
      <c r="B23" s="2">
        <v>45413</v>
      </c>
      <c r="C23" t="str">
        <f t="shared" si="0"/>
        <v>May-2024</v>
      </c>
      <c r="D23" t="s">
        <v>120</v>
      </c>
      <c r="E23" t="s">
        <v>121</v>
      </c>
      <c r="F23" t="str">
        <f t="shared" si="1"/>
        <v>PM</v>
      </c>
      <c r="G23">
        <f t="shared" si="2"/>
        <v>8</v>
      </c>
      <c r="H23" t="s">
        <v>98</v>
      </c>
      <c r="I23" t="s">
        <v>99</v>
      </c>
      <c r="J23">
        <f t="shared" si="3"/>
        <v>31</v>
      </c>
      <c r="K23" t="s">
        <v>26</v>
      </c>
      <c r="L23">
        <v>4</v>
      </c>
      <c r="M23">
        <v>699.99</v>
      </c>
      <c r="N23" t="s">
        <v>27</v>
      </c>
      <c r="O23" t="s">
        <v>79</v>
      </c>
      <c r="P23" t="s">
        <v>43</v>
      </c>
      <c r="Q23" s="2">
        <v>44409</v>
      </c>
      <c r="R23">
        <f t="shared" si="4"/>
        <v>2799.96</v>
      </c>
      <c r="S23" t="str">
        <f t="shared" si="5"/>
        <v>High-Value Customer</v>
      </c>
      <c r="W23" t="str">
        <v>Mark Carter</v>
      </c>
      <c r="AE23" t="str">
        <v>George Adams</v>
      </c>
      <c r="AF23">
        <f t="shared" si="6"/>
        <v>3779.93</v>
      </c>
      <c r="AJ23" s="3"/>
    </row>
    <row r="24" ht="15.75" customHeight="1" spans="1:36">
      <c r="A24" t="s">
        <v>122</v>
      </c>
      <c r="B24" s="2">
        <v>45415</v>
      </c>
      <c r="C24" t="str">
        <f t="shared" si="0"/>
        <v>May-2024</v>
      </c>
      <c r="D24" t="s">
        <v>123</v>
      </c>
      <c r="E24" t="s">
        <v>124</v>
      </c>
      <c r="F24" t="str">
        <f t="shared" si="1"/>
        <v>CP</v>
      </c>
      <c r="G24">
        <f t="shared" si="2"/>
        <v>5</v>
      </c>
      <c r="H24" t="s">
        <v>24</v>
      </c>
      <c r="I24" t="s">
        <v>25</v>
      </c>
      <c r="J24">
        <f t="shared" si="3"/>
        <v>26</v>
      </c>
      <c r="K24" t="s">
        <v>26</v>
      </c>
      <c r="L24">
        <v>4</v>
      </c>
      <c r="M24">
        <v>249.99</v>
      </c>
      <c r="N24" t="s">
        <v>41</v>
      </c>
      <c r="O24" t="s">
        <v>47</v>
      </c>
      <c r="P24" t="s">
        <v>43</v>
      </c>
      <c r="Q24" s="2">
        <v>44468</v>
      </c>
      <c r="R24">
        <f t="shared" si="4"/>
        <v>999.96</v>
      </c>
      <c r="S24" t="str">
        <f t="shared" si="5"/>
        <v>Other</v>
      </c>
      <c r="W24" t="str">
        <v>Linda Martin</v>
      </c>
      <c r="AE24" t="str">
        <v>Mark Carter</v>
      </c>
      <c r="AF24">
        <f t="shared" si="6"/>
        <v>15659.65</v>
      </c>
      <c r="AJ24" s="3"/>
    </row>
    <row r="25" ht="15.75" customHeight="1" spans="1:36">
      <c r="A25" t="s">
        <v>125</v>
      </c>
      <c r="B25" s="2">
        <v>45416</v>
      </c>
      <c r="C25" t="str">
        <f t="shared" si="0"/>
        <v>May-2024</v>
      </c>
      <c r="D25" t="s">
        <v>104</v>
      </c>
      <c r="E25" t="s">
        <v>105</v>
      </c>
      <c r="F25" t="str">
        <f t="shared" si="1"/>
        <v>MC</v>
      </c>
      <c r="G25">
        <f t="shared" si="2"/>
        <v>12</v>
      </c>
      <c r="H25" t="s">
        <v>126</v>
      </c>
      <c r="I25" t="s">
        <v>127</v>
      </c>
      <c r="J25">
        <f t="shared" si="3"/>
        <v>26</v>
      </c>
      <c r="K25" t="s">
        <v>53</v>
      </c>
      <c r="L25">
        <v>4</v>
      </c>
      <c r="M25">
        <v>299.99</v>
      </c>
      <c r="N25" t="s">
        <v>27</v>
      </c>
      <c r="O25" t="s">
        <v>58</v>
      </c>
      <c r="P25" t="s">
        <v>34</v>
      </c>
      <c r="Q25" s="2">
        <v>44716</v>
      </c>
      <c r="R25">
        <f t="shared" si="4"/>
        <v>1199.96</v>
      </c>
      <c r="S25" t="str">
        <f t="shared" si="5"/>
        <v>Other</v>
      </c>
      <c r="W25" t="str">
        <v>Patricia Moore</v>
      </c>
      <c r="AE25" t="str">
        <v>Maria Garcia</v>
      </c>
      <c r="AF25">
        <f t="shared" si="6"/>
        <v>1909.93</v>
      </c>
      <c r="AJ25" s="3"/>
    </row>
    <row r="26" ht="15.75" customHeight="1" spans="1:36">
      <c r="A26" t="s">
        <v>128</v>
      </c>
      <c r="B26" s="2">
        <v>45422</v>
      </c>
      <c r="C26" t="str">
        <f t="shared" si="0"/>
        <v>May-2024</v>
      </c>
      <c r="D26" t="s">
        <v>129</v>
      </c>
      <c r="E26" t="s">
        <v>130</v>
      </c>
      <c r="F26" t="str">
        <f t="shared" si="1"/>
        <v>NC</v>
      </c>
      <c r="G26">
        <f t="shared" si="2"/>
        <v>6</v>
      </c>
      <c r="H26" t="s">
        <v>24</v>
      </c>
      <c r="I26" t="s">
        <v>25</v>
      </c>
      <c r="J26">
        <f t="shared" si="3"/>
        <v>26</v>
      </c>
      <c r="K26" t="s">
        <v>26</v>
      </c>
      <c r="L26">
        <v>5</v>
      </c>
      <c r="M26">
        <v>249.99</v>
      </c>
      <c r="N26" t="s">
        <v>33</v>
      </c>
      <c r="O26" t="s">
        <v>58</v>
      </c>
      <c r="P26" t="s">
        <v>43</v>
      </c>
      <c r="Q26" s="2">
        <v>44525</v>
      </c>
      <c r="R26">
        <f t="shared" si="4"/>
        <v>1249.95</v>
      </c>
      <c r="S26" t="str">
        <f t="shared" si="5"/>
        <v>Other</v>
      </c>
      <c r="W26" t="str">
        <v>Emma Wilson</v>
      </c>
      <c r="AA26" s="4" t="s">
        <v>131</v>
      </c>
      <c r="AB26" s="4"/>
      <c r="AC26" s="4"/>
      <c r="AE26" t="str">
        <v>Virginia Sanders</v>
      </c>
      <c r="AF26">
        <f t="shared" si="6"/>
        <v>4789.79</v>
      </c>
      <c r="AJ26" s="3"/>
    </row>
    <row r="27" ht="15.75" customHeight="1" spans="1:36">
      <c r="A27" t="s">
        <v>132</v>
      </c>
      <c r="B27" s="2">
        <v>45424</v>
      </c>
      <c r="C27" t="str">
        <f t="shared" si="0"/>
        <v>May-2024</v>
      </c>
      <c r="D27" t="s">
        <v>85</v>
      </c>
      <c r="E27" t="s">
        <v>86</v>
      </c>
      <c r="F27" t="str">
        <f t="shared" si="1"/>
        <v>SG</v>
      </c>
      <c r="G27">
        <f t="shared" si="2"/>
        <v>4</v>
      </c>
      <c r="H27" t="s">
        <v>126</v>
      </c>
      <c r="I27" t="s">
        <v>127</v>
      </c>
      <c r="J27">
        <f t="shared" si="3"/>
        <v>26</v>
      </c>
      <c r="K27" t="s">
        <v>53</v>
      </c>
      <c r="L27">
        <v>5</v>
      </c>
      <c r="M27">
        <v>299.99</v>
      </c>
      <c r="N27" t="s">
        <v>41</v>
      </c>
      <c r="O27" t="s">
        <v>79</v>
      </c>
      <c r="P27" t="s">
        <v>29</v>
      </c>
      <c r="Q27" s="2">
        <v>45168</v>
      </c>
      <c r="R27">
        <f t="shared" si="4"/>
        <v>1499.95</v>
      </c>
      <c r="S27" t="str">
        <f t="shared" si="5"/>
        <v>Other</v>
      </c>
      <c r="W27" t="str">
        <v>Kevin Scott</v>
      </c>
      <c r="AA27" s="11" t="str" cm="1">
        <f t="array" ref="AA27">INDEX(I:I,MATCH(MAX(J:J),J:J,0))</f>
        <v>Bookshelf</v>
      </c>
      <c r="AB27" s="11"/>
      <c r="AC27">
        <f>MAX(J:J)</f>
        <v>35</v>
      </c>
      <c r="AE27" t="str">
        <v>Barbara Young</v>
      </c>
      <c r="AF27">
        <f t="shared" si="6"/>
        <v>10649.8</v>
      </c>
      <c r="AJ27" s="3"/>
    </row>
    <row r="28" ht="15.75" customHeight="1" spans="1:36">
      <c r="A28" t="s">
        <v>133</v>
      </c>
      <c r="B28" s="2">
        <v>45424</v>
      </c>
      <c r="C28" t="str">
        <f t="shared" si="0"/>
        <v>May-2024</v>
      </c>
      <c r="D28" t="s">
        <v>134</v>
      </c>
      <c r="E28" t="s">
        <v>135</v>
      </c>
      <c r="F28" t="str">
        <f t="shared" si="1"/>
        <v>LM</v>
      </c>
      <c r="G28">
        <f t="shared" si="2"/>
        <v>4</v>
      </c>
      <c r="H28" t="s">
        <v>136</v>
      </c>
      <c r="I28" t="s">
        <v>137</v>
      </c>
      <c r="J28">
        <f t="shared" si="3"/>
        <v>14</v>
      </c>
      <c r="K28" t="s">
        <v>40</v>
      </c>
      <c r="L28">
        <v>3</v>
      </c>
      <c r="M28">
        <v>79.99</v>
      </c>
      <c r="N28" t="s">
        <v>41</v>
      </c>
      <c r="O28" t="s">
        <v>79</v>
      </c>
      <c r="P28" t="s">
        <v>34</v>
      </c>
      <c r="Q28" s="2">
        <v>45012</v>
      </c>
      <c r="R28">
        <f t="shared" si="4"/>
        <v>239.97</v>
      </c>
      <c r="S28" t="str">
        <f t="shared" si="5"/>
        <v>Other</v>
      </c>
      <c r="W28" t="str">
        <v>Steven Turner</v>
      </c>
      <c r="AE28" t="str">
        <v>Patricia Moore</v>
      </c>
      <c r="AF28">
        <f t="shared" si="6"/>
        <v>9799.73</v>
      </c>
      <c r="AJ28" s="3"/>
    </row>
    <row r="29" ht="15.75" customHeight="1" spans="1:36">
      <c r="A29" t="s">
        <v>138</v>
      </c>
      <c r="B29" s="2">
        <v>45424</v>
      </c>
      <c r="C29" t="str">
        <f t="shared" si="0"/>
        <v>May-2024</v>
      </c>
      <c r="D29" t="s">
        <v>120</v>
      </c>
      <c r="E29" t="s">
        <v>121</v>
      </c>
      <c r="F29" t="str">
        <f t="shared" si="1"/>
        <v>PM</v>
      </c>
      <c r="G29">
        <f t="shared" si="2"/>
        <v>8</v>
      </c>
      <c r="H29" t="s">
        <v>139</v>
      </c>
      <c r="I29" t="s">
        <v>140</v>
      </c>
      <c r="J29">
        <f t="shared" si="3"/>
        <v>34</v>
      </c>
      <c r="K29" t="s">
        <v>26</v>
      </c>
      <c r="L29">
        <v>5</v>
      </c>
      <c r="M29">
        <v>89.99</v>
      </c>
      <c r="N29" t="s">
        <v>27</v>
      </c>
      <c r="O29" t="s">
        <v>47</v>
      </c>
      <c r="P29" t="s">
        <v>34</v>
      </c>
      <c r="Q29" s="2">
        <v>44919</v>
      </c>
      <c r="R29">
        <f t="shared" si="4"/>
        <v>449.95</v>
      </c>
      <c r="S29" t="str">
        <f t="shared" si="5"/>
        <v>Other</v>
      </c>
      <c r="W29" t="str">
        <v>Harry Morgan</v>
      </c>
      <c r="AE29" t="str">
        <v>Cynthia Price</v>
      </c>
      <c r="AF29">
        <f t="shared" si="6"/>
        <v>3769.83</v>
      </c>
      <c r="AJ29" s="3"/>
    </row>
    <row r="30" ht="15.75" customHeight="1" spans="1:36">
      <c r="A30" t="s">
        <v>141</v>
      </c>
      <c r="B30" s="2">
        <v>45425</v>
      </c>
      <c r="C30" t="str">
        <f t="shared" si="0"/>
        <v>May-2024</v>
      </c>
      <c r="D30" t="s">
        <v>142</v>
      </c>
      <c r="E30" t="s">
        <v>143</v>
      </c>
      <c r="F30" t="str">
        <f t="shared" si="1"/>
        <v>HR</v>
      </c>
      <c r="G30">
        <f t="shared" si="2"/>
        <v>7</v>
      </c>
      <c r="H30" t="s">
        <v>38</v>
      </c>
      <c r="I30" t="s">
        <v>39</v>
      </c>
      <c r="J30">
        <f t="shared" si="3"/>
        <v>29</v>
      </c>
      <c r="K30" t="s">
        <v>40</v>
      </c>
      <c r="L30">
        <v>2</v>
      </c>
      <c r="M30">
        <v>59.99</v>
      </c>
      <c r="N30" t="s">
        <v>69</v>
      </c>
      <c r="O30" t="s">
        <v>28</v>
      </c>
      <c r="P30" t="s">
        <v>43</v>
      </c>
      <c r="Q30" s="2">
        <v>45214</v>
      </c>
      <c r="R30">
        <f t="shared" si="4"/>
        <v>119.98</v>
      </c>
      <c r="S30" t="str">
        <f t="shared" si="5"/>
        <v>Other</v>
      </c>
      <c r="W30" t="str">
        <v>Michael Brown</v>
      </c>
      <c r="AE30" t="str">
        <v>Nancy Collins</v>
      </c>
      <c r="AF30">
        <f t="shared" si="6"/>
        <v>4189.77</v>
      </c>
      <c r="AJ30" s="3"/>
    </row>
    <row r="31" ht="15.75" customHeight="1" spans="1:32">
      <c r="A31" t="s">
        <v>144</v>
      </c>
      <c r="B31" s="2">
        <v>45427</v>
      </c>
      <c r="C31" t="str">
        <f t="shared" si="0"/>
        <v>May-2024</v>
      </c>
      <c r="D31" t="s">
        <v>145</v>
      </c>
      <c r="E31" t="s">
        <v>146</v>
      </c>
      <c r="F31" t="str">
        <f t="shared" si="1"/>
        <v>EM</v>
      </c>
      <c r="G31">
        <f t="shared" si="2"/>
        <v>6</v>
      </c>
      <c r="H31" t="s">
        <v>38</v>
      </c>
      <c r="I31" t="s">
        <v>39</v>
      </c>
      <c r="J31">
        <f t="shared" si="3"/>
        <v>29</v>
      </c>
      <c r="K31" t="s">
        <v>40</v>
      </c>
      <c r="L31">
        <v>4</v>
      </c>
      <c r="M31">
        <v>59.99</v>
      </c>
      <c r="N31" t="s">
        <v>69</v>
      </c>
      <c r="O31" t="s">
        <v>79</v>
      </c>
      <c r="P31" t="s">
        <v>43</v>
      </c>
      <c r="Q31" s="2">
        <v>44867</v>
      </c>
      <c r="R31">
        <f t="shared" si="4"/>
        <v>239.96</v>
      </c>
      <c r="S31" t="str">
        <f t="shared" si="5"/>
        <v>Other</v>
      </c>
      <c r="W31" t="str">
        <v>Lisa Anderson</v>
      </c>
      <c r="AE31" t="str">
        <v>Linda Martin</v>
      </c>
      <c r="AF31">
        <f t="shared" si="6"/>
        <v>1289.9</v>
      </c>
    </row>
    <row r="32" ht="15.75" customHeight="1" spans="1:32">
      <c r="A32" t="s">
        <v>147</v>
      </c>
      <c r="B32" s="2">
        <v>45427</v>
      </c>
      <c r="C32" t="str">
        <f t="shared" si="0"/>
        <v>May-2024</v>
      </c>
      <c r="D32" t="s">
        <v>67</v>
      </c>
      <c r="E32" t="s">
        <v>68</v>
      </c>
      <c r="F32" t="str">
        <f t="shared" si="1"/>
        <v>CA</v>
      </c>
      <c r="G32">
        <f t="shared" si="2"/>
        <v>9</v>
      </c>
      <c r="H32" t="s">
        <v>148</v>
      </c>
      <c r="I32" t="s">
        <v>149</v>
      </c>
      <c r="J32">
        <f t="shared" si="3"/>
        <v>15</v>
      </c>
      <c r="K32" t="s">
        <v>53</v>
      </c>
      <c r="L32">
        <v>5</v>
      </c>
      <c r="M32">
        <v>199.99</v>
      </c>
      <c r="N32" t="s">
        <v>27</v>
      </c>
      <c r="O32" t="s">
        <v>42</v>
      </c>
      <c r="P32" t="s">
        <v>43</v>
      </c>
      <c r="Q32" s="2">
        <v>44412</v>
      </c>
      <c r="R32">
        <f t="shared" si="4"/>
        <v>999.95</v>
      </c>
      <c r="S32" t="str">
        <f t="shared" si="5"/>
        <v>Other</v>
      </c>
      <c r="W32" t="str">
        <v>Patricia Moore</v>
      </c>
      <c r="AE32" t="str">
        <v>Helen Roberts</v>
      </c>
      <c r="AF32">
        <f t="shared" si="6"/>
        <v>6459.79</v>
      </c>
    </row>
    <row r="33" ht="15.75" customHeight="1" spans="1:32">
      <c r="A33" t="s">
        <v>150</v>
      </c>
      <c r="B33" s="2">
        <v>45428</v>
      </c>
      <c r="C33" t="str">
        <f t="shared" si="0"/>
        <v>May-2024</v>
      </c>
      <c r="D33" t="s">
        <v>151</v>
      </c>
      <c r="E33" t="s">
        <v>152</v>
      </c>
      <c r="F33" t="str">
        <f t="shared" si="1"/>
        <v>LA</v>
      </c>
      <c r="G33">
        <f t="shared" si="2"/>
        <v>5</v>
      </c>
      <c r="H33" t="s">
        <v>51</v>
      </c>
      <c r="I33" t="s">
        <v>52</v>
      </c>
      <c r="J33">
        <f t="shared" si="3"/>
        <v>35</v>
      </c>
      <c r="K33" t="s">
        <v>53</v>
      </c>
      <c r="L33">
        <v>2</v>
      </c>
      <c r="M33">
        <v>149.99</v>
      </c>
      <c r="N33" t="s">
        <v>33</v>
      </c>
      <c r="O33" t="s">
        <v>58</v>
      </c>
      <c r="P33" t="s">
        <v>29</v>
      </c>
      <c r="Q33" s="2">
        <v>44823</v>
      </c>
      <c r="R33">
        <f t="shared" si="4"/>
        <v>299.98</v>
      </c>
      <c r="S33" t="str">
        <f t="shared" si="5"/>
        <v>Other</v>
      </c>
      <c r="W33" t="str">
        <v>Edward Mitchell</v>
      </c>
      <c r="AE33" t="str">
        <v>Edward Mitchell</v>
      </c>
      <c r="AF33">
        <f t="shared" si="6"/>
        <v>11919.77</v>
      </c>
    </row>
    <row r="34" ht="15.75" customHeight="1" spans="1:32">
      <c r="A34" t="s">
        <v>153</v>
      </c>
      <c r="B34" s="2">
        <v>45430</v>
      </c>
      <c r="C34" t="str">
        <f t="shared" si="0"/>
        <v>May-2024</v>
      </c>
      <c r="D34" t="s">
        <v>154</v>
      </c>
      <c r="E34" t="s">
        <v>155</v>
      </c>
      <c r="F34" t="str">
        <f t="shared" si="1"/>
        <v>EW</v>
      </c>
      <c r="G34">
        <f t="shared" si="2"/>
        <v>5</v>
      </c>
      <c r="H34" t="s">
        <v>51</v>
      </c>
      <c r="I34" t="s">
        <v>52</v>
      </c>
      <c r="J34">
        <f t="shared" si="3"/>
        <v>35</v>
      </c>
      <c r="K34" t="s">
        <v>53</v>
      </c>
      <c r="L34">
        <v>3</v>
      </c>
      <c r="M34">
        <v>149.99</v>
      </c>
      <c r="N34" t="s">
        <v>33</v>
      </c>
      <c r="O34" t="s">
        <v>58</v>
      </c>
      <c r="P34" t="s">
        <v>34</v>
      </c>
      <c r="Q34" s="2">
        <v>45068</v>
      </c>
      <c r="R34">
        <f t="shared" si="4"/>
        <v>449.97</v>
      </c>
      <c r="S34" t="str">
        <f t="shared" si="5"/>
        <v>Other</v>
      </c>
      <c r="W34" t="str">
        <v>Betty Campbell</v>
      </c>
      <c r="AE34" t="str">
        <v>Lisa Anderson</v>
      </c>
      <c r="AF34">
        <f t="shared" si="6"/>
        <v>2039.8</v>
      </c>
    </row>
    <row r="35" ht="15.75" customHeight="1" spans="1:32">
      <c r="A35" t="s">
        <v>156</v>
      </c>
      <c r="B35" s="2">
        <v>45432</v>
      </c>
      <c r="C35" t="str">
        <f t="shared" si="0"/>
        <v>May-2024</v>
      </c>
      <c r="D35" t="s">
        <v>36</v>
      </c>
      <c r="E35" t="s">
        <v>37</v>
      </c>
      <c r="F35" t="str">
        <f t="shared" si="1"/>
        <v>KS</v>
      </c>
      <c r="G35">
        <f t="shared" si="2"/>
        <v>6</v>
      </c>
      <c r="H35" t="s">
        <v>77</v>
      </c>
      <c r="I35" t="s">
        <v>78</v>
      </c>
      <c r="J35">
        <f t="shared" si="3"/>
        <v>24</v>
      </c>
      <c r="K35" t="s">
        <v>26</v>
      </c>
      <c r="L35">
        <v>1</v>
      </c>
      <c r="M35">
        <v>899.99</v>
      </c>
      <c r="N35" t="s">
        <v>33</v>
      </c>
      <c r="O35" t="s">
        <v>58</v>
      </c>
      <c r="P35" t="s">
        <v>34</v>
      </c>
      <c r="Q35" s="2">
        <v>44578</v>
      </c>
      <c r="R35">
        <f t="shared" si="4"/>
        <v>899.99</v>
      </c>
      <c r="S35" t="str">
        <f t="shared" si="5"/>
        <v>Other</v>
      </c>
      <c r="W35" t="str">
        <v>Kevin Scott</v>
      </c>
      <c r="AE35" t="str">
        <v>Emma Wilson</v>
      </c>
      <c r="AF35">
        <f t="shared" si="6"/>
        <v>1229.88</v>
      </c>
    </row>
    <row r="36" ht="15.75" customHeight="1" spans="1:32">
      <c r="A36" t="s">
        <v>157</v>
      </c>
      <c r="B36" s="2">
        <v>45434</v>
      </c>
      <c r="C36" t="str">
        <f t="shared" si="0"/>
        <v>May-2024</v>
      </c>
      <c r="D36" t="s">
        <v>120</v>
      </c>
      <c r="E36" t="s">
        <v>121</v>
      </c>
      <c r="F36" t="str">
        <f t="shared" si="1"/>
        <v>PM</v>
      </c>
      <c r="G36">
        <f t="shared" si="2"/>
        <v>8</v>
      </c>
      <c r="H36" t="s">
        <v>126</v>
      </c>
      <c r="I36" t="s">
        <v>127</v>
      </c>
      <c r="J36">
        <f t="shared" si="3"/>
        <v>26</v>
      </c>
      <c r="K36" t="s">
        <v>53</v>
      </c>
      <c r="L36">
        <v>3</v>
      </c>
      <c r="M36">
        <v>299.99</v>
      </c>
      <c r="N36" t="s">
        <v>33</v>
      </c>
      <c r="O36" t="s">
        <v>79</v>
      </c>
      <c r="P36" t="s">
        <v>29</v>
      </c>
      <c r="Q36" s="2">
        <v>44824</v>
      </c>
      <c r="R36">
        <f t="shared" si="4"/>
        <v>899.97</v>
      </c>
      <c r="S36" t="str">
        <f t="shared" si="5"/>
        <v>Other</v>
      </c>
      <c r="W36" t="str">
        <v>Kathleen Bennett</v>
      </c>
      <c r="AE36" t="str">
        <v>Steven Turner</v>
      </c>
      <c r="AF36">
        <f t="shared" si="6"/>
        <v>2649.83</v>
      </c>
    </row>
    <row r="37" ht="15.75" customHeight="1" spans="1:32">
      <c r="A37" t="s">
        <v>158</v>
      </c>
      <c r="B37" s="2">
        <v>45435</v>
      </c>
      <c r="C37" t="str">
        <f t="shared" si="0"/>
        <v>May-2024</v>
      </c>
      <c r="D37" t="s">
        <v>151</v>
      </c>
      <c r="E37" t="s">
        <v>152</v>
      </c>
      <c r="F37" t="str">
        <f t="shared" si="1"/>
        <v>LA</v>
      </c>
      <c r="G37">
        <f t="shared" si="2"/>
        <v>5</v>
      </c>
      <c r="H37" t="s">
        <v>136</v>
      </c>
      <c r="I37" t="s">
        <v>137</v>
      </c>
      <c r="J37">
        <f t="shared" si="3"/>
        <v>14</v>
      </c>
      <c r="K37" t="s">
        <v>40</v>
      </c>
      <c r="L37">
        <v>3</v>
      </c>
      <c r="M37">
        <v>79.99</v>
      </c>
      <c r="N37" t="s">
        <v>27</v>
      </c>
      <c r="O37" t="s">
        <v>42</v>
      </c>
      <c r="P37" t="s">
        <v>29</v>
      </c>
      <c r="Q37" s="2">
        <v>45046</v>
      </c>
      <c r="R37">
        <f t="shared" si="4"/>
        <v>239.97</v>
      </c>
      <c r="S37" t="str">
        <f t="shared" si="5"/>
        <v>Other</v>
      </c>
      <c r="W37" t="str">
        <v>Patricia Moore</v>
      </c>
      <c r="AE37" t="str">
        <v>Jennifer Taylor</v>
      </c>
      <c r="AF37">
        <f t="shared" si="6"/>
        <v>4739.85</v>
      </c>
    </row>
    <row r="38" ht="15.75" customHeight="1" spans="1:32">
      <c r="A38" t="s">
        <v>159</v>
      </c>
      <c r="B38" s="2">
        <v>45438</v>
      </c>
      <c r="C38" t="str">
        <f t="shared" si="0"/>
        <v>May-2024</v>
      </c>
      <c r="D38" t="s">
        <v>160</v>
      </c>
      <c r="E38" t="s">
        <v>161</v>
      </c>
      <c r="F38" t="str">
        <f t="shared" si="1"/>
        <v>ST</v>
      </c>
      <c r="G38">
        <f t="shared" si="2"/>
        <v>6</v>
      </c>
      <c r="H38" t="s">
        <v>148</v>
      </c>
      <c r="I38" t="s">
        <v>149</v>
      </c>
      <c r="J38">
        <f t="shared" si="3"/>
        <v>15</v>
      </c>
      <c r="K38" t="s">
        <v>53</v>
      </c>
      <c r="L38">
        <v>3</v>
      </c>
      <c r="M38">
        <v>199.99</v>
      </c>
      <c r="N38" t="s">
        <v>33</v>
      </c>
      <c r="O38" t="s">
        <v>47</v>
      </c>
      <c r="P38" t="s">
        <v>34</v>
      </c>
      <c r="Q38" s="2">
        <v>45292</v>
      </c>
      <c r="R38">
        <f t="shared" si="4"/>
        <v>599.97</v>
      </c>
      <c r="S38" t="str">
        <f t="shared" si="5"/>
        <v>Other</v>
      </c>
      <c r="W38" t="str">
        <v>Emma Wilson</v>
      </c>
      <c r="AE38" t="str">
        <v>Harry Morgan</v>
      </c>
      <c r="AF38">
        <f t="shared" si="6"/>
        <v>5519.89</v>
      </c>
    </row>
    <row r="39" ht="15.75" customHeight="1" spans="1:32">
      <c r="A39" t="s">
        <v>162</v>
      </c>
      <c r="B39" s="2">
        <v>45440</v>
      </c>
      <c r="C39" t="str">
        <f t="shared" si="0"/>
        <v>May-2024</v>
      </c>
      <c r="D39" t="s">
        <v>163</v>
      </c>
      <c r="E39" t="s">
        <v>164</v>
      </c>
      <c r="F39" t="str">
        <f t="shared" si="1"/>
        <v>JT</v>
      </c>
      <c r="G39">
        <f t="shared" si="2"/>
        <v>4</v>
      </c>
      <c r="H39" t="s">
        <v>98</v>
      </c>
      <c r="I39" t="s">
        <v>99</v>
      </c>
      <c r="J39">
        <f t="shared" si="3"/>
        <v>31</v>
      </c>
      <c r="K39" t="s">
        <v>26</v>
      </c>
      <c r="L39">
        <v>5</v>
      </c>
      <c r="M39">
        <v>699.99</v>
      </c>
      <c r="N39" t="s">
        <v>41</v>
      </c>
      <c r="O39" t="s">
        <v>58</v>
      </c>
      <c r="P39" t="s">
        <v>43</v>
      </c>
      <c r="Q39" s="2">
        <v>44407</v>
      </c>
      <c r="R39">
        <f t="shared" si="4"/>
        <v>3499.95</v>
      </c>
      <c r="S39" t="str">
        <f t="shared" si="5"/>
        <v>High-Value Customer</v>
      </c>
      <c r="W39" t="str">
        <v>Michael Brown</v>
      </c>
      <c r="AE39" t="str">
        <v>Daniel King</v>
      </c>
      <c r="AF39">
        <f t="shared" si="6"/>
        <v>7309.8</v>
      </c>
    </row>
    <row r="40" ht="15.75" customHeight="1" spans="1:32">
      <c r="A40" t="s">
        <v>165</v>
      </c>
      <c r="B40" s="2">
        <v>45441</v>
      </c>
      <c r="C40" t="str">
        <f t="shared" si="0"/>
        <v>May-2024</v>
      </c>
      <c r="D40" t="s">
        <v>166</v>
      </c>
      <c r="E40" t="s">
        <v>167</v>
      </c>
      <c r="F40" t="str">
        <f t="shared" si="1"/>
        <v>HM</v>
      </c>
      <c r="G40">
        <f t="shared" si="2"/>
        <v>4</v>
      </c>
      <c r="H40" t="s">
        <v>139</v>
      </c>
      <c r="I40" t="s">
        <v>140</v>
      </c>
      <c r="J40">
        <f t="shared" si="3"/>
        <v>34</v>
      </c>
      <c r="K40" t="s">
        <v>26</v>
      </c>
      <c r="L40">
        <v>3</v>
      </c>
      <c r="M40">
        <v>89.99</v>
      </c>
      <c r="N40" t="s">
        <v>41</v>
      </c>
      <c r="O40" t="s">
        <v>28</v>
      </c>
      <c r="P40" t="s">
        <v>34</v>
      </c>
      <c r="Q40" s="2">
        <v>45120</v>
      </c>
      <c r="R40">
        <f t="shared" si="4"/>
        <v>269.97</v>
      </c>
      <c r="S40" t="str">
        <f t="shared" si="5"/>
        <v>Other</v>
      </c>
      <c r="W40" t="str">
        <v>Barbara Young</v>
      </c>
      <c r="AE40" t="str">
        <v>Sharon Butler</v>
      </c>
      <c r="AF40">
        <f t="shared" si="6"/>
        <v>5619.87</v>
      </c>
    </row>
    <row r="41" ht="15.75" customHeight="1" spans="1:32">
      <c r="A41" t="s">
        <v>168</v>
      </c>
      <c r="B41" s="2">
        <v>45443</v>
      </c>
      <c r="C41" t="str">
        <f t="shared" si="0"/>
        <v>May-2024</v>
      </c>
      <c r="D41" t="s">
        <v>169</v>
      </c>
      <c r="E41" t="s">
        <v>170</v>
      </c>
      <c r="F41" t="str">
        <f t="shared" si="1"/>
        <v>DK</v>
      </c>
      <c r="G41">
        <f t="shared" si="2"/>
        <v>7</v>
      </c>
      <c r="H41" t="s">
        <v>136</v>
      </c>
      <c r="I41" t="s">
        <v>137</v>
      </c>
      <c r="J41">
        <f t="shared" si="3"/>
        <v>14</v>
      </c>
      <c r="K41" t="s">
        <v>40</v>
      </c>
      <c r="L41">
        <v>1</v>
      </c>
      <c r="M41">
        <v>79.99</v>
      </c>
      <c r="N41" t="s">
        <v>27</v>
      </c>
      <c r="O41" t="s">
        <v>47</v>
      </c>
      <c r="P41" t="s">
        <v>43</v>
      </c>
      <c r="Q41" s="2">
        <v>44917</v>
      </c>
      <c r="R41">
        <f t="shared" si="4"/>
        <v>79.99</v>
      </c>
      <c r="S41" t="str">
        <f t="shared" si="5"/>
        <v>Other</v>
      </c>
      <c r="W41" t="str">
        <v>Frank Torres</v>
      </c>
      <c r="AE41" t="str">
        <v>Sarah Davis</v>
      </c>
      <c r="AF41">
        <f t="shared" si="6"/>
        <v>5499.81</v>
      </c>
    </row>
    <row r="42" ht="15.75" customHeight="1" spans="1:32">
      <c r="A42" t="s">
        <v>171</v>
      </c>
      <c r="B42" s="2">
        <v>45444</v>
      </c>
      <c r="C42" t="str">
        <f t="shared" si="0"/>
        <v>Jun-2024</v>
      </c>
      <c r="D42" t="s">
        <v>172</v>
      </c>
      <c r="E42" t="s">
        <v>173</v>
      </c>
      <c r="F42" t="str">
        <f t="shared" si="1"/>
        <v>SB</v>
      </c>
      <c r="G42">
        <f t="shared" si="2"/>
        <v>6</v>
      </c>
      <c r="H42" t="s">
        <v>38</v>
      </c>
      <c r="I42" t="s">
        <v>39</v>
      </c>
      <c r="J42">
        <f t="shared" si="3"/>
        <v>29</v>
      </c>
      <c r="K42" t="s">
        <v>40</v>
      </c>
      <c r="L42">
        <v>2</v>
      </c>
      <c r="M42">
        <v>59.99</v>
      </c>
      <c r="N42" t="s">
        <v>27</v>
      </c>
      <c r="O42" t="s">
        <v>58</v>
      </c>
      <c r="P42" t="s">
        <v>29</v>
      </c>
      <c r="Q42" s="2">
        <v>45390</v>
      </c>
      <c r="R42">
        <f t="shared" si="4"/>
        <v>119.98</v>
      </c>
      <c r="S42" t="str">
        <f t="shared" si="5"/>
        <v>Other</v>
      </c>
      <c r="W42" t="str">
        <v>Peter Richardson</v>
      </c>
      <c r="AE42" t="str">
        <v>Betty Campbell</v>
      </c>
      <c r="AF42">
        <f t="shared" si="6"/>
        <v>5649.84</v>
      </c>
    </row>
    <row r="43" ht="15.75" customHeight="1" spans="1:32">
      <c r="A43" t="s">
        <v>174</v>
      </c>
      <c r="B43" s="2">
        <v>45444</v>
      </c>
      <c r="C43" t="str">
        <f t="shared" si="0"/>
        <v>Jun-2024</v>
      </c>
      <c r="D43" t="s">
        <v>67</v>
      </c>
      <c r="E43" t="s">
        <v>68</v>
      </c>
      <c r="F43" t="str">
        <f t="shared" si="1"/>
        <v>CA</v>
      </c>
      <c r="G43">
        <f t="shared" si="2"/>
        <v>9</v>
      </c>
      <c r="H43" t="s">
        <v>139</v>
      </c>
      <c r="I43" t="s">
        <v>140</v>
      </c>
      <c r="J43">
        <f t="shared" si="3"/>
        <v>34</v>
      </c>
      <c r="K43" t="s">
        <v>26</v>
      </c>
      <c r="L43">
        <v>1</v>
      </c>
      <c r="M43">
        <v>89.99</v>
      </c>
      <c r="N43" t="s">
        <v>27</v>
      </c>
      <c r="O43" t="s">
        <v>47</v>
      </c>
      <c r="P43" t="s">
        <v>29</v>
      </c>
      <c r="Q43" s="2">
        <v>45141</v>
      </c>
      <c r="R43">
        <f t="shared" si="4"/>
        <v>89.99</v>
      </c>
      <c r="S43" t="str">
        <f t="shared" si="5"/>
        <v>Other</v>
      </c>
      <c r="W43" t="str">
        <v>Karen Hill</v>
      </c>
      <c r="AE43" t="str">
        <v>Julie Foster</v>
      </c>
      <c r="AF43">
        <f t="shared" ref="AF43:AF59" si="7">SUMIF(E:E,AE43,R:R)</f>
        <v>239.96</v>
      </c>
    </row>
    <row r="44" ht="15.75" customHeight="1" spans="1:32">
      <c r="A44" t="s">
        <v>175</v>
      </c>
      <c r="B44" s="2">
        <v>45446</v>
      </c>
      <c r="C44" t="str">
        <f t="shared" si="0"/>
        <v>Jun-2024</v>
      </c>
      <c r="D44" t="s">
        <v>176</v>
      </c>
      <c r="E44" t="s">
        <v>177</v>
      </c>
      <c r="F44" t="str">
        <f t="shared" si="1"/>
        <v>SD</v>
      </c>
      <c r="G44">
        <f t="shared" si="2"/>
        <v>5</v>
      </c>
      <c r="H44" t="s">
        <v>139</v>
      </c>
      <c r="I44" t="s">
        <v>140</v>
      </c>
      <c r="J44">
        <f t="shared" si="3"/>
        <v>34</v>
      </c>
      <c r="K44" t="s">
        <v>26</v>
      </c>
      <c r="L44">
        <v>5</v>
      </c>
      <c r="M44">
        <v>89.99</v>
      </c>
      <c r="N44" t="s">
        <v>33</v>
      </c>
      <c r="O44" t="s">
        <v>79</v>
      </c>
      <c r="P44" t="s">
        <v>43</v>
      </c>
      <c r="Q44" s="2">
        <v>44587</v>
      </c>
      <c r="R44">
        <f t="shared" si="4"/>
        <v>449.95</v>
      </c>
      <c r="S44" t="str">
        <f t="shared" si="5"/>
        <v>Other</v>
      </c>
      <c r="W44" t="str">
        <v>Barbara Young</v>
      </c>
      <c r="AE44" t="str">
        <v>Raymond Ross</v>
      </c>
      <c r="AF44">
        <f t="shared" si="7"/>
        <v>3669.85</v>
      </c>
    </row>
    <row r="45" ht="15.75" customHeight="1" spans="1:32">
      <c r="A45" t="s">
        <v>178</v>
      </c>
      <c r="B45" s="2">
        <v>45449</v>
      </c>
      <c r="C45" t="str">
        <f t="shared" si="0"/>
        <v>Jun-2024</v>
      </c>
      <c r="D45" t="s">
        <v>31</v>
      </c>
      <c r="E45" t="s">
        <v>32</v>
      </c>
      <c r="F45" t="str">
        <f t="shared" si="1"/>
        <v>JJ</v>
      </c>
      <c r="G45">
        <f t="shared" si="2"/>
        <v>5</v>
      </c>
      <c r="H45" t="s">
        <v>24</v>
      </c>
      <c r="I45" t="s">
        <v>25</v>
      </c>
      <c r="J45">
        <f t="shared" si="3"/>
        <v>26</v>
      </c>
      <c r="K45" t="s">
        <v>26</v>
      </c>
      <c r="L45">
        <v>5</v>
      </c>
      <c r="M45">
        <v>249.99</v>
      </c>
      <c r="N45" t="s">
        <v>33</v>
      </c>
      <c r="O45" t="s">
        <v>79</v>
      </c>
      <c r="P45" t="s">
        <v>43</v>
      </c>
      <c r="Q45" s="2">
        <v>44707</v>
      </c>
      <c r="R45">
        <f t="shared" si="4"/>
        <v>1249.95</v>
      </c>
      <c r="S45" t="str">
        <f t="shared" si="5"/>
        <v>Other</v>
      </c>
      <c r="W45" t="str">
        <v>Mark Carter</v>
      </c>
      <c r="AE45" t="str">
        <v>David Martinez</v>
      </c>
      <c r="AF45">
        <f t="shared" si="7"/>
        <v>1809.84</v>
      </c>
    </row>
    <row r="46" ht="15.75" customHeight="1" spans="1:32">
      <c r="A46" t="s">
        <v>179</v>
      </c>
      <c r="B46" s="2">
        <v>45449</v>
      </c>
      <c r="C46" t="str">
        <f t="shared" si="0"/>
        <v>Jun-2024</v>
      </c>
      <c r="D46" t="s">
        <v>180</v>
      </c>
      <c r="E46" t="s">
        <v>181</v>
      </c>
      <c r="F46" t="str">
        <f t="shared" si="1"/>
        <v>BC</v>
      </c>
      <c r="G46">
        <f t="shared" si="2"/>
        <v>5</v>
      </c>
      <c r="H46" t="s">
        <v>139</v>
      </c>
      <c r="I46" t="s">
        <v>140</v>
      </c>
      <c r="J46">
        <f t="shared" si="3"/>
        <v>34</v>
      </c>
      <c r="K46" t="s">
        <v>26</v>
      </c>
      <c r="L46">
        <v>1</v>
      </c>
      <c r="M46">
        <v>89.99</v>
      </c>
      <c r="N46" t="s">
        <v>33</v>
      </c>
      <c r="O46" t="s">
        <v>42</v>
      </c>
      <c r="P46" t="s">
        <v>43</v>
      </c>
      <c r="Q46" s="2">
        <v>44582</v>
      </c>
      <c r="R46">
        <f t="shared" si="4"/>
        <v>89.99</v>
      </c>
      <c r="S46" t="str">
        <f t="shared" si="5"/>
        <v>Other</v>
      </c>
      <c r="W46" t="str">
        <v>David Martinez</v>
      </c>
      <c r="AE46" t="str">
        <v>Margaret Wright</v>
      </c>
      <c r="AF46">
        <f t="shared" si="7"/>
        <v>2099.88</v>
      </c>
    </row>
    <row r="47" ht="15.75" customHeight="1" spans="1:32">
      <c r="A47" t="s">
        <v>182</v>
      </c>
      <c r="B47" s="2">
        <v>45450</v>
      </c>
      <c r="C47" t="str">
        <f t="shared" si="0"/>
        <v>Jun-2024</v>
      </c>
      <c r="D47" t="s">
        <v>49</v>
      </c>
      <c r="E47" t="s">
        <v>50</v>
      </c>
      <c r="F47" t="str">
        <f t="shared" si="1"/>
        <v>MB</v>
      </c>
      <c r="G47">
        <f t="shared" si="2"/>
        <v>9</v>
      </c>
      <c r="H47" t="s">
        <v>51</v>
      </c>
      <c r="I47" t="s">
        <v>52</v>
      </c>
      <c r="J47">
        <f t="shared" si="3"/>
        <v>35</v>
      </c>
      <c r="K47" t="s">
        <v>53</v>
      </c>
      <c r="L47">
        <v>2</v>
      </c>
      <c r="M47">
        <v>149.99</v>
      </c>
      <c r="N47" t="s">
        <v>27</v>
      </c>
      <c r="O47" t="s">
        <v>79</v>
      </c>
      <c r="P47" t="s">
        <v>34</v>
      </c>
      <c r="Q47" s="2">
        <v>44645</v>
      </c>
      <c r="R47">
        <f t="shared" si="4"/>
        <v>299.98</v>
      </c>
      <c r="S47" t="str">
        <f t="shared" si="5"/>
        <v>Other</v>
      </c>
      <c r="W47" t="str">
        <v>Margaret Wright</v>
      </c>
      <c r="AE47" t="str">
        <v>Frank Torres</v>
      </c>
      <c r="AF47">
        <f t="shared" si="7"/>
        <v>1479.91</v>
      </c>
    </row>
    <row r="48" ht="15.75" customHeight="1" spans="1:32">
      <c r="A48" t="s">
        <v>183</v>
      </c>
      <c r="B48" s="2">
        <v>45452</v>
      </c>
      <c r="C48" t="str">
        <f t="shared" si="0"/>
        <v>Jun-2024</v>
      </c>
      <c r="D48" t="s">
        <v>184</v>
      </c>
      <c r="E48" t="s">
        <v>185</v>
      </c>
      <c r="F48" t="str">
        <f t="shared" si="1"/>
        <v>JF</v>
      </c>
      <c r="G48">
        <f t="shared" si="2"/>
        <v>1</v>
      </c>
      <c r="H48" t="s">
        <v>38</v>
      </c>
      <c r="I48" t="s">
        <v>39</v>
      </c>
      <c r="J48">
        <f t="shared" si="3"/>
        <v>29</v>
      </c>
      <c r="K48" t="s">
        <v>40</v>
      </c>
      <c r="L48">
        <v>4</v>
      </c>
      <c r="M48">
        <v>59.99</v>
      </c>
      <c r="N48" t="s">
        <v>27</v>
      </c>
      <c r="O48" t="s">
        <v>79</v>
      </c>
      <c r="P48" t="s">
        <v>43</v>
      </c>
      <c r="Q48" s="2">
        <v>44435</v>
      </c>
      <c r="R48">
        <f t="shared" si="4"/>
        <v>239.96</v>
      </c>
      <c r="S48" t="str">
        <f t="shared" si="5"/>
        <v>Other</v>
      </c>
      <c r="W48" t="str">
        <v>Karen Hill</v>
      </c>
      <c r="AE48" t="str">
        <v>Gerald Murphy</v>
      </c>
      <c r="AF48">
        <f t="shared" si="7"/>
        <v>6379.87</v>
      </c>
    </row>
    <row r="49" ht="15.75" customHeight="1" spans="1:32">
      <c r="A49" t="s">
        <v>186</v>
      </c>
      <c r="B49" s="2">
        <v>45456</v>
      </c>
      <c r="C49" t="str">
        <f t="shared" si="0"/>
        <v>Jun-2024</v>
      </c>
      <c r="D49" t="s">
        <v>151</v>
      </c>
      <c r="E49" t="s">
        <v>152</v>
      </c>
      <c r="F49" t="str">
        <f t="shared" si="1"/>
        <v>LA</v>
      </c>
      <c r="G49">
        <f t="shared" si="2"/>
        <v>5</v>
      </c>
      <c r="H49" t="s">
        <v>139</v>
      </c>
      <c r="I49" t="s">
        <v>140</v>
      </c>
      <c r="J49">
        <f t="shared" si="3"/>
        <v>34</v>
      </c>
      <c r="K49" t="s">
        <v>26</v>
      </c>
      <c r="L49">
        <v>5</v>
      </c>
      <c r="M49">
        <v>89.99</v>
      </c>
      <c r="N49" t="s">
        <v>27</v>
      </c>
      <c r="O49" t="s">
        <v>28</v>
      </c>
      <c r="P49" t="s">
        <v>34</v>
      </c>
      <c r="Q49" s="2">
        <v>44579</v>
      </c>
      <c r="R49">
        <f t="shared" si="4"/>
        <v>449.95</v>
      </c>
      <c r="S49" t="str">
        <f t="shared" si="5"/>
        <v>Other</v>
      </c>
      <c r="W49" t="str">
        <v>Betty Campbell</v>
      </c>
      <c r="AE49" t="str">
        <v>Elizabeth Hall</v>
      </c>
      <c r="AF49">
        <f t="shared" si="7"/>
        <v>3649.86</v>
      </c>
    </row>
    <row r="50" ht="15.75" customHeight="1" spans="1:32">
      <c r="A50" t="s">
        <v>187</v>
      </c>
      <c r="B50" s="2">
        <v>45459</v>
      </c>
      <c r="C50" t="str">
        <f t="shared" si="0"/>
        <v>Jun-2024</v>
      </c>
      <c r="D50" t="s">
        <v>120</v>
      </c>
      <c r="E50" t="s">
        <v>121</v>
      </c>
      <c r="F50" t="str">
        <f t="shared" si="1"/>
        <v>PM</v>
      </c>
      <c r="G50">
        <f t="shared" si="2"/>
        <v>8</v>
      </c>
      <c r="H50" t="s">
        <v>139</v>
      </c>
      <c r="I50" t="s">
        <v>140</v>
      </c>
      <c r="J50">
        <f t="shared" si="3"/>
        <v>34</v>
      </c>
      <c r="K50" t="s">
        <v>26</v>
      </c>
      <c r="L50">
        <v>2</v>
      </c>
      <c r="M50">
        <v>89.99</v>
      </c>
      <c r="N50" t="s">
        <v>33</v>
      </c>
      <c r="O50" t="s">
        <v>42</v>
      </c>
      <c r="P50" t="s">
        <v>34</v>
      </c>
      <c r="Q50" s="2">
        <v>44471</v>
      </c>
      <c r="R50">
        <f t="shared" si="4"/>
        <v>179.98</v>
      </c>
      <c r="S50" t="str">
        <f t="shared" si="5"/>
        <v>Other</v>
      </c>
      <c r="W50" t="str">
        <v>Mark Carter</v>
      </c>
      <c r="AE50" t="str">
        <v>Lawrence Reed</v>
      </c>
      <c r="AF50">
        <f t="shared" si="7"/>
        <v>6989.77</v>
      </c>
    </row>
    <row r="51" ht="15.75" customHeight="1" spans="1:32">
      <c r="A51" t="s">
        <v>188</v>
      </c>
      <c r="B51" s="2">
        <v>45459</v>
      </c>
      <c r="C51" t="str">
        <f t="shared" si="0"/>
        <v>Jun-2024</v>
      </c>
      <c r="D51" t="s">
        <v>22</v>
      </c>
      <c r="E51" t="s">
        <v>23</v>
      </c>
      <c r="F51" t="str">
        <f t="shared" si="1"/>
        <v>PB</v>
      </c>
      <c r="G51">
        <f t="shared" si="2"/>
        <v>8</v>
      </c>
      <c r="H51" t="s">
        <v>77</v>
      </c>
      <c r="I51" t="s">
        <v>78</v>
      </c>
      <c r="J51">
        <f t="shared" si="3"/>
        <v>24</v>
      </c>
      <c r="K51" t="s">
        <v>26</v>
      </c>
      <c r="L51">
        <v>5</v>
      </c>
      <c r="M51">
        <v>899.99</v>
      </c>
      <c r="N51" t="s">
        <v>33</v>
      </c>
      <c r="O51" t="s">
        <v>42</v>
      </c>
      <c r="P51" t="s">
        <v>43</v>
      </c>
      <c r="Q51" s="2">
        <v>44974</v>
      </c>
      <c r="R51">
        <f t="shared" si="4"/>
        <v>4499.95</v>
      </c>
      <c r="S51" t="str">
        <f t="shared" si="5"/>
        <v>High-Value Customer</v>
      </c>
      <c r="W51" t="str">
        <v>Lawrence Reed</v>
      </c>
      <c r="AE51" t="str">
        <v>Carol Evans</v>
      </c>
      <c r="AF51">
        <f t="shared" si="7"/>
        <v>1149.93</v>
      </c>
    </row>
    <row r="52" ht="15.75" customHeight="1" spans="1:32">
      <c r="A52" t="s">
        <v>189</v>
      </c>
      <c r="B52" s="2">
        <v>45459</v>
      </c>
      <c r="C52" t="str">
        <f t="shared" si="0"/>
        <v>Jun-2024</v>
      </c>
      <c r="D52" t="s">
        <v>145</v>
      </c>
      <c r="E52" t="s">
        <v>146</v>
      </c>
      <c r="F52" t="str">
        <f t="shared" si="1"/>
        <v>EM</v>
      </c>
      <c r="G52">
        <f t="shared" si="2"/>
        <v>6</v>
      </c>
      <c r="H52" t="s">
        <v>77</v>
      </c>
      <c r="I52" t="s">
        <v>78</v>
      </c>
      <c r="J52">
        <f t="shared" si="3"/>
        <v>24</v>
      </c>
      <c r="K52" t="s">
        <v>26</v>
      </c>
      <c r="L52">
        <v>5</v>
      </c>
      <c r="M52">
        <v>899.99</v>
      </c>
      <c r="N52" t="s">
        <v>41</v>
      </c>
      <c r="O52" t="s">
        <v>79</v>
      </c>
      <c r="P52" t="s">
        <v>34</v>
      </c>
      <c r="Q52" s="2">
        <v>45278</v>
      </c>
      <c r="R52">
        <f t="shared" si="4"/>
        <v>4499.95</v>
      </c>
      <c r="S52" t="str">
        <f t="shared" si="5"/>
        <v>High-Value Customer</v>
      </c>
      <c r="W52" t="str">
        <v>Gerald Murphy</v>
      </c>
      <c r="AE52" t="str">
        <v>Sandra Phillips</v>
      </c>
      <c r="AF52">
        <f t="shared" si="7"/>
        <v>6349.83</v>
      </c>
    </row>
    <row r="53" ht="15.75" customHeight="1" spans="1:32">
      <c r="A53" t="s">
        <v>190</v>
      </c>
      <c r="B53" s="2">
        <v>45460</v>
      </c>
      <c r="C53" t="str">
        <f t="shared" si="0"/>
        <v>Jun-2024</v>
      </c>
      <c r="D53" t="s">
        <v>180</v>
      </c>
      <c r="E53" t="s">
        <v>181</v>
      </c>
      <c r="F53" t="str">
        <f t="shared" si="1"/>
        <v>BC</v>
      </c>
      <c r="G53">
        <f t="shared" si="2"/>
        <v>5</v>
      </c>
      <c r="H53" t="s">
        <v>38</v>
      </c>
      <c r="I53" t="s">
        <v>39</v>
      </c>
      <c r="J53">
        <f t="shared" si="3"/>
        <v>29</v>
      </c>
      <c r="K53" t="s">
        <v>40</v>
      </c>
      <c r="L53">
        <v>1</v>
      </c>
      <c r="M53">
        <v>59.99</v>
      </c>
      <c r="N53" t="s">
        <v>69</v>
      </c>
      <c r="O53" t="s">
        <v>58</v>
      </c>
      <c r="P53" t="s">
        <v>34</v>
      </c>
      <c r="Q53" s="2">
        <v>45190</v>
      </c>
      <c r="R53">
        <f t="shared" si="4"/>
        <v>59.99</v>
      </c>
      <c r="S53" t="str">
        <f t="shared" si="5"/>
        <v>Other</v>
      </c>
      <c r="W53" t="str">
        <v>Carol Evans</v>
      </c>
      <c r="AE53" t="str">
        <v>Ruth Brooks</v>
      </c>
      <c r="AF53">
        <f t="shared" si="7"/>
        <v>1749.92</v>
      </c>
    </row>
    <row r="54" ht="15.75" customHeight="1" spans="1:32">
      <c r="A54" t="s">
        <v>191</v>
      </c>
      <c r="B54" s="2">
        <v>45460</v>
      </c>
      <c r="C54" t="str">
        <f t="shared" si="0"/>
        <v>Jun-2024</v>
      </c>
      <c r="D54" t="s">
        <v>163</v>
      </c>
      <c r="E54" t="s">
        <v>164</v>
      </c>
      <c r="F54" t="str">
        <f t="shared" si="1"/>
        <v>JT</v>
      </c>
      <c r="G54">
        <f t="shared" si="2"/>
        <v>4</v>
      </c>
      <c r="H54" t="s">
        <v>126</v>
      </c>
      <c r="I54" t="s">
        <v>127</v>
      </c>
      <c r="J54">
        <f t="shared" si="3"/>
        <v>26</v>
      </c>
      <c r="K54" t="s">
        <v>53</v>
      </c>
      <c r="L54">
        <v>2</v>
      </c>
      <c r="M54">
        <v>299.99</v>
      </c>
      <c r="N54" t="s">
        <v>69</v>
      </c>
      <c r="O54" t="s">
        <v>79</v>
      </c>
      <c r="P54" t="s">
        <v>43</v>
      </c>
      <c r="Q54" s="2">
        <v>45253</v>
      </c>
      <c r="R54">
        <f t="shared" si="4"/>
        <v>599.98</v>
      </c>
      <c r="S54" t="str">
        <f t="shared" si="5"/>
        <v>Other</v>
      </c>
      <c r="W54" t="str">
        <v>Sandra Phillips</v>
      </c>
      <c r="AE54" t="str">
        <v>William White</v>
      </c>
      <c r="AF54">
        <f t="shared" si="7"/>
        <v>4749.91</v>
      </c>
    </row>
    <row r="55" ht="15.75" customHeight="1" spans="1:32">
      <c r="A55" t="s">
        <v>192</v>
      </c>
      <c r="B55" s="2">
        <v>45468</v>
      </c>
      <c r="C55" t="str">
        <f t="shared" si="0"/>
        <v>Jun-2024</v>
      </c>
      <c r="D55" t="s">
        <v>193</v>
      </c>
      <c r="E55" t="s">
        <v>194</v>
      </c>
      <c r="F55" t="str">
        <f t="shared" si="1"/>
        <v>RR</v>
      </c>
      <c r="G55">
        <f t="shared" si="2"/>
        <v>4</v>
      </c>
      <c r="H55" t="s">
        <v>139</v>
      </c>
      <c r="I55" t="s">
        <v>140</v>
      </c>
      <c r="J55">
        <f t="shared" si="3"/>
        <v>34</v>
      </c>
      <c r="K55" t="s">
        <v>26</v>
      </c>
      <c r="L55">
        <v>4</v>
      </c>
      <c r="M55">
        <v>89.99</v>
      </c>
      <c r="N55" t="s">
        <v>69</v>
      </c>
      <c r="O55" t="s">
        <v>42</v>
      </c>
      <c r="P55" t="s">
        <v>29</v>
      </c>
      <c r="Q55" s="2">
        <v>45281</v>
      </c>
      <c r="R55">
        <f t="shared" si="4"/>
        <v>359.96</v>
      </c>
      <c r="S55" t="str">
        <f t="shared" si="5"/>
        <v>Other</v>
      </c>
      <c r="W55" t="str">
        <v>Carol Evans</v>
      </c>
      <c r="AE55" t="str">
        <v>Richard Lee</v>
      </c>
      <c r="AF55">
        <f t="shared" si="7"/>
        <v>739.93</v>
      </c>
    </row>
    <row r="56" ht="15.75" customHeight="1" spans="1:32">
      <c r="A56" t="s">
        <v>195</v>
      </c>
      <c r="B56" s="2">
        <v>45469</v>
      </c>
      <c r="C56" t="str">
        <f t="shared" si="0"/>
        <v>Jun-2024</v>
      </c>
      <c r="D56" t="s">
        <v>36</v>
      </c>
      <c r="E56" t="s">
        <v>37</v>
      </c>
      <c r="F56" t="str">
        <f t="shared" si="1"/>
        <v>KS</v>
      </c>
      <c r="G56">
        <f t="shared" si="2"/>
        <v>6</v>
      </c>
      <c r="H56" t="s">
        <v>136</v>
      </c>
      <c r="I56" t="s">
        <v>137</v>
      </c>
      <c r="J56">
        <f t="shared" si="3"/>
        <v>14</v>
      </c>
      <c r="K56" t="s">
        <v>40</v>
      </c>
      <c r="L56">
        <v>1</v>
      </c>
      <c r="M56">
        <v>79.99</v>
      </c>
      <c r="N56" t="s">
        <v>41</v>
      </c>
      <c r="O56" t="s">
        <v>28</v>
      </c>
      <c r="P56" t="s">
        <v>34</v>
      </c>
      <c r="Q56" s="2">
        <v>45352</v>
      </c>
      <c r="R56">
        <f t="shared" si="4"/>
        <v>79.99</v>
      </c>
      <c r="S56" t="str">
        <f t="shared" si="5"/>
        <v>Other</v>
      </c>
      <c r="W56" t="str">
        <v>Paul Baker</v>
      </c>
      <c r="AE56" t="str">
        <v>Douglas Watson</v>
      </c>
      <c r="AF56">
        <f t="shared" si="7"/>
        <v>4829.89</v>
      </c>
    </row>
    <row r="57" ht="15.75" customHeight="1" spans="1:32">
      <c r="A57" t="s">
        <v>196</v>
      </c>
      <c r="B57" s="2">
        <v>45469</v>
      </c>
      <c r="C57" t="str">
        <f t="shared" si="0"/>
        <v>Jun-2024</v>
      </c>
      <c r="D57" t="s">
        <v>75</v>
      </c>
      <c r="E57" t="s">
        <v>76</v>
      </c>
      <c r="F57" t="str">
        <f t="shared" si="1"/>
        <v>RT</v>
      </c>
      <c r="G57">
        <f t="shared" si="2"/>
        <v>5</v>
      </c>
      <c r="H57" t="s">
        <v>139</v>
      </c>
      <c r="I57" t="s">
        <v>140</v>
      </c>
      <c r="J57">
        <f t="shared" si="3"/>
        <v>34</v>
      </c>
      <c r="K57" t="s">
        <v>26</v>
      </c>
      <c r="L57">
        <v>2</v>
      </c>
      <c r="M57">
        <v>89.99</v>
      </c>
      <c r="N57" t="s">
        <v>27</v>
      </c>
      <c r="O57" t="s">
        <v>58</v>
      </c>
      <c r="P57" t="s">
        <v>29</v>
      </c>
      <c r="Q57" s="2">
        <v>44438</v>
      </c>
      <c r="R57">
        <f t="shared" si="4"/>
        <v>179.98</v>
      </c>
      <c r="S57" t="str">
        <f t="shared" si="5"/>
        <v>Other</v>
      </c>
      <c r="W57" t="str">
        <v>Lawrence Reed</v>
      </c>
      <c r="AE57" t="str">
        <v>James Johnson</v>
      </c>
      <c r="AF57">
        <f t="shared" si="7"/>
        <v>179.97</v>
      </c>
    </row>
    <row r="58" ht="15.75" customHeight="1" spans="1:32">
      <c r="A58" t="s">
        <v>197</v>
      </c>
      <c r="B58" s="2">
        <v>45471</v>
      </c>
      <c r="C58" t="str">
        <f t="shared" si="0"/>
        <v>Jun-2024</v>
      </c>
      <c r="D58" t="s">
        <v>45</v>
      </c>
      <c r="E58" t="s">
        <v>46</v>
      </c>
      <c r="F58" t="str">
        <f t="shared" si="1"/>
        <v>KB</v>
      </c>
      <c r="G58">
        <f t="shared" si="2"/>
        <v>6</v>
      </c>
      <c r="H58" t="s">
        <v>98</v>
      </c>
      <c r="I58" t="s">
        <v>99</v>
      </c>
      <c r="J58">
        <f t="shared" si="3"/>
        <v>31</v>
      </c>
      <c r="K58" t="s">
        <v>26</v>
      </c>
      <c r="L58">
        <v>3</v>
      </c>
      <c r="M58">
        <v>699.99</v>
      </c>
      <c r="N58" t="s">
        <v>33</v>
      </c>
      <c r="O58" t="s">
        <v>79</v>
      </c>
      <c r="P58" t="s">
        <v>34</v>
      </c>
      <c r="Q58" s="2">
        <v>45102</v>
      </c>
      <c r="R58">
        <f t="shared" si="4"/>
        <v>2099.97</v>
      </c>
      <c r="S58" t="str">
        <f t="shared" si="5"/>
        <v>High-Value Customer</v>
      </c>
      <c r="W58" t="str">
        <v>Steven Turner</v>
      </c>
      <c r="AE58" t="str">
        <v>Arthur Edwards</v>
      </c>
      <c r="AF58">
        <f t="shared" si="7"/>
        <v>1559.94</v>
      </c>
    </row>
    <row r="59" ht="15.75" customHeight="1" spans="1:32">
      <c r="A59" t="s">
        <v>198</v>
      </c>
      <c r="B59" s="2">
        <v>45471</v>
      </c>
      <c r="C59" t="str">
        <f t="shared" si="0"/>
        <v>Jun-2024</v>
      </c>
      <c r="D59" t="s">
        <v>120</v>
      </c>
      <c r="E59" t="s">
        <v>121</v>
      </c>
      <c r="F59" t="str">
        <f t="shared" si="1"/>
        <v>PM</v>
      </c>
      <c r="G59">
        <f t="shared" si="2"/>
        <v>8</v>
      </c>
      <c r="H59" t="s">
        <v>77</v>
      </c>
      <c r="I59" t="s">
        <v>78</v>
      </c>
      <c r="J59">
        <f t="shared" si="3"/>
        <v>24</v>
      </c>
      <c r="K59" t="s">
        <v>26</v>
      </c>
      <c r="L59">
        <v>4</v>
      </c>
      <c r="M59">
        <v>899.99</v>
      </c>
      <c r="N59" t="s">
        <v>33</v>
      </c>
      <c r="O59" t="s">
        <v>79</v>
      </c>
      <c r="P59" t="s">
        <v>34</v>
      </c>
      <c r="Q59" s="2">
        <v>44993</v>
      </c>
      <c r="R59">
        <f t="shared" si="4"/>
        <v>3599.96</v>
      </c>
      <c r="S59" t="str">
        <f t="shared" si="5"/>
        <v>High-Value Customer</v>
      </c>
      <c r="W59" t="str">
        <v>Dorothy Nelson</v>
      </c>
      <c r="AE59" t="str">
        <v>John Smith</v>
      </c>
      <c r="AF59">
        <f t="shared" si="7"/>
        <v>599.96</v>
      </c>
    </row>
    <row r="60" ht="15.75" customHeight="1" spans="1:23">
      <c r="A60" t="s">
        <v>199</v>
      </c>
      <c r="B60" s="2">
        <v>45472</v>
      </c>
      <c r="C60" t="str">
        <f t="shared" si="0"/>
        <v>Jun-2024</v>
      </c>
      <c r="D60" t="s">
        <v>142</v>
      </c>
      <c r="E60" t="s">
        <v>143</v>
      </c>
      <c r="F60" t="str">
        <f t="shared" si="1"/>
        <v>HR</v>
      </c>
      <c r="G60">
        <f t="shared" si="2"/>
        <v>7</v>
      </c>
      <c r="H60" t="s">
        <v>51</v>
      </c>
      <c r="I60" t="s">
        <v>52</v>
      </c>
      <c r="J60">
        <f t="shared" si="3"/>
        <v>35</v>
      </c>
      <c r="K60" t="s">
        <v>53</v>
      </c>
      <c r="L60">
        <v>1</v>
      </c>
      <c r="M60">
        <v>149.99</v>
      </c>
      <c r="N60" t="s">
        <v>41</v>
      </c>
      <c r="O60" t="s">
        <v>79</v>
      </c>
      <c r="P60" t="s">
        <v>29</v>
      </c>
      <c r="Q60" s="2">
        <v>44851</v>
      </c>
      <c r="R60">
        <f t="shared" si="4"/>
        <v>149.99</v>
      </c>
      <c r="S60" t="str">
        <f t="shared" si="5"/>
        <v>Other</v>
      </c>
      <c r="W60" t="str">
        <v>Kathleen Bennett</v>
      </c>
    </row>
    <row r="61" ht="15.75" customHeight="1" spans="1:23">
      <c r="A61" t="s">
        <v>200</v>
      </c>
      <c r="B61" s="2">
        <v>45474</v>
      </c>
      <c r="C61" t="str">
        <f t="shared" si="0"/>
        <v>Jul-2024</v>
      </c>
      <c r="D61" t="s">
        <v>154</v>
      </c>
      <c r="E61" t="s">
        <v>155</v>
      </c>
      <c r="F61" t="str">
        <f t="shared" si="1"/>
        <v>EW</v>
      </c>
      <c r="G61">
        <f t="shared" si="2"/>
        <v>5</v>
      </c>
      <c r="H61" t="s">
        <v>139</v>
      </c>
      <c r="I61" t="s">
        <v>140</v>
      </c>
      <c r="J61">
        <f t="shared" si="3"/>
        <v>34</v>
      </c>
      <c r="K61" t="s">
        <v>26</v>
      </c>
      <c r="L61">
        <v>2</v>
      </c>
      <c r="M61">
        <v>89.99</v>
      </c>
      <c r="N61" t="s">
        <v>41</v>
      </c>
      <c r="O61" t="s">
        <v>28</v>
      </c>
      <c r="P61" t="s">
        <v>34</v>
      </c>
      <c r="Q61" s="2">
        <v>45275</v>
      </c>
      <c r="R61">
        <f t="shared" si="4"/>
        <v>179.98</v>
      </c>
      <c r="S61" t="str">
        <f t="shared" si="5"/>
        <v>Other</v>
      </c>
      <c r="W61" t="str">
        <v>Daniel King</v>
      </c>
    </row>
    <row r="62" ht="15.75" customHeight="1" spans="1:23">
      <c r="A62" t="s">
        <v>201</v>
      </c>
      <c r="B62" s="2">
        <v>45475</v>
      </c>
      <c r="C62" t="str">
        <f t="shared" si="0"/>
        <v>Jul-2024</v>
      </c>
      <c r="D62" t="s">
        <v>67</v>
      </c>
      <c r="E62" t="s">
        <v>68</v>
      </c>
      <c r="F62" t="str">
        <f t="shared" si="1"/>
        <v>CA</v>
      </c>
      <c r="G62">
        <f t="shared" si="2"/>
        <v>9</v>
      </c>
      <c r="H62" t="s">
        <v>139</v>
      </c>
      <c r="I62" t="s">
        <v>140</v>
      </c>
      <c r="J62">
        <f t="shared" si="3"/>
        <v>34</v>
      </c>
      <c r="K62" t="s">
        <v>26</v>
      </c>
      <c r="L62">
        <v>1</v>
      </c>
      <c r="M62">
        <v>89.99</v>
      </c>
      <c r="N62" t="s">
        <v>41</v>
      </c>
      <c r="O62" t="s">
        <v>58</v>
      </c>
      <c r="P62" t="s">
        <v>43</v>
      </c>
      <c r="Q62" s="2">
        <v>44802</v>
      </c>
      <c r="R62">
        <f t="shared" si="4"/>
        <v>89.99</v>
      </c>
      <c r="S62" t="str">
        <f t="shared" si="5"/>
        <v>Other</v>
      </c>
      <c r="W62" t="str">
        <v>Michael Brown</v>
      </c>
    </row>
    <row r="63" ht="15.75" customHeight="1" spans="1:23">
      <c r="A63" t="s">
        <v>202</v>
      </c>
      <c r="B63" s="2">
        <v>45476</v>
      </c>
      <c r="C63" t="str">
        <f t="shared" si="0"/>
        <v>Jul-2024</v>
      </c>
      <c r="D63" t="s">
        <v>85</v>
      </c>
      <c r="E63" t="s">
        <v>86</v>
      </c>
      <c r="F63" t="str">
        <f t="shared" si="1"/>
        <v>SG</v>
      </c>
      <c r="G63">
        <f t="shared" si="2"/>
        <v>4</v>
      </c>
      <c r="H63" t="s">
        <v>139</v>
      </c>
      <c r="I63" t="s">
        <v>140</v>
      </c>
      <c r="J63">
        <f t="shared" si="3"/>
        <v>34</v>
      </c>
      <c r="K63" t="s">
        <v>26</v>
      </c>
      <c r="L63">
        <v>1</v>
      </c>
      <c r="M63">
        <v>89.99</v>
      </c>
      <c r="N63" t="s">
        <v>27</v>
      </c>
      <c r="O63" t="s">
        <v>42</v>
      </c>
      <c r="P63" t="s">
        <v>43</v>
      </c>
      <c r="Q63" s="2">
        <v>44611</v>
      </c>
      <c r="R63">
        <f t="shared" si="4"/>
        <v>89.99</v>
      </c>
      <c r="S63" t="str">
        <f t="shared" si="5"/>
        <v>Other</v>
      </c>
      <c r="W63" t="str">
        <v>Sandra Phillips</v>
      </c>
    </row>
    <row r="64" ht="15.75" customHeight="1" spans="1:23">
      <c r="A64" t="s">
        <v>203</v>
      </c>
      <c r="B64" s="2">
        <v>45476</v>
      </c>
      <c r="C64" t="str">
        <f t="shared" si="0"/>
        <v>Jul-2024</v>
      </c>
      <c r="D64" t="s">
        <v>204</v>
      </c>
      <c r="E64" t="s">
        <v>205</v>
      </c>
      <c r="F64" t="str">
        <f t="shared" si="1"/>
        <v>DM</v>
      </c>
      <c r="G64">
        <f t="shared" si="2"/>
        <v>6</v>
      </c>
      <c r="H64" t="s">
        <v>136</v>
      </c>
      <c r="I64" t="s">
        <v>137</v>
      </c>
      <c r="J64">
        <f t="shared" si="3"/>
        <v>14</v>
      </c>
      <c r="K64" t="s">
        <v>40</v>
      </c>
      <c r="L64">
        <v>5</v>
      </c>
      <c r="M64">
        <v>79.99</v>
      </c>
      <c r="N64" t="s">
        <v>69</v>
      </c>
      <c r="O64" t="s">
        <v>28</v>
      </c>
      <c r="P64" t="s">
        <v>29</v>
      </c>
      <c r="Q64" s="2">
        <v>44981</v>
      </c>
      <c r="R64">
        <f t="shared" si="4"/>
        <v>399.95</v>
      </c>
      <c r="S64" t="str">
        <f t="shared" si="5"/>
        <v>Other</v>
      </c>
      <c r="W64" t="str">
        <v>Elizabeth Hall</v>
      </c>
    </row>
    <row r="65" ht="15.75" customHeight="1" spans="1:23">
      <c r="A65" t="s">
        <v>206</v>
      </c>
      <c r="B65" s="2">
        <v>45481</v>
      </c>
      <c r="C65" t="str">
        <f t="shared" si="0"/>
        <v>Jul-2024</v>
      </c>
      <c r="D65" t="s">
        <v>207</v>
      </c>
      <c r="E65" t="s">
        <v>208</v>
      </c>
      <c r="F65" t="str">
        <f t="shared" si="1"/>
        <v>MW</v>
      </c>
      <c r="G65">
        <f t="shared" si="2"/>
        <v>4</v>
      </c>
      <c r="H65" t="s">
        <v>51</v>
      </c>
      <c r="I65" t="s">
        <v>52</v>
      </c>
      <c r="J65">
        <f t="shared" si="3"/>
        <v>35</v>
      </c>
      <c r="K65" t="s">
        <v>53</v>
      </c>
      <c r="L65">
        <v>1</v>
      </c>
      <c r="M65">
        <v>149.99</v>
      </c>
      <c r="N65" t="s">
        <v>41</v>
      </c>
      <c r="O65" t="s">
        <v>47</v>
      </c>
      <c r="P65" t="s">
        <v>29</v>
      </c>
      <c r="Q65" s="2">
        <v>44421</v>
      </c>
      <c r="R65">
        <f t="shared" si="4"/>
        <v>149.99</v>
      </c>
      <c r="S65" t="str">
        <f t="shared" si="5"/>
        <v>Other</v>
      </c>
      <c r="W65" t="str">
        <v>Betty Campbell</v>
      </c>
    </row>
    <row r="66" ht="15.75" customHeight="1" spans="1:23">
      <c r="A66" t="s">
        <v>209</v>
      </c>
      <c r="B66" s="2">
        <v>45481</v>
      </c>
      <c r="C66" t="str">
        <f t="shared" si="0"/>
        <v>Jul-2024</v>
      </c>
      <c r="D66" t="s">
        <v>49</v>
      </c>
      <c r="E66" t="s">
        <v>50</v>
      </c>
      <c r="F66" t="str">
        <f t="shared" si="1"/>
        <v>MB</v>
      </c>
      <c r="G66">
        <f t="shared" si="2"/>
        <v>9</v>
      </c>
      <c r="H66" t="s">
        <v>98</v>
      </c>
      <c r="I66" t="s">
        <v>99</v>
      </c>
      <c r="J66">
        <f t="shared" si="3"/>
        <v>31</v>
      </c>
      <c r="K66" t="s">
        <v>26</v>
      </c>
      <c r="L66">
        <v>2</v>
      </c>
      <c r="M66">
        <v>699.99</v>
      </c>
      <c r="N66" t="s">
        <v>41</v>
      </c>
      <c r="O66" t="s">
        <v>79</v>
      </c>
      <c r="P66" t="s">
        <v>34</v>
      </c>
      <c r="Q66" s="2">
        <v>45389</v>
      </c>
      <c r="R66">
        <f t="shared" si="4"/>
        <v>1399.98</v>
      </c>
      <c r="S66" t="str">
        <f t="shared" si="5"/>
        <v>Other</v>
      </c>
      <c r="W66" t="str">
        <v>Patricia Moore</v>
      </c>
    </row>
    <row r="67" ht="15.75" customHeight="1" spans="1:23">
      <c r="A67" t="s">
        <v>210</v>
      </c>
      <c r="B67" s="2">
        <v>45481</v>
      </c>
      <c r="C67" t="str">
        <f t="shared" ref="C67:C130" si="8">TEXT(B67,"mmm-yyy")</f>
        <v>Jul-2024</v>
      </c>
      <c r="D67" t="s">
        <v>116</v>
      </c>
      <c r="E67" t="s">
        <v>117</v>
      </c>
      <c r="F67" t="str">
        <f t="shared" ref="F67:F130" si="9">LEFT(E67,1)&amp;MID(E67,FIND(" ",E67)+1,1)</f>
        <v>BY</v>
      </c>
      <c r="G67">
        <f t="shared" ref="G67:G130" si="10">COUNTIF(E:E,E67)</f>
        <v>5</v>
      </c>
      <c r="H67" t="s">
        <v>139</v>
      </c>
      <c r="I67" t="s">
        <v>140</v>
      </c>
      <c r="J67">
        <f t="shared" ref="J67:J130" si="11">COUNTIF(I:I,I67)</f>
        <v>34</v>
      </c>
      <c r="K67" t="s">
        <v>26</v>
      </c>
      <c r="L67">
        <v>5</v>
      </c>
      <c r="M67">
        <v>89.99</v>
      </c>
      <c r="N67" t="s">
        <v>69</v>
      </c>
      <c r="O67" t="s">
        <v>47</v>
      </c>
      <c r="P67" t="s">
        <v>34</v>
      </c>
      <c r="Q67" s="2">
        <v>45161</v>
      </c>
      <c r="R67">
        <f t="shared" ref="R67:R130" si="12">M67*L67</f>
        <v>449.95</v>
      </c>
      <c r="S67" t="str">
        <f t="shared" ref="S67:S130" si="13">IF(R67&gt;2000,"High-Value Customer","Other")</f>
        <v>Other</v>
      </c>
      <c r="W67" t="str">
        <v>Maria Garcia</v>
      </c>
    </row>
    <row r="68" ht="15.75" customHeight="1" spans="1:23">
      <c r="A68" t="s">
        <v>211</v>
      </c>
      <c r="B68" s="2">
        <v>45482</v>
      </c>
      <c r="C68" t="str">
        <f t="shared" si="8"/>
        <v>Jul-2024</v>
      </c>
      <c r="D68" t="s">
        <v>193</v>
      </c>
      <c r="E68" t="s">
        <v>194</v>
      </c>
      <c r="F68" t="str">
        <f t="shared" si="9"/>
        <v>RR</v>
      </c>
      <c r="G68">
        <f t="shared" si="10"/>
        <v>4</v>
      </c>
      <c r="H68" t="s">
        <v>38</v>
      </c>
      <c r="I68" t="s">
        <v>39</v>
      </c>
      <c r="J68">
        <f t="shared" si="11"/>
        <v>29</v>
      </c>
      <c r="K68" t="s">
        <v>40</v>
      </c>
      <c r="L68">
        <v>4</v>
      </c>
      <c r="M68">
        <v>59.99</v>
      </c>
      <c r="N68" t="s">
        <v>27</v>
      </c>
      <c r="O68" t="s">
        <v>42</v>
      </c>
      <c r="P68" t="s">
        <v>43</v>
      </c>
      <c r="Q68" s="2">
        <v>44509</v>
      </c>
      <c r="R68">
        <f t="shared" si="12"/>
        <v>239.96</v>
      </c>
      <c r="S68" t="str">
        <f t="shared" si="13"/>
        <v>Other</v>
      </c>
      <c r="W68" t="str">
        <v>Margaret Wright</v>
      </c>
    </row>
    <row r="69" ht="15.75" customHeight="1" spans="1:23">
      <c r="A69" t="s">
        <v>212</v>
      </c>
      <c r="B69" s="2">
        <v>45484</v>
      </c>
      <c r="C69" t="str">
        <f t="shared" si="8"/>
        <v>Jul-2024</v>
      </c>
      <c r="D69" t="s">
        <v>31</v>
      </c>
      <c r="E69" t="s">
        <v>32</v>
      </c>
      <c r="F69" t="str">
        <f t="shared" si="9"/>
        <v>JJ</v>
      </c>
      <c r="G69">
        <f t="shared" si="10"/>
        <v>5</v>
      </c>
      <c r="H69" t="s">
        <v>61</v>
      </c>
      <c r="I69" t="s">
        <v>62</v>
      </c>
      <c r="J69">
        <f t="shared" si="11"/>
        <v>16</v>
      </c>
      <c r="K69" t="s">
        <v>26</v>
      </c>
      <c r="L69">
        <v>1</v>
      </c>
      <c r="M69">
        <v>149.99</v>
      </c>
      <c r="N69" t="s">
        <v>27</v>
      </c>
      <c r="O69" t="s">
        <v>28</v>
      </c>
      <c r="P69" t="s">
        <v>43</v>
      </c>
      <c r="Q69" s="2">
        <v>44909</v>
      </c>
      <c r="R69">
        <f t="shared" si="12"/>
        <v>149.99</v>
      </c>
      <c r="S69" t="str">
        <f t="shared" si="13"/>
        <v>Other</v>
      </c>
      <c r="W69" t="str">
        <v>Paul Baker</v>
      </c>
    </row>
    <row r="70" ht="15.75" customHeight="1" spans="1:23">
      <c r="A70" t="s">
        <v>213</v>
      </c>
      <c r="B70" s="2">
        <v>45484</v>
      </c>
      <c r="C70" t="str">
        <f t="shared" si="8"/>
        <v>Jul-2024</v>
      </c>
      <c r="D70" t="s">
        <v>214</v>
      </c>
      <c r="E70" t="s">
        <v>215</v>
      </c>
      <c r="F70" t="str">
        <f t="shared" si="9"/>
        <v>FT</v>
      </c>
      <c r="G70">
        <f t="shared" si="10"/>
        <v>5</v>
      </c>
      <c r="H70" t="s">
        <v>126</v>
      </c>
      <c r="I70" t="s">
        <v>127</v>
      </c>
      <c r="J70">
        <f t="shared" si="11"/>
        <v>26</v>
      </c>
      <c r="K70" t="s">
        <v>53</v>
      </c>
      <c r="L70">
        <v>1</v>
      </c>
      <c r="M70">
        <v>299.99</v>
      </c>
      <c r="N70" t="s">
        <v>33</v>
      </c>
      <c r="O70" t="s">
        <v>47</v>
      </c>
      <c r="P70" t="s">
        <v>34</v>
      </c>
      <c r="Q70" s="2">
        <v>44891</v>
      </c>
      <c r="R70">
        <f t="shared" si="12"/>
        <v>299.99</v>
      </c>
      <c r="S70" t="str">
        <f t="shared" si="13"/>
        <v>Other</v>
      </c>
      <c r="W70" t="str">
        <v>Edward Mitchell</v>
      </c>
    </row>
    <row r="71" ht="15.75" customHeight="1" spans="1:23">
      <c r="A71" t="s">
        <v>216</v>
      </c>
      <c r="B71" s="2">
        <v>45487</v>
      </c>
      <c r="C71" t="str">
        <f t="shared" si="8"/>
        <v>Jul-2024</v>
      </c>
      <c r="D71" t="s">
        <v>214</v>
      </c>
      <c r="E71" t="s">
        <v>215</v>
      </c>
      <c r="F71" t="str">
        <f t="shared" si="9"/>
        <v>FT</v>
      </c>
      <c r="G71">
        <f t="shared" si="10"/>
        <v>5</v>
      </c>
      <c r="H71" t="s">
        <v>148</v>
      </c>
      <c r="I71" t="s">
        <v>149</v>
      </c>
      <c r="J71">
        <f t="shared" si="11"/>
        <v>15</v>
      </c>
      <c r="K71" t="s">
        <v>53</v>
      </c>
      <c r="L71">
        <v>2</v>
      </c>
      <c r="M71">
        <v>199.99</v>
      </c>
      <c r="N71" t="s">
        <v>27</v>
      </c>
      <c r="O71" t="s">
        <v>47</v>
      </c>
      <c r="P71" t="s">
        <v>29</v>
      </c>
      <c r="Q71" s="2">
        <v>44541</v>
      </c>
      <c r="R71">
        <f t="shared" si="12"/>
        <v>399.98</v>
      </c>
      <c r="S71" t="str">
        <f t="shared" si="13"/>
        <v>Other</v>
      </c>
      <c r="W71" t="str">
        <v>Kevin Scott</v>
      </c>
    </row>
    <row r="72" ht="15.75" customHeight="1" spans="1:23">
      <c r="A72" t="s">
        <v>217</v>
      </c>
      <c r="B72" s="2">
        <v>45490</v>
      </c>
      <c r="C72" t="str">
        <f t="shared" si="8"/>
        <v>Jul-2024</v>
      </c>
      <c r="D72" t="s">
        <v>218</v>
      </c>
      <c r="E72" t="s">
        <v>219</v>
      </c>
      <c r="F72" t="str">
        <f t="shared" si="9"/>
        <v>GM</v>
      </c>
      <c r="G72">
        <f t="shared" si="10"/>
        <v>4</v>
      </c>
      <c r="H72" t="s">
        <v>38</v>
      </c>
      <c r="I72" t="s">
        <v>39</v>
      </c>
      <c r="J72">
        <f t="shared" si="11"/>
        <v>29</v>
      </c>
      <c r="K72" t="s">
        <v>40</v>
      </c>
      <c r="L72">
        <v>3</v>
      </c>
      <c r="M72">
        <v>59.99</v>
      </c>
      <c r="N72" t="s">
        <v>33</v>
      </c>
      <c r="O72" t="s">
        <v>58</v>
      </c>
      <c r="P72" t="s">
        <v>29</v>
      </c>
      <c r="Q72" s="2">
        <v>45130</v>
      </c>
      <c r="R72">
        <f t="shared" si="12"/>
        <v>179.97</v>
      </c>
      <c r="S72" t="str">
        <f t="shared" si="13"/>
        <v>Other</v>
      </c>
      <c r="W72" t="str">
        <v>Charles Allen</v>
      </c>
    </row>
    <row r="73" ht="15.75" customHeight="1" spans="1:23">
      <c r="A73" t="s">
        <v>220</v>
      </c>
      <c r="B73" s="2">
        <v>45490</v>
      </c>
      <c r="C73" t="str">
        <f t="shared" si="8"/>
        <v>Jul-2024</v>
      </c>
      <c r="D73" t="s">
        <v>89</v>
      </c>
      <c r="E73" t="s">
        <v>90</v>
      </c>
      <c r="F73" t="str">
        <f t="shared" si="9"/>
        <v>PR</v>
      </c>
      <c r="G73">
        <f t="shared" si="10"/>
        <v>5</v>
      </c>
      <c r="H73" t="s">
        <v>51</v>
      </c>
      <c r="I73" t="s">
        <v>52</v>
      </c>
      <c r="J73">
        <f t="shared" si="11"/>
        <v>35</v>
      </c>
      <c r="K73" t="s">
        <v>53</v>
      </c>
      <c r="L73">
        <v>3</v>
      </c>
      <c r="M73">
        <v>149.99</v>
      </c>
      <c r="N73" t="s">
        <v>27</v>
      </c>
      <c r="O73" t="s">
        <v>28</v>
      </c>
      <c r="P73" t="s">
        <v>34</v>
      </c>
      <c r="Q73" s="2">
        <v>45199</v>
      </c>
      <c r="R73">
        <f t="shared" si="12"/>
        <v>449.97</v>
      </c>
      <c r="S73" t="str">
        <f t="shared" si="13"/>
        <v>Other</v>
      </c>
      <c r="W73" t="str">
        <v>Joseph Jackson</v>
      </c>
    </row>
    <row r="74" ht="15.75" customHeight="1" spans="1:23">
      <c r="A74" t="s">
        <v>221</v>
      </c>
      <c r="B74" s="2">
        <v>45491</v>
      </c>
      <c r="C74" t="str">
        <f t="shared" si="8"/>
        <v>Jul-2024</v>
      </c>
      <c r="D74" t="s">
        <v>82</v>
      </c>
      <c r="E74" t="s">
        <v>83</v>
      </c>
      <c r="F74" t="str">
        <f t="shared" si="9"/>
        <v>KH</v>
      </c>
      <c r="G74">
        <f t="shared" si="10"/>
        <v>8</v>
      </c>
      <c r="H74" t="s">
        <v>148</v>
      </c>
      <c r="I74" t="s">
        <v>149</v>
      </c>
      <c r="J74">
        <f t="shared" si="11"/>
        <v>15</v>
      </c>
      <c r="K74" t="s">
        <v>53</v>
      </c>
      <c r="L74">
        <v>3</v>
      </c>
      <c r="M74">
        <v>199.99</v>
      </c>
      <c r="N74" t="s">
        <v>27</v>
      </c>
      <c r="O74" t="s">
        <v>47</v>
      </c>
      <c r="P74" t="s">
        <v>34</v>
      </c>
      <c r="Q74" s="2">
        <v>45254</v>
      </c>
      <c r="R74">
        <f t="shared" si="12"/>
        <v>599.97</v>
      </c>
      <c r="S74" t="str">
        <f t="shared" si="13"/>
        <v>Other</v>
      </c>
      <c r="W74" t="str">
        <v>William White</v>
      </c>
    </row>
    <row r="75" ht="15.75" customHeight="1" spans="1:23">
      <c r="A75" t="s">
        <v>222</v>
      </c>
      <c r="B75" s="2">
        <v>45496</v>
      </c>
      <c r="C75" t="str">
        <f t="shared" si="8"/>
        <v>Jul-2024</v>
      </c>
      <c r="D75" t="s">
        <v>172</v>
      </c>
      <c r="E75" t="s">
        <v>173</v>
      </c>
      <c r="F75" t="str">
        <f t="shared" si="9"/>
        <v>SB</v>
      </c>
      <c r="G75">
        <f t="shared" si="10"/>
        <v>6</v>
      </c>
      <c r="H75" t="s">
        <v>77</v>
      </c>
      <c r="I75" t="s">
        <v>78</v>
      </c>
      <c r="J75">
        <f t="shared" si="11"/>
        <v>24</v>
      </c>
      <c r="K75" t="s">
        <v>26</v>
      </c>
      <c r="L75">
        <v>1</v>
      </c>
      <c r="M75">
        <v>899.99</v>
      </c>
      <c r="N75" t="s">
        <v>27</v>
      </c>
      <c r="O75" t="s">
        <v>28</v>
      </c>
      <c r="P75" t="s">
        <v>43</v>
      </c>
      <c r="Q75" s="2">
        <v>45179</v>
      </c>
      <c r="R75">
        <f t="shared" si="12"/>
        <v>899.99</v>
      </c>
      <c r="S75" t="str">
        <f t="shared" si="13"/>
        <v>Other</v>
      </c>
      <c r="W75" t="str">
        <v>Dorothy Nelson</v>
      </c>
    </row>
    <row r="76" ht="15.75" customHeight="1" spans="1:23">
      <c r="A76" t="s">
        <v>223</v>
      </c>
      <c r="B76" s="2">
        <v>45497</v>
      </c>
      <c r="C76" t="str">
        <f t="shared" si="8"/>
        <v>Jul-2024</v>
      </c>
      <c r="D76" t="s">
        <v>31</v>
      </c>
      <c r="E76" t="s">
        <v>32</v>
      </c>
      <c r="F76" t="str">
        <f t="shared" si="9"/>
        <v>JJ</v>
      </c>
      <c r="G76">
        <f t="shared" si="10"/>
        <v>5</v>
      </c>
      <c r="H76" t="s">
        <v>77</v>
      </c>
      <c r="I76" t="s">
        <v>78</v>
      </c>
      <c r="J76">
        <f t="shared" si="11"/>
        <v>24</v>
      </c>
      <c r="K76" t="s">
        <v>26</v>
      </c>
      <c r="L76">
        <v>5</v>
      </c>
      <c r="M76">
        <v>899.99</v>
      </c>
      <c r="N76" t="s">
        <v>69</v>
      </c>
      <c r="O76" t="s">
        <v>42</v>
      </c>
      <c r="P76" t="s">
        <v>43</v>
      </c>
      <c r="Q76" s="2">
        <v>44899</v>
      </c>
      <c r="R76">
        <f t="shared" si="12"/>
        <v>4499.95</v>
      </c>
      <c r="S76" t="str">
        <f t="shared" si="13"/>
        <v>High-Value Customer</v>
      </c>
      <c r="W76" t="str">
        <v>Nancy Collins</v>
      </c>
    </row>
    <row r="77" ht="15.75" customHeight="1" spans="1:23">
      <c r="A77" t="s">
        <v>224</v>
      </c>
      <c r="B77" s="2">
        <v>45498</v>
      </c>
      <c r="C77" t="str">
        <f t="shared" si="8"/>
        <v>Jul-2024</v>
      </c>
      <c r="D77" t="s">
        <v>204</v>
      </c>
      <c r="E77" t="s">
        <v>205</v>
      </c>
      <c r="F77" t="str">
        <f t="shared" si="9"/>
        <v>DM</v>
      </c>
      <c r="G77">
        <f t="shared" si="10"/>
        <v>6</v>
      </c>
      <c r="H77" t="s">
        <v>38</v>
      </c>
      <c r="I77" t="s">
        <v>39</v>
      </c>
      <c r="J77">
        <f t="shared" si="11"/>
        <v>29</v>
      </c>
      <c r="K77" t="s">
        <v>40</v>
      </c>
      <c r="L77">
        <v>2</v>
      </c>
      <c r="M77">
        <v>59.99</v>
      </c>
      <c r="N77" t="s">
        <v>27</v>
      </c>
      <c r="O77" t="s">
        <v>47</v>
      </c>
      <c r="P77" t="s">
        <v>43</v>
      </c>
      <c r="Q77" s="2">
        <v>45152</v>
      </c>
      <c r="R77">
        <f t="shared" si="12"/>
        <v>119.98</v>
      </c>
      <c r="S77" t="str">
        <f t="shared" si="13"/>
        <v>Other</v>
      </c>
      <c r="W77" t="str">
        <v>James Johnson</v>
      </c>
    </row>
    <row r="78" ht="15.75" customHeight="1" spans="1:23">
      <c r="A78" t="s">
        <v>225</v>
      </c>
      <c r="B78" s="2">
        <v>45498</v>
      </c>
      <c r="C78" t="str">
        <f t="shared" si="8"/>
        <v>Jul-2024</v>
      </c>
      <c r="D78" t="s">
        <v>218</v>
      </c>
      <c r="E78" t="s">
        <v>219</v>
      </c>
      <c r="F78" t="str">
        <f t="shared" si="9"/>
        <v>GM</v>
      </c>
      <c r="G78">
        <f t="shared" si="10"/>
        <v>4</v>
      </c>
      <c r="H78" t="s">
        <v>24</v>
      </c>
      <c r="I78" t="s">
        <v>25</v>
      </c>
      <c r="J78">
        <f t="shared" si="11"/>
        <v>26</v>
      </c>
      <c r="K78" t="s">
        <v>26</v>
      </c>
      <c r="L78">
        <v>4</v>
      </c>
      <c r="M78">
        <v>249.99</v>
      </c>
      <c r="N78" t="s">
        <v>69</v>
      </c>
      <c r="O78" t="s">
        <v>28</v>
      </c>
      <c r="P78" t="s">
        <v>43</v>
      </c>
      <c r="Q78" s="2">
        <v>45127</v>
      </c>
      <c r="R78">
        <f t="shared" si="12"/>
        <v>999.96</v>
      </c>
      <c r="S78" t="str">
        <f t="shared" si="13"/>
        <v>Other</v>
      </c>
      <c r="W78" t="str">
        <v>Steven Turner</v>
      </c>
    </row>
    <row r="79" ht="15.75" customHeight="1" spans="1:23">
      <c r="A79" t="s">
        <v>226</v>
      </c>
      <c r="B79" s="2">
        <v>45500</v>
      </c>
      <c r="C79" t="str">
        <f t="shared" si="8"/>
        <v>Jul-2024</v>
      </c>
      <c r="D79" t="s">
        <v>116</v>
      </c>
      <c r="E79" t="s">
        <v>117</v>
      </c>
      <c r="F79" t="str">
        <f t="shared" si="9"/>
        <v>BY</v>
      </c>
      <c r="G79">
        <f t="shared" si="10"/>
        <v>5</v>
      </c>
      <c r="H79" t="s">
        <v>24</v>
      </c>
      <c r="I79" t="s">
        <v>25</v>
      </c>
      <c r="J79">
        <f t="shared" si="11"/>
        <v>26</v>
      </c>
      <c r="K79" t="s">
        <v>26</v>
      </c>
      <c r="L79">
        <v>2</v>
      </c>
      <c r="M79">
        <v>249.99</v>
      </c>
      <c r="N79" t="s">
        <v>27</v>
      </c>
      <c r="O79" t="s">
        <v>47</v>
      </c>
      <c r="P79" t="s">
        <v>34</v>
      </c>
      <c r="Q79" s="2">
        <v>45164</v>
      </c>
      <c r="R79">
        <f t="shared" si="12"/>
        <v>499.98</v>
      </c>
      <c r="S79" t="str">
        <f t="shared" si="13"/>
        <v>Other</v>
      </c>
      <c r="W79" t="str">
        <v>Linda Martin</v>
      </c>
    </row>
    <row r="80" ht="15.75" customHeight="1" spans="1:23">
      <c r="A80" t="s">
        <v>227</v>
      </c>
      <c r="B80" s="2">
        <v>45500</v>
      </c>
      <c r="C80" t="str">
        <f t="shared" si="8"/>
        <v>Jul-2024</v>
      </c>
      <c r="D80" t="s">
        <v>169</v>
      </c>
      <c r="E80" t="s">
        <v>170</v>
      </c>
      <c r="F80" t="str">
        <f t="shared" si="9"/>
        <v>DK</v>
      </c>
      <c r="G80">
        <f t="shared" si="10"/>
        <v>7</v>
      </c>
      <c r="H80" t="s">
        <v>126</v>
      </c>
      <c r="I80" t="s">
        <v>127</v>
      </c>
      <c r="J80">
        <f t="shared" si="11"/>
        <v>26</v>
      </c>
      <c r="K80" t="s">
        <v>53</v>
      </c>
      <c r="L80">
        <v>1</v>
      </c>
      <c r="M80">
        <v>299.99</v>
      </c>
      <c r="N80" t="s">
        <v>27</v>
      </c>
      <c r="O80" t="s">
        <v>42</v>
      </c>
      <c r="P80" t="s">
        <v>29</v>
      </c>
      <c r="Q80" s="2">
        <v>44982</v>
      </c>
      <c r="R80">
        <f t="shared" si="12"/>
        <v>299.99</v>
      </c>
      <c r="S80" t="str">
        <f t="shared" si="13"/>
        <v>Other</v>
      </c>
      <c r="W80" t="str">
        <v>Robert Thomas</v>
      </c>
    </row>
    <row r="81" ht="15.75" customHeight="1" spans="1:23">
      <c r="A81" t="s">
        <v>228</v>
      </c>
      <c r="B81" s="2">
        <v>45501</v>
      </c>
      <c r="C81" t="str">
        <f t="shared" si="8"/>
        <v>Jul-2024</v>
      </c>
      <c r="D81" t="s">
        <v>104</v>
      </c>
      <c r="E81" t="s">
        <v>105</v>
      </c>
      <c r="F81" t="str">
        <f t="shared" si="9"/>
        <v>MC</v>
      </c>
      <c r="G81">
        <f t="shared" si="10"/>
        <v>12</v>
      </c>
      <c r="H81" t="s">
        <v>139</v>
      </c>
      <c r="I81" t="s">
        <v>140</v>
      </c>
      <c r="J81">
        <f t="shared" si="11"/>
        <v>34</v>
      </c>
      <c r="K81" t="s">
        <v>26</v>
      </c>
      <c r="L81">
        <v>2</v>
      </c>
      <c r="M81">
        <v>89.99</v>
      </c>
      <c r="N81" t="s">
        <v>41</v>
      </c>
      <c r="O81" t="s">
        <v>42</v>
      </c>
      <c r="P81" t="s">
        <v>29</v>
      </c>
      <c r="Q81" s="2">
        <v>44976</v>
      </c>
      <c r="R81">
        <f t="shared" si="12"/>
        <v>179.98</v>
      </c>
      <c r="S81" t="str">
        <f t="shared" si="13"/>
        <v>Other</v>
      </c>
      <c r="W81" t="str">
        <v>Nancy Collins</v>
      </c>
    </row>
    <row r="82" ht="15.75" customHeight="1" spans="1:23">
      <c r="A82" t="s">
        <v>229</v>
      </c>
      <c r="B82" s="2">
        <v>45501</v>
      </c>
      <c r="C82" t="str">
        <f t="shared" si="8"/>
        <v>Jul-2024</v>
      </c>
      <c r="D82" t="s">
        <v>169</v>
      </c>
      <c r="E82" t="s">
        <v>170</v>
      </c>
      <c r="F82" t="str">
        <f t="shared" si="9"/>
        <v>DK</v>
      </c>
      <c r="G82">
        <f t="shared" si="10"/>
        <v>7</v>
      </c>
      <c r="H82" t="s">
        <v>126</v>
      </c>
      <c r="I82" t="s">
        <v>127</v>
      </c>
      <c r="J82">
        <f t="shared" si="11"/>
        <v>26</v>
      </c>
      <c r="K82" t="s">
        <v>53</v>
      </c>
      <c r="L82">
        <v>3</v>
      </c>
      <c r="M82">
        <v>299.99</v>
      </c>
      <c r="N82" t="s">
        <v>27</v>
      </c>
      <c r="O82" t="s">
        <v>28</v>
      </c>
      <c r="P82" t="s">
        <v>29</v>
      </c>
      <c r="Q82" s="2">
        <v>44732</v>
      </c>
      <c r="R82">
        <f t="shared" si="12"/>
        <v>899.97</v>
      </c>
      <c r="S82" t="str">
        <f t="shared" si="13"/>
        <v>Other</v>
      </c>
      <c r="W82" t="str">
        <v>Mark Carter</v>
      </c>
    </row>
    <row r="83" ht="15.75" customHeight="1" spans="1:23">
      <c r="A83" t="s">
        <v>230</v>
      </c>
      <c r="B83" s="2">
        <v>45503</v>
      </c>
      <c r="C83" t="str">
        <f t="shared" si="8"/>
        <v>Jul-2024</v>
      </c>
      <c r="D83" t="s">
        <v>104</v>
      </c>
      <c r="E83" t="s">
        <v>105</v>
      </c>
      <c r="F83" t="str">
        <f t="shared" si="9"/>
        <v>MC</v>
      </c>
      <c r="G83">
        <f t="shared" si="10"/>
        <v>12</v>
      </c>
      <c r="H83" t="s">
        <v>98</v>
      </c>
      <c r="I83" t="s">
        <v>99</v>
      </c>
      <c r="J83">
        <f t="shared" si="11"/>
        <v>31</v>
      </c>
      <c r="K83" t="s">
        <v>26</v>
      </c>
      <c r="L83">
        <v>2</v>
      </c>
      <c r="M83">
        <v>699.99</v>
      </c>
      <c r="N83" t="s">
        <v>33</v>
      </c>
      <c r="O83" t="s">
        <v>47</v>
      </c>
      <c r="P83" t="s">
        <v>34</v>
      </c>
      <c r="Q83" s="2">
        <v>44999</v>
      </c>
      <c r="R83">
        <f t="shared" si="12"/>
        <v>1399.98</v>
      </c>
      <c r="S83" t="str">
        <f t="shared" si="13"/>
        <v>Other</v>
      </c>
      <c r="W83" t="str">
        <v>Daniel King</v>
      </c>
    </row>
    <row r="84" ht="15.75" customHeight="1" spans="1:23">
      <c r="A84" t="s">
        <v>231</v>
      </c>
      <c r="B84" s="2">
        <v>45504</v>
      </c>
      <c r="C84" t="str">
        <f t="shared" si="8"/>
        <v>Jul-2024</v>
      </c>
      <c r="D84" t="s">
        <v>142</v>
      </c>
      <c r="E84" t="s">
        <v>143</v>
      </c>
      <c r="F84" t="str">
        <f t="shared" si="9"/>
        <v>HR</v>
      </c>
      <c r="G84">
        <f t="shared" si="10"/>
        <v>7</v>
      </c>
      <c r="H84" t="s">
        <v>77</v>
      </c>
      <c r="I84" t="s">
        <v>78</v>
      </c>
      <c r="J84">
        <f t="shared" si="11"/>
        <v>24</v>
      </c>
      <c r="K84" t="s">
        <v>26</v>
      </c>
      <c r="L84">
        <v>4</v>
      </c>
      <c r="M84">
        <v>899.99</v>
      </c>
      <c r="N84" t="s">
        <v>69</v>
      </c>
      <c r="O84" t="s">
        <v>42</v>
      </c>
      <c r="P84" t="s">
        <v>43</v>
      </c>
      <c r="Q84" s="2">
        <v>44523</v>
      </c>
      <c r="R84">
        <f t="shared" si="12"/>
        <v>3599.96</v>
      </c>
      <c r="S84" t="str">
        <f t="shared" si="13"/>
        <v>High-Value Customer</v>
      </c>
      <c r="W84" t="str">
        <v>Lisa Anderson</v>
      </c>
    </row>
    <row r="85" ht="15.75" customHeight="1" spans="1:23">
      <c r="A85" t="s">
        <v>232</v>
      </c>
      <c r="B85" s="2">
        <v>45509</v>
      </c>
      <c r="C85" t="str">
        <f t="shared" si="8"/>
        <v>Aug-2024</v>
      </c>
      <c r="D85" t="s">
        <v>233</v>
      </c>
      <c r="E85" t="s">
        <v>234</v>
      </c>
      <c r="F85" t="str">
        <f t="shared" si="9"/>
        <v>EH</v>
      </c>
      <c r="G85">
        <f t="shared" si="10"/>
        <v>4</v>
      </c>
      <c r="H85" t="s">
        <v>51</v>
      </c>
      <c r="I85" t="s">
        <v>52</v>
      </c>
      <c r="J85">
        <f t="shared" si="11"/>
        <v>35</v>
      </c>
      <c r="K85" t="s">
        <v>53</v>
      </c>
      <c r="L85">
        <v>2</v>
      </c>
      <c r="M85">
        <v>149.99</v>
      </c>
      <c r="N85" t="s">
        <v>33</v>
      </c>
      <c r="O85" t="s">
        <v>58</v>
      </c>
      <c r="P85" t="s">
        <v>29</v>
      </c>
      <c r="Q85" s="2">
        <v>44542</v>
      </c>
      <c r="R85">
        <f t="shared" si="12"/>
        <v>299.98</v>
      </c>
      <c r="S85" t="str">
        <f t="shared" si="13"/>
        <v>Other</v>
      </c>
      <c r="W85" t="str">
        <v>Karen Hill</v>
      </c>
    </row>
    <row r="86" ht="15.75" customHeight="1" spans="1:23">
      <c r="A86" t="s">
        <v>235</v>
      </c>
      <c r="B86" s="2">
        <v>45510</v>
      </c>
      <c r="C86" t="str">
        <f t="shared" si="8"/>
        <v>Aug-2024</v>
      </c>
      <c r="D86" t="s">
        <v>123</v>
      </c>
      <c r="E86" t="s">
        <v>124</v>
      </c>
      <c r="F86" t="str">
        <f t="shared" si="9"/>
        <v>CP</v>
      </c>
      <c r="G86">
        <f t="shared" si="10"/>
        <v>5</v>
      </c>
      <c r="H86" t="s">
        <v>51</v>
      </c>
      <c r="I86" t="s">
        <v>52</v>
      </c>
      <c r="J86">
        <f t="shared" si="11"/>
        <v>35</v>
      </c>
      <c r="K86" t="s">
        <v>53</v>
      </c>
      <c r="L86">
        <v>2</v>
      </c>
      <c r="M86">
        <v>149.99</v>
      </c>
      <c r="N86" t="s">
        <v>69</v>
      </c>
      <c r="O86" t="s">
        <v>79</v>
      </c>
      <c r="P86" t="s">
        <v>43</v>
      </c>
      <c r="Q86" s="2">
        <v>44667</v>
      </c>
      <c r="R86">
        <f t="shared" si="12"/>
        <v>299.98</v>
      </c>
      <c r="S86" t="str">
        <f t="shared" si="13"/>
        <v>Other</v>
      </c>
      <c r="W86" t="str">
        <v>Michelle Rogers</v>
      </c>
    </row>
    <row r="87" ht="15.75" customHeight="1" spans="1:23">
      <c r="A87" t="s">
        <v>236</v>
      </c>
      <c r="B87" s="2">
        <v>45513</v>
      </c>
      <c r="C87" t="str">
        <f t="shared" si="8"/>
        <v>Aug-2024</v>
      </c>
      <c r="D87" t="s">
        <v>107</v>
      </c>
      <c r="E87" t="s">
        <v>108</v>
      </c>
      <c r="F87" t="str">
        <f t="shared" si="9"/>
        <v>MG</v>
      </c>
      <c r="G87">
        <f t="shared" si="10"/>
        <v>4</v>
      </c>
      <c r="H87" t="s">
        <v>139</v>
      </c>
      <c r="I87" t="s">
        <v>140</v>
      </c>
      <c r="J87">
        <f t="shared" si="11"/>
        <v>34</v>
      </c>
      <c r="K87" t="s">
        <v>26</v>
      </c>
      <c r="L87">
        <v>1</v>
      </c>
      <c r="M87">
        <v>89.99</v>
      </c>
      <c r="N87" t="s">
        <v>33</v>
      </c>
      <c r="O87" t="s">
        <v>47</v>
      </c>
      <c r="P87" t="s">
        <v>43</v>
      </c>
      <c r="Q87" s="2">
        <v>45393</v>
      </c>
      <c r="R87">
        <f t="shared" si="12"/>
        <v>89.99</v>
      </c>
      <c r="S87" t="str">
        <f t="shared" si="13"/>
        <v>Other</v>
      </c>
      <c r="W87" t="str">
        <v>Betty Campbell</v>
      </c>
    </row>
    <row r="88" ht="15.75" customHeight="1" spans="1:23">
      <c r="A88" t="s">
        <v>237</v>
      </c>
      <c r="B88" s="2">
        <v>45515</v>
      </c>
      <c r="C88" t="str">
        <f t="shared" si="8"/>
        <v>Aug-2024</v>
      </c>
      <c r="D88" t="s">
        <v>104</v>
      </c>
      <c r="E88" t="s">
        <v>105</v>
      </c>
      <c r="F88" t="str">
        <f t="shared" si="9"/>
        <v>MC</v>
      </c>
      <c r="G88">
        <f t="shared" si="10"/>
        <v>12</v>
      </c>
      <c r="H88" t="s">
        <v>126</v>
      </c>
      <c r="I88" t="s">
        <v>127</v>
      </c>
      <c r="J88">
        <f t="shared" si="11"/>
        <v>26</v>
      </c>
      <c r="K88" t="s">
        <v>53</v>
      </c>
      <c r="L88">
        <v>5</v>
      </c>
      <c r="M88">
        <v>299.99</v>
      </c>
      <c r="N88" t="s">
        <v>33</v>
      </c>
      <c r="O88" t="s">
        <v>47</v>
      </c>
      <c r="P88" t="s">
        <v>29</v>
      </c>
      <c r="Q88" s="2">
        <v>44965</v>
      </c>
      <c r="R88">
        <f t="shared" si="12"/>
        <v>1499.95</v>
      </c>
      <c r="S88" t="str">
        <f t="shared" si="13"/>
        <v>Other</v>
      </c>
      <c r="W88" t="str">
        <v>Dorothy Nelson</v>
      </c>
    </row>
    <row r="89" ht="15.75" customHeight="1" spans="1:23">
      <c r="A89" t="s">
        <v>238</v>
      </c>
      <c r="B89" s="2">
        <v>45517</v>
      </c>
      <c r="C89" t="str">
        <f t="shared" si="8"/>
        <v>Aug-2024</v>
      </c>
      <c r="D89" t="s">
        <v>204</v>
      </c>
      <c r="E89" t="s">
        <v>205</v>
      </c>
      <c r="F89" t="str">
        <f t="shared" si="9"/>
        <v>DM</v>
      </c>
      <c r="G89">
        <f t="shared" si="10"/>
        <v>6</v>
      </c>
      <c r="H89" t="s">
        <v>61</v>
      </c>
      <c r="I89" t="s">
        <v>62</v>
      </c>
      <c r="J89">
        <f t="shared" si="11"/>
        <v>16</v>
      </c>
      <c r="K89" t="s">
        <v>26</v>
      </c>
      <c r="L89">
        <v>4</v>
      </c>
      <c r="M89">
        <v>149.99</v>
      </c>
      <c r="N89" t="s">
        <v>69</v>
      </c>
      <c r="O89" t="s">
        <v>42</v>
      </c>
      <c r="P89" t="s">
        <v>34</v>
      </c>
      <c r="Q89" s="2">
        <v>44820</v>
      </c>
      <c r="R89">
        <f t="shared" si="12"/>
        <v>599.96</v>
      </c>
      <c r="S89" t="str">
        <f t="shared" si="13"/>
        <v>Other</v>
      </c>
      <c r="W89" t="str">
        <v>Douglas Watson</v>
      </c>
    </row>
    <row r="90" ht="15.75" customHeight="1" spans="1:23">
      <c r="A90" t="s">
        <v>239</v>
      </c>
      <c r="B90" s="2">
        <v>45517</v>
      </c>
      <c r="C90" t="str">
        <f t="shared" si="8"/>
        <v>Aug-2024</v>
      </c>
      <c r="D90" t="s">
        <v>207</v>
      </c>
      <c r="E90" t="s">
        <v>208</v>
      </c>
      <c r="F90" t="str">
        <f t="shared" si="9"/>
        <v>MW</v>
      </c>
      <c r="G90">
        <f t="shared" si="10"/>
        <v>4</v>
      </c>
      <c r="H90" t="s">
        <v>24</v>
      </c>
      <c r="I90" t="s">
        <v>25</v>
      </c>
      <c r="J90">
        <f t="shared" si="11"/>
        <v>26</v>
      </c>
      <c r="K90" t="s">
        <v>26</v>
      </c>
      <c r="L90">
        <v>5</v>
      </c>
      <c r="M90">
        <v>249.99</v>
      </c>
      <c r="N90" t="s">
        <v>41</v>
      </c>
      <c r="O90" t="s">
        <v>79</v>
      </c>
      <c r="P90" t="s">
        <v>34</v>
      </c>
      <c r="Q90" s="2">
        <v>44782</v>
      </c>
      <c r="R90">
        <f t="shared" si="12"/>
        <v>1249.95</v>
      </c>
      <c r="S90" t="str">
        <f t="shared" si="13"/>
        <v>Other</v>
      </c>
      <c r="W90" t="str">
        <v>Karen Hill</v>
      </c>
    </row>
    <row r="91" ht="15.75" customHeight="1" spans="1:23">
      <c r="A91" t="s">
        <v>240</v>
      </c>
      <c r="B91" s="2">
        <v>45517</v>
      </c>
      <c r="C91" t="str">
        <f t="shared" si="8"/>
        <v>Aug-2024</v>
      </c>
      <c r="D91" t="s">
        <v>82</v>
      </c>
      <c r="E91" t="s">
        <v>83</v>
      </c>
      <c r="F91" t="str">
        <f t="shared" si="9"/>
        <v>KH</v>
      </c>
      <c r="G91">
        <f t="shared" si="10"/>
        <v>8</v>
      </c>
      <c r="H91" t="s">
        <v>24</v>
      </c>
      <c r="I91" t="s">
        <v>25</v>
      </c>
      <c r="J91">
        <f t="shared" si="11"/>
        <v>26</v>
      </c>
      <c r="K91" t="s">
        <v>26</v>
      </c>
      <c r="L91">
        <v>3</v>
      </c>
      <c r="M91">
        <v>249.99</v>
      </c>
      <c r="N91" t="s">
        <v>41</v>
      </c>
      <c r="O91" t="s">
        <v>47</v>
      </c>
      <c r="P91" t="s">
        <v>34</v>
      </c>
      <c r="Q91" s="2">
        <v>44465</v>
      </c>
      <c r="R91">
        <f t="shared" si="12"/>
        <v>749.97</v>
      </c>
      <c r="S91" t="str">
        <f t="shared" si="13"/>
        <v>Other</v>
      </c>
      <c r="W91" t="str">
        <v>Michael Brown</v>
      </c>
    </row>
    <row r="92" ht="15.75" customHeight="1" spans="1:23">
      <c r="A92" t="s">
        <v>241</v>
      </c>
      <c r="B92" s="2">
        <v>45517</v>
      </c>
      <c r="C92" t="str">
        <f t="shared" si="8"/>
        <v>Aug-2024</v>
      </c>
      <c r="D92" t="s">
        <v>45</v>
      </c>
      <c r="E92" t="s">
        <v>46</v>
      </c>
      <c r="F92" t="str">
        <f t="shared" si="9"/>
        <v>KB</v>
      </c>
      <c r="G92">
        <f t="shared" si="10"/>
        <v>6</v>
      </c>
      <c r="H92" t="s">
        <v>148</v>
      </c>
      <c r="I92" t="s">
        <v>149</v>
      </c>
      <c r="J92">
        <f t="shared" si="11"/>
        <v>15</v>
      </c>
      <c r="K92" t="s">
        <v>53</v>
      </c>
      <c r="L92">
        <v>4</v>
      </c>
      <c r="M92">
        <v>199.99</v>
      </c>
      <c r="N92" t="s">
        <v>27</v>
      </c>
      <c r="O92" t="s">
        <v>47</v>
      </c>
      <c r="P92" t="s">
        <v>43</v>
      </c>
      <c r="Q92" s="2">
        <v>44458</v>
      </c>
      <c r="R92">
        <f t="shared" si="12"/>
        <v>799.96</v>
      </c>
      <c r="S92" t="str">
        <f t="shared" si="13"/>
        <v>Other</v>
      </c>
      <c r="W92" t="str">
        <v>Ruth Brooks</v>
      </c>
    </row>
    <row r="93" ht="15.75" customHeight="1" spans="1:23">
      <c r="A93" t="s">
        <v>242</v>
      </c>
      <c r="B93" s="2">
        <v>45519</v>
      </c>
      <c r="C93" t="str">
        <f t="shared" si="8"/>
        <v>Aug-2024</v>
      </c>
      <c r="D93" t="s">
        <v>180</v>
      </c>
      <c r="E93" t="s">
        <v>181</v>
      </c>
      <c r="F93" t="str">
        <f t="shared" si="9"/>
        <v>BC</v>
      </c>
      <c r="G93">
        <f t="shared" si="10"/>
        <v>5</v>
      </c>
      <c r="H93" t="s">
        <v>148</v>
      </c>
      <c r="I93" t="s">
        <v>149</v>
      </c>
      <c r="J93">
        <f t="shared" si="11"/>
        <v>15</v>
      </c>
      <c r="K93" t="s">
        <v>53</v>
      </c>
      <c r="L93">
        <v>5</v>
      </c>
      <c r="M93">
        <v>199.99</v>
      </c>
      <c r="N93" t="s">
        <v>27</v>
      </c>
      <c r="O93" t="s">
        <v>47</v>
      </c>
      <c r="P93" t="s">
        <v>34</v>
      </c>
      <c r="Q93" s="2">
        <v>44991</v>
      </c>
      <c r="R93">
        <f t="shared" si="12"/>
        <v>999.95</v>
      </c>
      <c r="S93" t="str">
        <f t="shared" si="13"/>
        <v>Other</v>
      </c>
      <c r="W93" t="str">
        <v>Nancy Collins</v>
      </c>
    </row>
    <row r="94" ht="15.75" customHeight="1" spans="1:23">
      <c r="A94" t="s">
        <v>243</v>
      </c>
      <c r="B94" s="2">
        <v>45522</v>
      </c>
      <c r="C94" t="str">
        <f t="shared" si="8"/>
        <v>Aug-2024</v>
      </c>
      <c r="D94" t="s">
        <v>104</v>
      </c>
      <c r="E94" t="s">
        <v>105</v>
      </c>
      <c r="F94" t="str">
        <f t="shared" si="9"/>
        <v>MC</v>
      </c>
      <c r="G94">
        <f t="shared" si="10"/>
        <v>12</v>
      </c>
      <c r="H94" t="s">
        <v>139</v>
      </c>
      <c r="I94" t="s">
        <v>140</v>
      </c>
      <c r="J94">
        <f t="shared" si="11"/>
        <v>34</v>
      </c>
      <c r="K94" t="s">
        <v>26</v>
      </c>
      <c r="L94">
        <v>2</v>
      </c>
      <c r="M94">
        <v>89.99</v>
      </c>
      <c r="N94" t="s">
        <v>27</v>
      </c>
      <c r="O94" t="s">
        <v>79</v>
      </c>
      <c r="P94" t="s">
        <v>34</v>
      </c>
      <c r="Q94" s="2">
        <v>44972</v>
      </c>
      <c r="R94">
        <f t="shared" si="12"/>
        <v>179.98</v>
      </c>
      <c r="S94" t="str">
        <f t="shared" si="13"/>
        <v>Other</v>
      </c>
      <c r="W94" t="str">
        <v>Richard Lee</v>
      </c>
    </row>
    <row r="95" ht="15.75" customHeight="1" spans="1:23">
      <c r="A95" t="s">
        <v>244</v>
      </c>
      <c r="B95" s="2">
        <v>45523</v>
      </c>
      <c r="C95" t="str">
        <f t="shared" si="8"/>
        <v>Aug-2024</v>
      </c>
      <c r="D95" t="s">
        <v>218</v>
      </c>
      <c r="E95" t="s">
        <v>219</v>
      </c>
      <c r="F95" t="str">
        <f t="shared" si="9"/>
        <v>GM</v>
      </c>
      <c r="G95">
        <f t="shared" si="10"/>
        <v>4</v>
      </c>
      <c r="H95" t="s">
        <v>77</v>
      </c>
      <c r="I95" t="s">
        <v>78</v>
      </c>
      <c r="J95">
        <f t="shared" si="11"/>
        <v>24</v>
      </c>
      <c r="K95" t="s">
        <v>26</v>
      </c>
      <c r="L95">
        <v>5</v>
      </c>
      <c r="M95">
        <v>899.99</v>
      </c>
      <c r="N95" t="s">
        <v>69</v>
      </c>
      <c r="O95" t="s">
        <v>79</v>
      </c>
      <c r="P95" t="s">
        <v>29</v>
      </c>
      <c r="Q95" s="2">
        <v>44526</v>
      </c>
      <c r="R95">
        <f t="shared" si="12"/>
        <v>4499.95</v>
      </c>
      <c r="S95" t="str">
        <f t="shared" si="13"/>
        <v>High-Value Customer</v>
      </c>
      <c r="W95" t="str">
        <v>Edward Mitchell</v>
      </c>
    </row>
    <row r="96" ht="15.75" customHeight="1" spans="1:23">
      <c r="A96" t="s">
        <v>245</v>
      </c>
      <c r="B96" s="2">
        <v>45523</v>
      </c>
      <c r="C96" t="str">
        <f t="shared" si="8"/>
        <v>Aug-2024</v>
      </c>
      <c r="D96" t="s">
        <v>129</v>
      </c>
      <c r="E96" t="s">
        <v>130</v>
      </c>
      <c r="F96" t="str">
        <f t="shared" si="9"/>
        <v>NC</v>
      </c>
      <c r="G96">
        <f t="shared" si="10"/>
        <v>6</v>
      </c>
      <c r="H96" t="s">
        <v>61</v>
      </c>
      <c r="I96" t="s">
        <v>62</v>
      </c>
      <c r="J96">
        <f t="shared" si="11"/>
        <v>16</v>
      </c>
      <c r="K96" t="s">
        <v>26</v>
      </c>
      <c r="L96">
        <v>3</v>
      </c>
      <c r="M96">
        <v>149.99</v>
      </c>
      <c r="N96" t="s">
        <v>41</v>
      </c>
      <c r="O96" t="s">
        <v>79</v>
      </c>
      <c r="P96" t="s">
        <v>29</v>
      </c>
      <c r="Q96" s="2">
        <v>44574</v>
      </c>
      <c r="R96">
        <f t="shared" si="12"/>
        <v>449.97</v>
      </c>
      <c r="S96" t="str">
        <f t="shared" si="13"/>
        <v>Other</v>
      </c>
      <c r="W96" t="str">
        <v>Frank Torres</v>
      </c>
    </row>
    <row r="97" ht="15.75" customHeight="1" spans="1:23">
      <c r="A97" t="s">
        <v>246</v>
      </c>
      <c r="B97" s="2">
        <v>45526</v>
      </c>
      <c r="C97" t="str">
        <f t="shared" si="8"/>
        <v>Aug-2024</v>
      </c>
      <c r="D97" t="s">
        <v>123</v>
      </c>
      <c r="E97" t="s">
        <v>124</v>
      </c>
      <c r="F97" t="str">
        <f t="shared" si="9"/>
        <v>CP</v>
      </c>
      <c r="G97">
        <f t="shared" si="10"/>
        <v>5</v>
      </c>
      <c r="H97" t="s">
        <v>51</v>
      </c>
      <c r="I97" t="s">
        <v>52</v>
      </c>
      <c r="J97">
        <f t="shared" si="11"/>
        <v>35</v>
      </c>
      <c r="K97" t="s">
        <v>53</v>
      </c>
      <c r="L97">
        <v>5</v>
      </c>
      <c r="M97">
        <v>149.99</v>
      </c>
      <c r="N97" t="s">
        <v>33</v>
      </c>
      <c r="O97" t="s">
        <v>28</v>
      </c>
      <c r="P97" t="s">
        <v>29</v>
      </c>
      <c r="Q97" s="2">
        <v>45310</v>
      </c>
      <c r="R97">
        <f t="shared" si="12"/>
        <v>749.95</v>
      </c>
      <c r="S97" t="str">
        <f t="shared" si="13"/>
        <v>Other</v>
      </c>
      <c r="W97" t="str">
        <v>Ruth Brooks</v>
      </c>
    </row>
    <row r="98" ht="15.75" customHeight="1" spans="1:23">
      <c r="A98" t="s">
        <v>247</v>
      </c>
      <c r="B98" s="2">
        <v>45528</v>
      </c>
      <c r="C98" t="str">
        <f t="shared" si="8"/>
        <v>Aug-2024</v>
      </c>
      <c r="D98" t="s">
        <v>248</v>
      </c>
      <c r="E98" t="s">
        <v>249</v>
      </c>
      <c r="F98" t="str">
        <f t="shared" si="9"/>
        <v>LR</v>
      </c>
      <c r="G98">
        <f t="shared" si="10"/>
        <v>8</v>
      </c>
      <c r="H98" t="s">
        <v>136</v>
      </c>
      <c r="I98" t="s">
        <v>137</v>
      </c>
      <c r="J98">
        <f t="shared" si="11"/>
        <v>14</v>
      </c>
      <c r="K98" t="s">
        <v>40</v>
      </c>
      <c r="L98">
        <v>3</v>
      </c>
      <c r="M98">
        <v>79.99</v>
      </c>
      <c r="N98" t="s">
        <v>27</v>
      </c>
      <c r="O98" t="s">
        <v>28</v>
      </c>
      <c r="P98" t="s">
        <v>34</v>
      </c>
      <c r="Q98" s="2">
        <v>44779</v>
      </c>
      <c r="R98">
        <f t="shared" si="12"/>
        <v>239.97</v>
      </c>
      <c r="S98" t="str">
        <f t="shared" si="13"/>
        <v>Other</v>
      </c>
      <c r="W98" t="str">
        <v>Arthur Edwards</v>
      </c>
    </row>
    <row r="99" ht="15.75" customHeight="1" spans="1:23">
      <c r="A99" t="s">
        <v>250</v>
      </c>
      <c r="B99" s="2">
        <v>45528</v>
      </c>
      <c r="C99" t="str">
        <f t="shared" si="8"/>
        <v>Aug-2024</v>
      </c>
      <c r="D99" t="s">
        <v>166</v>
      </c>
      <c r="E99" t="s">
        <v>167</v>
      </c>
      <c r="F99" t="str">
        <f t="shared" si="9"/>
        <v>HM</v>
      </c>
      <c r="G99">
        <f t="shared" si="10"/>
        <v>4</v>
      </c>
      <c r="H99" t="s">
        <v>24</v>
      </c>
      <c r="I99" t="s">
        <v>25</v>
      </c>
      <c r="J99">
        <f t="shared" si="11"/>
        <v>26</v>
      </c>
      <c r="K99" t="s">
        <v>26</v>
      </c>
      <c r="L99">
        <v>2</v>
      </c>
      <c r="M99">
        <v>249.99</v>
      </c>
      <c r="N99" t="s">
        <v>27</v>
      </c>
      <c r="O99" t="s">
        <v>42</v>
      </c>
      <c r="P99" t="s">
        <v>43</v>
      </c>
      <c r="Q99" s="2">
        <v>44572</v>
      </c>
      <c r="R99">
        <f t="shared" si="12"/>
        <v>499.98</v>
      </c>
      <c r="S99" t="str">
        <f t="shared" si="13"/>
        <v>Other</v>
      </c>
      <c r="W99" t="str">
        <v>Elizabeth Hall</v>
      </c>
    </row>
    <row r="100" ht="15.75" customHeight="1" spans="1:23">
      <c r="A100" t="s">
        <v>251</v>
      </c>
      <c r="B100" s="2">
        <v>45532</v>
      </c>
      <c r="C100" t="str">
        <f t="shared" si="8"/>
        <v>Aug-2024</v>
      </c>
      <c r="D100" t="s">
        <v>218</v>
      </c>
      <c r="E100" t="s">
        <v>219</v>
      </c>
      <c r="F100" t="str">
        <f t="shared" si="9"/>
        <v>GM</v>
      </c>
      <c r="G100">
        <f t="shared" si="10"/>
        <v>4</v>
      </c>
      <c r="H100" t="s">
        <v>98</v>
      </c>
      <c r="I100" t="s">
        <v>99</v>
      </c>
      <c r="J100">
        <f t="shared" si="11"/>
        <v>31</v>
      </c>
      <c r="K100" t="s">
        <v>26</v>
      </c>
      <c r="L100">
        <v>1</v>
      </c>
      <c r="M100">
        <v>699.99</v>
      </c>
      <c r="N100" t="s">
        <v>27</v>
      </c>
      <c r="O100" t="s">
        <v>28</v>
      </c>
      <c r="P100" t="s">
        <v>34</v>
      </c>
      <c r="Q100" s="2">
        <v>44497</v>
      </c>
      <c r="R100">
        <f t="shared" si="12"/>
        <v>699.99</v>
      </c>
      <c r="S100" t="str">
        <f t="shared" si="13"/>
        <v>Other</v>
      </c>
      <c r="W100" t="str">
        <v>Steven Turner</v>
      </c>
    </row>
    <row r="101" ht="15.75" customHeight="1" spans="1:23">
      <c r="A101" t="s">
        <v>252</v>
      </c>
      <c r="B101" s="2">
        <v>45532</v>
      </c>
      <c r="C101" t="str">
        <f t="shared" si="8"/>
        <v>Aug-2024</v>
      </c>
      <c r="D101" t="s">
        <v>253</v>
      </c>
      <c r="E101" t="s">
        <v>254</v>
      </c>
      <c r="F101" t="str">
        <f t="shared" si="9"/>
        <v>CE</v>
      </c>
      <c r="G101">
        <f t="shared" si="10"/>
        <v>3</v>
      </c>
      <c r="H101" t="s">
        <v>61</v>
      </c>
      <c r="I101" t="s">
        <v>62</v>
      </c>
      <c r="J101">
        <f t="shared" si="11"/>
        <v>16</v>
      </c>
      <c r="K101" t="s">
        <v>26</v>
      </c>
      <c r="L101">
        <v>3</v>
      </c>
      <c r="M101">
        <v>149.99</v>
      </c>
      <c r="N101" t="s">
        <v>27</v>
      </c>
      <c r="O101" t="s">
        <v>58</v>
      </c>
      <c r="P101" t="s">
        <v>34</v>
      </c>
      <c r="Q101" s="2">
        <v>45212</v>
      </c>
      <c r="R101">
        <f t="shared" si="12"/>
        <v>449.97</v>
      </c>
      <c r="S101" t="str">
        <f t="shared" si="13"/>
        <v>Other</v>
      </c>
      <c r="W101" t="str">
        <v>Lawrence Reed</v>
      </c>
    </row>
    <row r="102" ht="15.75" customHeight="1" spans="1:23">
      <c r="A102" t="s">
        <v>255</v>
      </c>
      <c r="B102" s="2">
        <v>45534</v>
      </c>
      <c r="C102" t="str">
        <f t="shared" si="8"/>
        <v>Aug-2024</v>
      </c>
      <c r="D102" t="s">
        <v>256</v>
      </c>
      <c r="E102" t="s">
        <v>257</v>
      </c>
      <c r="F102" t="str">
        <f t="shared" si="9"/>
        <v>SP</v>
      </c>
      <c r="G102">
        <f t="shared" si="10"/>
        <v>5</v>
      </c>
      <c r="H102" t="s">
        <v>98</v>
      </c>
      <c r="I102" t="s">
        <v>99</v>
      </c>
      <c r="J102">
        <f t="shared" si="11"/>
        <v>31</v>
      </c>
      <c r="K102" t="s">
        <v>26</v>
      </c>
      <c r="L102">
        <v>2</v>
      </c>
      <c r="M102">
        <v>699.99</v>
      </c>
      <c r="N102" t="s">
        <v>33</v>
      </c>
      <c r="O102" t="s">
        <v>47</v>
      </c>
      <c r="P102" t="s">
        <v>34</v>
      </c>
      <c r="Q102" s="2">
        <v>44421</v>
      </c>
      <c r="R102">
        <f t="shared" si="12"/>
        <v>1399.98</v>
      </c>
      <c r="S102" t="str">
        <f t="shared" si="13"/>
        <v>Other</v>
      </c>
      <c r="W102" t="str">
        <v>Dennis Gray</v>
      </c>
    </row>
    <row r="103" ht="15.75" customHeight="1" spans="1:23">
      <c r="A103" t="s">
        <v>258</v>
      </c>
      <c r="B103" s="2">
        <v>45537</v>
      </c>
      <c r="C103" t="str">
        <f t="shared" si="8"/>
        <v>Sep-2024</v>
      </c>
      <c r="D103" t="s">
        <v>253</v>
      </c>
      <c r="E103" t="s">
        <v>254</v>
      </c>
      <c r="F103" t="str">
        <f t="shared" si="9"/>
        <v>CE</v>
      </c>
      <c r="G103">
        <f t="shared" si="10"/>
        <v>3</v>
      </c>
      <c r="H103" t="s">
        <v>24</v>
      </c>
      <c r="I103" t="s">
        <v>25</v>
      </c>
      <c r="J103">
        <f t="shared" si="11"/>
        <v>26</v>
      </c>
      <c r="K103" t="s">
        <v>26</v>
      </c>
      <c r="L103">
        <v>1</v>
      </c>
      <c r="M103">
        <v>249.99</v>
      </c>
      <c r="N103" t="s">
        <v>33</v>
      </c>
      <c r="O103" t="s">
        <v>58</v>
      </c>
      <c r="P103" t="s">
        <v>34</v>
      </c>
      <c r="Q103" s="2">
        <v>44685</v>
      </c>
      <c r="R103">
        <f t="shared" si="12"/>
        <v>249.99</v>
      </c>
      <c r="S103" t="str">
        <f t="shared" si="13"/>
        <v>Other</v>
      </c>
      <c r="W103" t="str">
        <v>Paul Baker</v>
      </c>
    </row>
    <row r="104" ht="15.75" customHeight="1" spans="1:23">
      <c r="A104" t="s">
        <v>259</v>
      </c>
      <c r="B104" s="2">
        <v>45537</v>
      </c>
      <c r="C104" t="str">
        <f t="shared" si="8"/>
        <v>Sep-2024</v>
      </c>
      <c r="D104" t="s">
        <v>22</v>
      </c>
      <c r="E104" t="s">
        <v>23</v>
      </c>
      <c r="F104" t="str">
        <f t="shared" si="9"/>
        <v>PB</v>
      </c>
      <c r="G104">
        <f t="shared" si="10"/>
        <v>8</v>
      </c>
      <c r="H104" t="s">
        <v>24</v>
      </c>
      <c r="I104" t="s">
        <v>25</v>
      </c>
      <c r="J104">
        <f t="shared" si="11"/>
        <v>26</v>
      </c>
      <c r="K104" t="s">
        <v>26</v>
      </c>
      <c r="L104">
        <v>1</v>
      </c>
      <c r="M104">
        <v>249.99</v>
      </c>
      <c r="N104" t="s">
        <v>69</v>
      </c>
      <c r="O104" t="s">
        <v>47</v>
      </c>
      <c r="P104" t="s">
        <v>34</v>
      </c>
      <c r="Q104" s="2">
        <v>45332</v>
      </c>
      <c r="R104">
        <f t="shared" si="12"/>
        <v>249.99</v>
      </c>
      <c r="S104" t="str">
        <f t="shared" si="13"/>
        <v>Other</v>
      </c>
      <c r="W104" t="str">
        <v>Lawrence Reed</v>
      </c>
    </row>
    <row r="105" ht="15.75" customHeight="1" spans="1:23">
      <c r="A105" t="s">
        <v>260</v>
      </c>
      <c r="B105" s="2">
        <v>45538</v>
      </c>
      <c r="C105" t="str">
        <f t="shared" si="8"/>
        <v>Sep-2024</v>
      </c>
      <c r="D105" t="s">
        <v>248</v>
      </c>
      <c r="E105" t="s">
        <v>249</v>
      </c>
      <c r="F105" t="str">
        <f t="shared" si="9"/>
        <v>LR</v>
      </c>
      <c r="G105">
        <f t="shared" si="10"/>
        <v>8</v>
      </c>
      <c r="H105" t="s">
        <v>98</v>
      </c>
      <c r="I105" t="s">
        <v>99</v>
      </c>
      <c r="J105">
        <f t="shared" si="11"/>
        <v>31</v>
      </c>
      <c r="K105" t="s">
        <v>26</v>
      </c>
      <c r="L105">
        <v>2</v>
      </c>
      <c r="M105">
        <v>699.99</v>
      </c>
      <c r="N105" t="s">
        <v>69</v>
      </c>
      <c r="O105" t="s">
        <v>28</v>
      </c>
      <c r="P105" t="s">
        <v>34</v>
      </c>
      <c r="Q105" s="2">
        <v>44870</v>
      </c>
      <c r="R105">
        <f t="shared" si="12"/>
        <v>1399.98</v>
      </c>
      <c r="S105" t="str">
        <f t="shared" si="13"/>
        <v>Other</v>
      </c>
      <c r="W105" t="str">
        <v>Harry Morgan</v>
      </c>
    </row>
    <row r="106" ht="15.75" customHeight="1" spans="1:23">
      <c r="A106" t="s">
        <v>261</v>
      </c>
      <c r="B106" s="2">
        <v>45541</v>
      </c>
      <c r="C106" t="str">
        <f t="shared" si="8"/>
        <v>Sep-2024</v>
      </c>
      <c r="D106" t="s">
        <v>160</v>
      </c>
      <c r="E106" t="s">
        <v>161</v>
      </c>
      <c r="F106" t="str">
        <f t="shared" si="9"/>
        <v>ST</v>
      </c>
      <c r="G106">
        <f t="shared" si="10"/>
        <v>6</v>
      </c>
      <c r="H106" t="s">
        <v>38</v>
      </c>
      <c r="I106" t="s">
        <v>39</v>
      </c>
      <c r="J106">
        <f t="shared" si="11"/>
        <v>29</v>
      </c>
      <c r="K106" t="s">
        <v>40</v>
      </c>
      <c r="L106">
        <v>3</v>
      </c>
      <c r="M106">
        <v>59.99</v>
      </c>
      <c r="N106" t="s">
        <v>33</v>
      </c>
      <c r="O106" t="s">
        <v>28</v>
      </c>
      <c r="P106" t="s">
        <v>34</v>
      </c>
      <c r="Q106" s="2">
        <v>44717</v>
      </c>
      <c r="R106">
        <f t="shared" si="12"/>
        <v>179.97</v>
      </c>
      <c r="S106" t="str">
        <f t="shared" si="13"/>
        <v>Other</v>
      </c>
      <c r="W106" t="str">
        <v>Emma Wilson</v>
      </c>
    </row>
    <row r="107" ht="15.75" customHeight="1" spans="1:23">
      <c r="A107" t="s">
        <v>262</v>
      </c>
      <c r="B107" s="2">
        <v>45544</v>
      </c>
      <c r="C107" t="str">
        <f t="shared" si="8"/>
        <v>Sep-2024</v>
      </c>
      <c r="D107" t="s">
        <v>154</v>
      </c>
      <c r="E107" t="s">
        <v>155</v>
      </c>
      <c r="F107" t="str">
        <f t="shared" si="9"/>
        <v>EW</v>
      </c>
      <c r="G107">
        <f t="shared" si="10"/>
        <v>5</v>
      </c>
      <c r="H107" t="s">
        <v>38</v>
      </c>
      <c r="I107" t="s">
        <v>39</v>
      </c>
      <c r="J107">
        <f t="shared" si="11"/>
        <v>29</v>
      </c>
      <c r="K107" t="s">
        <v>40</v>
      </c>
      <c r="L107">
        <v>3</v>
      </c>
      <c r="M107">
        <v>59.99</v>
      </c>
      <c r="N107" t="s">
        <v>41</v>
      </c>
      <c r="O107" t="s">
        <v>79</v>
      </c>
      <c r="P107" t="s">
        <v>43</v>
      </c>
      <c r="Q107" s="2">
        <v>44748</v>
      </c>
      <c r="R107">
        <f t="shared" si="12"/>
        <v>179.97</v>
      </c>
      <c r="S107" t="str">
        <f t="shared" si="13"/>
        <v>Other</v>
      </c>
      <c r="W107" t="str">
        <v>Sharon Butler</v>
      </c>
    </row>
    <row r="108" ht="15.75" customHeight="1" spans="1:23">
      <c r="A108" t="s">
        <v>263</v>
      </c>
      <c r="B108" s="2">
        <v>45544</v>
      </c>
      <c r="C108" t="str">
        <f t="shared" si="8"/>
        <v>Sep-2024</v>
      </c>
      <c r="D108" t="s">
        <v>163</v>
      </c>
      <c r="E108" t="s">
        <v>164</v>
      </c>
      <c r="F108" t="str">
        <f t="shared" si="9"/>
        <v>JT</v>
      </c>
      <c r="G108">
        <f t="shared" si="10"/>
        <v>4</v>
      </c>
      <c r="H108" t="s">
        <v>136</v>
      </c>
      <c r="I108" t="s">
        <v>137</v>
      </c>
      <c r="J108">
        <f t="shared" si="11"/>
        <v>14</v>
      </c>
      <c r="K108" t="s">
        <v>40</v>
      </c>
      <c r="L108">
        <v>4</v>
      </c>
      <c r="M108">
        <v>79.99</v>
      </c>
      <c r="N108" t="s">
        <v>27</v>
      </c>
      <c r="O108" t="s">
        <v>47</v>
      </c>
      <c r="P108" t="s">
        <v>29</v>
      </c>
      <c r="Q108" s="2">
        <v>44530</v>
      </c>
      <c r="R108">
        <f t="shared" si="12"/>
        <v>319.96</v>
      </c>
      <c r="S108" t="str">
        <f t="shared" si="13"/>
        <v>Other</v>
      </c>
      <c r="W108" t="str">
        <v>Paul Baker</v>
      </c>
    </row>
    <row r="109" ht="15.75" customHeight="1" spans="1:23">
      <c r="A109" t="s">
        <v>264</v>
      </c>
      <c r="B109" s="2">
        <v>45545</v>
      </c>
      <c r="C109" t="str">
        <f t="shared" si="8"/>
        <v>Sep-2024</v>
      </c>
      <c r="D109" t="s">
        <v>67</v>
      </c>
      <c r="E109" t="s">
        <v>68</v>
      </c>
      <c r="F109" t="str">
        <f t="shared" si="9"/>
        <v>CA</v>
      </c>
      <c r="G109">
        <f t="shared" si="10"/>
        <v>9</v>
      </c>
      <c r="H109" t="s">
        <v>136</v>
      </c>
      <c r="I109" t="s">
        <v>137</v>
      </c>
      <c r="J109">
        <f t="shared" si="11"/>
        <v>14</v>
      </c>
      <c r="K109" t="s">
        <v>40</v>
      </c>
      <c r="L109">
        <v>1</v>
      </c>
      <c r="M109">
        <v>79.99</v>
      </c>
      <c r="N109" t="s">
        <v>27</v>
      </c>
      <c r="O109" t="s">
        <v>58</v>
      </c>
      <c r="P109" t="s">
        <v>29</v>
      </c>
      <c r="Q109" s="2">
        <v>44693</v>
      </c>
      <c r="R109">
        <f t="shared" si="12"/>
        <v>79.99</v>
      </c>
      <c r="S109" t="str">
        <f t="shared" si="13"/>
        <v>Other</v>
      </c>
      <c r="W109" t="str">
        <v>Karen Hill</v>
      </c>
    </row>
    <row r="110" ht="15.75" customHeight="1" spans="1:23">
      <c r="A110" t="s">
        <v>265</v>
      </c>
      <c r="B110" s="2">
        <v>45547</v>
      </c>
      <c r="C110" t="str">
        <f t="shared" si="8"/>
        <v>Sep-2024</v>
      </c>
      <c r="D110" t="s">
        <v>56</v>
      </c>
      <c r="E110" t="s">
        <v>57</v>
      </c>
      <c r="F110" t="str">
        <f t="shared" si="9"/>
        <v>DN</v>
      </c>
      <c r="G110">
        <f t="shared" si="10"/>
        <v>6</v>
      </c>
      <c r="H110" t="s">
        <v>126</v>
      </c>
      <c r="I110" t="s">
        <v>127</v>
      </c>
      <c r="J110">
        <f t="shared" si="11"/>
        <v>26</v>
      </c>
      <c r="K110" t="s">
        <v>53</v>
      </c>
      <c r="L110">
        <v>3</v>
      </c>
      <c r="M110">
        <v>299.99</v>
      </c>
      <c r="N110" t="s">
        <v>33</v>
      </c>
      <c r="O110" t="s">
        <v>28</v>
      </c>
      <c r="P110" t="s">
        <v>34</v>
      </c>
      <c r="Q110" s="2">
        <v>44494</v>
      </c>
      <c r="R110">
        <f t="shared" si="12"/>
        <v>899.97</v>
      </c>
      <c r="S110" t="str">
        <f t="shared" si="13"/>
        <v>Other</v>
      </c>
      <c r="W110" t="str">
        <v>Steven Turner</v>
      </c>
    </row>
    <row r="111" ht="15.75" customHeight="1" spans="1:19">
      <c r="A111" t="s">
        <v>266</v>
      </c>
      <c r="B111" s="2">
        <v>45548</v>
      </c>
      <c r="C111" t="str">
        <f t="shared" si="8"/>
        <v>Sep-2024</v>
      </c>
      <c r="D111" t="s">
        <v>45</v>
      </c>
      <c r="E111" t="s">
        <v>46</v>
      </c>
      <c r="F111" t="str">
        <f t="shared" si="9"/>
        <v>KB</v>
      </c>
      <c r="G111">
        <f t="shared" si="10"/>
        <v>6</v>
      </c>
      <c r="H111" t="s">
        <v>139</v>
      </c>
      <c r="I111" t="s">
        <v>140</v>
      </c>
      <c r="J111">
        <f t="shared" si="11"/>
        <v>34</v>
      </c>
      <c r="K111" t="s">
        <v>26</v>
      </c>
      <c r="L111">
        <v>2</v>
      </c>
      <c r="M111">
        <v>89.99</v>
      </c>
      <c r="N111" t="s">
        <v>33</v>
      </c>
      <c r="O111" t="s">
        <v>42</v>
      </c>
      <c r="P111" t="s">
        <v>34</v>
      </c>
      <c r="Q111" s="2">
        <v>44641</v>
      </c>
      <c r="R111">
        <f t="shared" si="12"/>
        <v>179.98</v>
      </c>
      <c r="S111" t="str">
        <f t="shared" si="13"/>
        <v>Other</v>
      </c>
    </row>
    <row r="112" ht="15.75" customHeight="1" spans="1:19">
      <c r="A112" t="s">
        <v>267</v>
      </c>
      <c r="B112" s="2">
        <v>45550</v>
      </c>
      <c r="C112" t="str">
        <f t="shared" si="8"/>
        <v>Sep-2024</v>
      </c>
      <c r="D112" t="s">
        <v>268</v>
      </c>
      <c r="E112" t="s">
        <v>269</v>
      </c>
      <c r="F112" t="str">
        <f t="shared" si="9"/>
        <v>RB</v>
      </c>
      <c r="G112">
        <f t="shared" si="10"/>
        <v>3</v>
      </c>
      <c r="H112" t="s">
        <v>61</v>
      </c>
      <c r="I112" t="s">
        <v>62</v>
      </c>
      <c r="J112">
        <f t="shared" si="11"/>
        <v>16</v>
      </c>
      <c r="K112" t="s">
        <v>26</v>
      </c>
      <c r="L112">
        <v>4</v>
      </c>
      <c r="M112">
        <v>149.99</v>
      </c>
      <c r="N112" t="s">
        <v>27</v>
      </c>
      <c r="O112" t="s">
        <v>47</v>
      </c>
      <c r="P112" t="s">
        <v>29</v>
      </c>
      <c r="Q112" s="2">
        <v>44909</v>
      </c>
      <c r="R112">
        <f t="shared" si="12"/>
        <v>599.96</v>
      </c>
      <c r="S112" t="str">
        <f t="shared" si="13"/>
        <v>Other</v>
      </c>
    </row>
    <row r="113" ht="15.75" customHeight="1" spans="1:19">
      <c r="A113" t="s">
        <v>270</v>
      </c>
      <c r="B113" s="2">
        <v>45551</v>
      </c>
      <c r="C113" t="str">
        <f t="shared" si="8"/>
        <v>Sep-2024</v>
      </c>
      <c r="D113" t="s">
        <v>82</v>
      </c>
      <c r="E113" t="s">
        <v>83</v>
      </c>
      <c r="F113" t="str">
        <f t="shared" si="9"/>
        <v>KH</v>
      </c>
      <c r="G113">
        <f t="shared" si="10"/>
        <v>8</v>
      </c>
      <c r="H113" t="s">
        <v>24</v>
      </c>
      <c r="I113" t="s">
        <v>25</v>
      </c>
      <c r="J113">
        <f t="shared" si="11"/>
        <v>26</v>
      </c>
      <c r="K113" t="s">
        <v>26</v>
      </c>
      <c r="L113">
        <v>2</v>
      </c>
      <c r="M113">
        <v>249.99</v>
      </c>
      <c r="N113" t="s">
        <v>41</v>
      </c>
      <c r="O113" t="s">
        <v>42</v>
      </c>
      <c r="P113" t="s">
        <v>29</v>
      </c>
      <c r="Q113" s="2">
        <v>44993</v>
      </c>
      <c r="R113">
        <f t="shared" si="12"/>
        <v>499.98</v>
      </c>
      <c r="S113" t="str">
        <f t="shared" si="13"/>
        <v>Other</v>
      </c>
    </row>
    <row r="114" ht="15.75" customHeight="1" spans="1:19">
      <c r="A114" t="s">
        <v>271</v>
      </c>
      <c r="B114" s="2">
        <v>45551</v>
      </c>
      <c r="C114" t="str">
        <f t="shared" si="8"/>
        <v>Sep-2024</v>
      </c>
      <c r="D114" t="s">
        <v>176</v>
      </c>
      <c r="E114" t="s">
        <v>177</v>
      </c>
      <c r="F114" t="str">
        <f t="shared" si="9"/>
        <v>SD</v>
      </c>
      <c r="G114">
        <f t="shared" si="10"/>
        <v>5</v>
      </c>
      <c r="H114" t="s">
        <v>148</v>
      </c>
      <c r="I114" t="s">
        <v>149</v>
      </c>
      <c r="J114">
        <f t="shared" si="11"/>
        <v>15</v>
      </c>
      <c r="K114" t="s">
        <v>53</v>
      </c>
      <c r="L114">
        <v>4</v>
      </c>
      <c r="M114">
        <v>199.99</v>
      </c>
      <c r="N114" t="s">
        <v>69</v>
      </c>
      <c r="O114" t="s">
        <v>79</v>
      </c>
      <c r="P114" t="s">
        <v>29</v>
      </c>
      <c r="Q114" s="2">
        <v>44458</v>
      </c>
      <c r="R114">
        <f t="shared" si="12"/>
        <v>799.96</v>
      </c>
      <c r="S114" t="str">
        <f t="shared" si="13"/>
        <v>Other</v>
      </c>
    </row>
    <row r="115" ht="15.75" customHeight="1" spans="1:19">
      <c r="A115" t="s">
        <v>272</v>
      </c>
      <c r="B115" s="2">
        <v>45554</v>
      </c>
      <c r="C115" t="str">
        <f t="shared" si="8"/>
        <v>Sep-2024</v>
      </c>
      <c r="D115" t="s">
        <v>169</v>
      </c>
      <c r="E115" t="s">
        <v>170</v>
      </c>
      <c r="F115" t="str">
        <f t="shared" si="9"/>
        <v>DK</v>
      </c>
      <c r="G115">
        <f t="shared" si="10"/>
        <v>7</v>
      </c>
      <c r="H115" t="s">
        <v>139</v>
      </c>
      <c r="I115" t="s">
        <v>140</v>
      </c>
      <c r="J115">
        <f t="shared" si="11"/>
        <v>34</v>
      </c>
      <c r="K115" t="s">
        <v>26</v>
      </c>
      <c r="L115">
        <v>5</v>
      </c>
      <c r="M115">
        <v>89.99</v>
      </c>
      <c r="N115" t="s">
        <v>33</v>
      </c>
      <c r="O115" t="s">
        <v>79</v>
      </c>
      <c r="P115" t="s">
        <v>34</v>
      </c>
      <c r="Q115" s="2">
        <v>44446</v>
      </c>
      <c r="R115">
        <f t="shared" si="12"/>
        <v>449.95</v>
      </c>
      <c r="S115" t="str">
        <f t="shared" si="13"/>
        <v>Other</v>
      </c>
    </row>
    <row r="116" ht="15.75" customHeight="1" spans="1:19">
      <c r="A116" t="s">
        <v>273</v>
      </c>
      <c r="B116" s="2">
        <v>45554</v>
      </c>
      <c r="C116" t="str">
        <f t="shared" si="8"/>
        <v>Sep-2024</v>
      </c>
      <c r="D116" t="s">
        <v>274</v>
      </c>
      <c r="E116" t="s">
        <v>275</v>
      </c>
      <c r="F116" t="str">
        <f t="shared" si="9"/>
        <v>WW</v>
      </c>
      <c r="G116">
        <f t="shared" si="10"/>
        <v>3</v>
      </c>
      <c r="H116" t="s">
        <v>61</v>
      </c>
      <c r="I116" t="s">
        <v>62</v>
      </c>
      <c r="J116">
        <f t="shared" si="11"/>
        <v>16</v>
      </c>
      <c r="K116" t="s">
        <v>26</v>
      </c>
      <c r="L116">
        <v>1</v>
      </c>
      <c r="M116">
        <v>149.99</v>
      </c>
      <c r="N116" t="s">
        <v>41</v>
      </c>
      <c r="O116" t="s">
        <v>79</v>
      </c>
      <c r="P116" t="s">
        <v>43</v>
      </c>
      <c r="Q116" s="2">
        <v>44482</v>
      </c>
      <c r="R116">
        <f t="shared" si="12"/>
        <v>149.99</v>
      </c>
      <c r="S116" t="str">
        <f t="shared" si="13"/>
        <v>Other</v>
      </c>
    </row>
    <row r="117" ht="15.75" customHeight="1" spans="1:19">
      <c r="A117" t="s">
        <v>276</v>
      </c>
      <c r="B117" s="2">
        <v>45554</v>
      </c>
      <c r="C117" t="str">
        <f t="shared" si="8"/>
        <v>Sep-2024</v>
      </c>
      <c r="D117" t="s">
        <v>89</v>
      </c>
      <c r="E117" t="s">
        <v>90</v>
      </c>
      <c r="F117" t="str">
        <f t="shared" si="9"/>
        <v>PR</v>
      </c>
      <c r="G117">
        <f t="shared" si="10"/>
        <v>5</v>
      </c>
      <c r="H117" t="s">
        <v>98</v>
      </c>
      <c r="I117" t="s">
        <v>99</v>
      </c>
      <c r="J117">
        <f t="shared" si="11"/>
        <v>31</v>
      </c>
      <c r="K117" t="s">
        <v>26</v>
      </c>
      <c r="L117">
        <v>4</v>
      </c>
      <c r="M117">
        <v>699.99</v>
      </c>
      <c r="N117" t="s">
        <v>41</v>
      </c>
      <c r="O117" t="s">
        <v>42</v>
      </c>
      <c r="P117" t="s">
        <v>29</v>
      </c>
      <c r="Q117" s="2">
        <v>44618</v>
      </c>
      <c r="R117">
        <f t="shared" si="12"/>
        <v>2799.96</v>
      </c>
      <c r="S117" t="str">
        <f t="shared" si="13"/>
        <v>High-Value Customer</v>
      </c>
    </row>
    <row r="118" ht="15.75" customHeight="1" spans="1:19">
      <c r="A118" t="s">
        <v>277</v>
      </c>
      <c r="B118" s="2">
        <v>45559</v>
      </c>
      <c r="C118" t="str">
        <f t="shared" si="8"/>
        <v>Sep-2024</v>
      </c>
      <c r="D118" t="s">
        <v>256</v>
      </c>
      <c r="E118" t="s">
        <v>257</v>
      </c>
      <c r="F118" t="str">
        <f t="shared" si="9"/>
        <v>SP</v>
      </c>
      <c r="G118">
        <f t="shared" si="10"/>
        <v>5</v>
      </c>
      <c r="H118" t="s">
        <v>77</v>
      </c>
      <c r="I118" t="s">
        <v>78</v>
      </c>
      <c r="J118">
        <f t="shared" si="11"/>
        <v>24</v>
      </c>
      <c r="K118" t="s">
        <v>26</v>
      </c>
      <c r="L118">
        <v>3</v>
      </c>
      <c r="M118">
        <v>899.99</v>
      </c>
      <c r="N118" t="s">
        <v>33</v>
      </c>
      <c r="O118" t="s">
        <v>47</v>
      </c>
      <c r="P118" t="s">
        <v>43</v>
      </c>
      <c r="Q118" s="2">
        <v>45157</v>
      </c>
      <c r="R118">
        <f t="shared" si="12"/>
        <v>2699.97</v>
      </c>
      <c r="S118" t="str">
        <f t="shared" si="13"/>
        <v>High-Value Customer</v>
      </c>
    </row>
    <row r="119" ht="15.75" customHeight="1" spans="1:19">
      <c r="A119" t="s">
        <v>278</v>
      </c>
      <c r="B119" s="2">
        <v>45560</v>
      </c>
      <c r="C119" t="str">
        <f t="shared" si="8"/>
        <v>Sep-2024</v>
      </c>
      <c r="D119" t="s">
        <v>134</v>
      </c>
      <c r="E119" t="s">
        <v>135</v>
      </c>
      <c r="F119" t="str">
        <f t="shared" si="9"/>
        <v>LM</v>
      </c>
      <c r="G119">
        <f t="shared" si="10"/>
        <v>4</v>
      </c>
      <c r="H119" t="s">
        <v>51</v>
      </c>
      <c r="I119" t="s">
        <v>52</v>
      </c>
      <c r="J119">
        <f t="shared" si="11"/>
        <v>35</v>
      </c>
      <c r="K119" t="s">
        <v>53</v>
      </c>
      <c r="L119">
        <v>3</v>
      </c>
      <c r="M119">
        <v>149.99</v>
      </c>
      <c r="N119" t="s">
        <v>41</v>
      </c>
      <c r="O119" t="s">
        <v>79</v>
      </c>
      <c r="P119" t="s">
        <v>29</v>
      </c>
      <c r="Q119" s="2">
        <v>44886</v>
      </c>
      <c r="R119">
        <f t="shared" si="12"/>
        <v>449.97</v>
      </c>
      <c r="S119" t="str">
        <f t="shared" si="13"/>
        <v>Other</v>
      </c>
    </row>
    <row r="120" ht="15.75" customHeight="1" spans="1:19">
      <c r="A120" t="s">
        <v>279</v>
      </c>
      <c r="B120" s="2">
        <v>45563</v>
      </c>
      <c r="C120" t="str">
        <f t="shared" si="8"/>
        <v>Sep-2024</v>
      </c>
      <c r="D120" t="s">
        <v>120</v>
      </c>
      <c r="E120" t="s">
        <v>121</v>
      </c>
      <c r="F120" t="str">
        <f t="shared" si="9"/>
        <v>PM</v>
      </c>
      <c r="G120">
        <f t="shared" si="10"/>
        <v>8</v>
      </c>
      <c r="H120" t="s">
        <v>126</v>
      </c>
      <c r="I120" t="s">
        <v>127</v>
      </c>
      <c r="J120">
        <f t="shared" si="11"/>
        <v>26</v>
      </c>
      <c r="K120" t="s">
        <v>53</v>
      </c>
      <c r="L120">
        <v>2</v>
      </c>
      <c r="M120">
        <v>299.99</v>
      </c>
      <c r="N120" t="s">
        <v>69</v>
      </c>
      <c r="O120" t="s">
        <v>28</v>
      </c>
      <c r="P120" t="s">
        <v>29</v>
      </c>
      <c r="Q120" s="2">
        <v>44569</v>
      </c>
      <c r="R120">
        <f t="shared" si="12"/>
        <v>599.98</v>
      </c>
      <c r="S120" t="str">
        <f t="shared" si="13"/>
        <v>Other</v>
      </c>
    </row>
    <row r="121" ht="15.75" customHeight="1" spans="1:19">
      <c r="A121" t="s">
        <v>280</v>
      </c>
      <c r="B121" s="2">
        <v>45564</v>
      </c>
      <c r="C121" t="str">
        <f t="shared" si="8"/>
        <v>Sep-2024</v>
      </c>
      <c r="D121" t="s">
        <v>281</v>
      </c>
      <c r="E121" t="s">
        <v>282</v>
      </c>
      <c r="F121" t="str">
        <f t="shared" si="9"/>
        <v>RL</v>
      </c>
      <c r="G121">
        <f t="shared" si="10"/>
        <v>3</v>
      </c>
      <c r="H121" t="s">
        <v>148</v>
      </c>
      <c r="I121" t="s">
        <v>149</v>
      </c>
      <c r="J121">
        <f t="shared" si="11"/>
        <v>15</v>
      </c>
      <c r="K121" t="s">
        <v>53</v>
      </c>
      <c r="L121">
        <v>1</v>
      </c>
      <c r="M121">
        <v>199.99</v>
      </c>
      <c r="N121" t="s">
        <v>69</v>
      </c>
      <c r="O121" t="s">
        <v>79</v>
      </c>
      <c r="P121" t="s">
        <v>43</v>
      </c>
      <c r="Q121" s="2">
        <v>44953</v>
      </c>
      <c r="R121">
        <f t="shared" si="12"/>
        <v>199.99</v>
      </c>
      <c r="S121" t="str">
        <f t="shared" si="13"/>
        <v>Other</v>
      </c>
    </row>
    <row r="122" ht="15.75" customHeight="1" spans="1:19">
      <c r="A122" t="s">
        <v>283</v>
      </c>
      <c r="B122" s="2">
        <v>45566</v>
      </c>
      <c r="C122" t="str">
        <f t="shared" si="8"/>
        <v>Oct-2024</v>
      </c>
      <c r="D122" t="s">
        <v>49</v>
      </c>
      <c r="E122" t="s">
        <v>50</v>
      </c>
      <c r="F122" t="str">
        <f t="shared" si="9"/>
        <v>MB</v>
      </c>
      <c r="G122">
        <f t="shared" si="10"/>
        <v>9</v>
      </c>
      <c r="H122" t="s">
        <v>126</v>
      </c>
      <c r="I122" t="s">
        <v>127</v>
      </c>
      <c r="J122">
        <f t="shared" si="11"/>
        <v>26</v>
      </c>
      <c r="K122" t="s">
        <v>53</v>
      </c>
      <c r="L122">
        <v>4</v>
      </c>
      <c r="M122">
        <v>299.99</v>
      </c>
      <c r="N122" t="s">
        <v>27</v>
      </c>
      <c r="O122" t="s">
        <v>28</v>
      </c>
      <c r="P122" t="s">
        <v>34</v>
      </c>
      <c r="Q122" s="2">
        <v>44460</v>
      </c>
      <c r="R122">
        <f t="shared" si="12"/>
        <v>1199.96</v>
      </c>
      <c r="S122" t="str">
        <f t="shared" si="13"/>
        <v>Other</v>
      </c>
    </row>
    <row r="123" ht="15.75" customHeight="1" spans="1:19">
      <c r="A123" t="s">
        <v>284</v>
      </c>
      <c r="B123" s="2">
        <v>45572</v>
      </c>
      <c r="C123" t="str">
        <f t="shared" si="8"/>
        <v>Oct-2024</v>
      </c>
      <c r="D123" t="s">
        <v>107</v>
      </c>
      <c r="E123" t="s">
        <v>108</v>
      </c>
      <c r="F123" t="str">
        <f t="shared" si="9"/>
        <v>MG</v>
      </c>
      <c r="G123">
        <f t="shared" si="10"/>
        <v>4</v>
      </c>
      <c r="H123" t="s">
        <v>38</v>
      </c>
      <c r="I123" t="s">
        <v>39</v>
      </c>
      <c r="J123">
        <f t="shared" si="11"/>
        <v>29</v>
      </c>
      <c r="K123" t="s">
        <v>40</v>
      </c>
      <c r="L123">
        <v>2</v>
      </c>
      <c r="M123">
        <v>59.99</v>
      </c>
      <c r="N123" t="s">
        <v>33</v>
      </c>
      <c r="O123" t="s">
        <v>28</v>
      </c>
      <c r="P123" t="s">
        <v>29</v>
      </c>
      <c r="Q123" s="2">
        <v>44579</v>
      </c>
      <c r="R123">
        <f t="shared" si="12"/>
        <v>119.98</v>
      </c>
      <c r="S123" t="str">
        <f t="shared" si="13"/>
        <v>Other</v>
      </c>
    </row>
    <row r="124" ht="15.75" customHeight="1" spans="1:19">
      <c r="A124" t="s">
        <v>285</v>
      </c>
      <c r="B124" s="2">
        <v>45572</v>
      </c>
      <c r="C124" t="str">
        <f t="shared" si="8"/>
        <v>Oct-2024</v>
      </c>
      <c r="D124" t="s">
        <v>256</v>
      </c>
      <c r="E124" t="s">
        <v>257</v>
      </c>
      <c r="F124" t="str">
        <f t="shared" si="9"/>
        <v>SP</v>
      </c>
      <c r="G124">
        <f t="shared" si="10"/>
        <v>5</v>
      </c>
      <c r="H124" t="s">
        <v>61</v>
      </c>
      <c r="I124" t="s">
        <v>62</v>
      </c>
      <c r="J124">
        <f t="shared" si="11"/>
        <v>16</v>
      </c>
      <c r="K124" t="s">
        <v>26</v>
      </c>
      <c r="L124">
        <v>4</v>
      </c>
      <c r="M124">
        <v>149.99</v>
      </c>
      <c r="N124" t="s">
        <v>33</v>
      </c>
      <c r="O124" t="s">
        <v>47</v>
      </c>
      <c r="P124" t="s">
        <v>34</v>
      </c>
      <c r="Q124" s="2">
        <v>45076</v>
      </c>
      <c r="R124">
        <f t="shared" si="12"/>
        <v>599.96</v>
      </c>
      <c r="S124" t="str">
        <f t="shared" si="13"/>
        <v>Other</v>
      </c>
    </row>
    <row r="125" ht="15.75" customHeight="1" spans="1:19">
      <c r="A125" t="s">
        <v>286</v>
      </c>
      <c r="B125" s="2">
        <v>45573</v>
      </c>
      <c r="C125" t="str">
        <f t="shared" si="8"/>
        <v>Oct-2024</v>
      </c>
      <c r="D125" t="s">
        <v>233</v>
      </c>
      <c r="E125" t="s">
        <v>234</v>
      </c>
      <c r="F125" t="str">
        <f t="shared" si="9"/>
        <v>EH</v>
      </c>
      <c r="G125">
        <f t="shared" si="10"/>
        <v>4</v>
      </c>
      <c r="H125" t="s">
        <v>98</v>
      </c>
      <c r="I125" t="s">
        <v>99</v>
      </c>
      <c r="J125">
        <f t="shared" si="11"/>
        <v>31</v>
      </c>
      <c r="K125" t="s">
        <v>26</v>
      </c>
      <c r="L125">
        <v>2</v>
      </c>
      <c r="M125">
        <v>699.99</v>
      </c>
      <c r="N125" t="s">
        <v>69</v>
      </c>
      <c r="O125" t="s">
        <v>79</v>
      </c>
      <c r="P125" t="s">
        <v>34</v>
      </c>
      <c r="Q125" s="2">
        <v>45274</v>
      </c>
      <c r="R125">
        <f t="shared" si="12"/>
        <v>1399.98</v>
      </c>
      <c r="S125" t="str">
        <f t="shared" si="13"/>
        <v>Other</v>
      </c>
    </row>
    <row r="126" ht="15.75" customHeight="1" spans="1:19">
      <c r="A126" t="s">
        <v>287</v>
      </c>
      <c r="B126" s="2">
        <v>45573</v>
      </c>
      <c r="C126" t="str">
        <f t="shared" si="8"/>
        <v>Oct-2024</v>
      </c>
      <c r="D126" t="s">
        <v>253</v>
      </c>
      <c r="E126" t="s">
        <v>254</v>
      </c>
      <c r="F126" t="str">
        <f t="shared" si="9"/>
        <v>CE</v>
      </c>
      <c r="G126">
        <f t="shared" si="10"/>
        <v>3</v>
      </c>
      <c r="H126" t="s">
        <v>51</v>
      </c>
      <c r="I126" t="s">
        <v>52</v>
      </c>
      <c r="J126">
        <f t="shared" si="11"/>
        <v>35</v>
      </c>
      <c r="K126" t="s">
        <v>53</v>
      </c>
      <c r="L126">
        <v>3</v>
      </c>
      <c r="M126">
        <v>149.99</v>
      </c>
      <c r="N126" t="s">
        <v>33</v>
      </c>
      <c r="O126" t="s">
        <v>42</v>
      </c>
      <c r="P126" t="s">
        <v>43</v>
      </c>
      <c r="Q126" s="2">
        <v>44940</v>
      </c>
      <c r="R126">
        <f t="shared" si="12"/>
        <v>449.97</v>
      </c>
      <c r="S126" t="str">
        <f t="shared" si="13"/>
        <v>Other</v>
      </c>
    </row>
    <row r="127" ht="15.75" customHeight="1" spans="1:19">
      <c r="A127" t="s">
        <v>288</v>
      </c>
      <c r="B127" s="2">
        <v>45576</v>
      </c>
      <c r="C127" t="str">
        <f t="shared" si="8"/>
        <v>Oct-2024</v>
      </c>
      <c r="D127" t="s">
        <v>169</v>
      </c>
      <c r="E127" t="s">
        <v>170</v>
      </c>
      <c r="F127" t="str">
        <f t="shared" si="9"/>
        <v>DK</v>
      </c>
      <c r="G127">
        <f t="shared" si="10"/>
        <v>7</v>
      </c>
      <c r="H127" t="s">
        <v>126</v>
      </c>
      <c r="I127" t="s">
        <v>127</v>
      </c>
      <c r="J127">
        <f t="shared" si="11"/>
        <v>26</v>
      </c>
      <c r="K127" t="s">
        <v>53</v>
      </c>
      <c r="L127">
        <v>3</v>
      </c>
      <c r="M127">
        <v>299.99</v>
      </c>
      <c r="N127" t="s">
        <v>33</v>
      </c>
      <c r="O127" t="s">
        <v>28</v>
      </c>
      <c r="P127" t="s">
        <v>43</v>
      </c>
      <c r="Q127" s="2">
        <v>45174</v>
      </c>
      <c r="R127">
        <f t="shared" si="12"/>
        <v>899.97</v>
      </c>
      <c r="S127" t="str">
        <f t="shared" si="13"/>
        <v>Other</v>
      </c>
    </row>
    <row r="128" ht="15.75" customHeight="1" spans="1:19">
      <c r="A128" t="s">
        <v>289</v>
      </c>
      <c r="B128" s="2">
        <v>45579</v>
      </c>
      <c r="C128" t="str">
        <f t="shared" si="8"/>
        <v>Oct-2024</v>
      </c>
      <c r="D128" t="s">
        <v>101</v>
      </c>
      <c r="E128" t="s">
        <v>102</v>
      </c>
      <c r="F128" t="str">
        <f t="shared" si="9"/>
        <v>GA</v>
      </c>
      <c r="G128">
        <f t="shared" si="10"/>
        <v>3</v>
      </c>
      <c r="H128" t="s">
        <v>77</v>
      </c>
      <c r="I128" t="s">
        <v>78</v>
      </c>
      <c r="J128">
        <f t="shared" si="11"/>
        <v>24</v>
      </c>
      <c r="K128" t="s">
        <v>26</v>
      </c>
      <c r="L128">
        <v>3</v>
      </c>
      <c r="M128">
        <v>899.99</v>
      </c>
      <c r="N128" t="s">
        <v>41</v>
      </c>
      <c r="O128" t="s">
        <v>58</v>
      </c>
      <c r="P128" t="s">
        <v>29</v>
      </c>
      <c r="Q128" s="2">
        <v>45215</v>
      </c>
      <c r="R128">
        <f t="shared" si="12"/>
        <v>2699.97</v>
      </c>
      <c r="S128" t="str">
        <f t="shared" si="13"/>
        <v>High-Value Customer</v>
      </c>
    </row>
    <row r="129" ht="15.75" customHeight="1" spans="1:19">
      <c r="A129" t="s">
        <v>290</v>
      </c>
      <c r="B129" s="2">
        <v>45581</v>
      </c>
      <c r="C129" t="str">
        <f t="shared" si="8"/>
        <v>Oct-2024</v>
      </c>
      <c r="D129" t="s">
        <v>116</v>
      </c>
      <c r="E129" t="s">
        <v>117</v>
      </c>
      <c r="F129" t="str">
        <f t="shared" si="9"/>
        <v>BY</v>
      </c>
      <c r="G129">
        <f t="shared" si="10"/>
        <v>5</v>
      </c>
      <c r="H129" t="s">
        <v>98</v>
      </c>
      <c r="I129" t="s">
        <v>99</v>
      </c>
      <c r="J129">
        <f t="shared" si="11"/>
        <v>31</v>
      </c>
      <c r="K129" t="s">
        <v>26</v>
      </c>
      <c r="L129">
        <v>5</v>
      </c>
      <c r="M129">
        <v>699.99</v>
      </c>
      <c r="N129" t="s">
        <v>27</v>
      </c>
      <c r="O129" t="s">
        <v>79</v>
      </c>
      <c r="P129" t="s">
        <v>43</v>
      </c>
      <c r="Q129" s="2">
        <v>45008</v>
      </c>
      <c r="R129">
        <f t="shared" si="12"/>
        <v>3499.95</v>
      </c>
      <c r="S129" t="str">
        <f t="shared" si="13"/>
        <v>High-Value Customer</v>
      </c>
    </row>
    <row r="130" ht="15.75" customHeight="1" spans="1:19">
      <c r="A130" t="s">
        <v>291</v>
      </c>
      <c r="B130" s="2">
        <v>45581</v>
      </c>
      <c r="C130" t="str">
        <f t="shared" si="8"/>
        <v>Oct-2024</v>
      </c>
      <c r="D130" t="s">
        <v>193</v>
      </c>
      <c r="E130" t="s">
        <v>194</v>
      </c>
      <c r="F130" t="str">
        <f t="shared" si="9"/>
        <v>RR</v>
      </c>
      <c r="G130">
        <f t="shared" si="10"/>
        <v>4</v>
      </c>
      <c r="H130" t="s">
        <v>98</v>
      </c>
      <c r="I130" t="s">
        <v>99</v>
      </c>
      <c r="J130">
        <f t="shared" si="11"/>
        <v>31</v>
      </c>
      <c r="K130" t="s">
        <v>26</v>
      </c>
      <c r="L130">
        <v>4</v>
      </c>
      <c r="M130">
        <v>699.99</v>
      </c>
      <c r="N130" t="s">
        <v>33</v>
      </c>
      <c r="O130" t="s">
        <v>28</v>
      </c>
      <c r="P130" t="s">
        <v>29</v>
      </c>
      <c r="Q130" s="2">
        <v>45385</v>
      </c>
      <c r="R130">
        <f t="shared" si="12"/>
        <v>2799.96</v>
      </c>
      <c r="S130" t="str">
        <f t="shared" si="13"/>
        <v>High-Value Customer</v>
      </c>
    </row>
    <row r="131" ht="15.75" customHeight="1" spans="1:19">
      <c r="A131" t="s">
        <v>292</v>
      </c>
      <c r="B131" s="2">
        <v>45581</v>
      </c>
      <c r="C131" t="str">
        <f t="shared" ref="C131:C194" si="14">TEXT(B131,"mmm-yyy")</f>
        <v>Oct-2024</v>
      </c>
      <c r="D131" t="s">
        <v>172</v>
      </c>
      <c r="E131" t="s">
        <v>173</v>
      </c>
      <c r="F131" t="str">
        <f t="shared" ref="F131:F194" si="15">LEFT(E131,1)&amp;MID(E131,FIND(" ",E131)+1,1)</f>
        <v>SB</v>
      </c>
      <c r="G131">
        <f t="shared" ref="G131:G194" si="16">COUNTIF(E:E,E131)</f>
        <v>6</v>
      </c>
      <c r="H131" t="s">
        <v>77</v>
      </c>
      <c r="I131" t="s">
        <v>78</v>
      </c>
      <c r="J131">
        <f t="shared" ref="J131:J194" si="17">COUNTIF(I:I,I131)</f>
        <v>24</v>
      </c>
      <c r="K131" t="s">
        <v>26</v>
      </c>
      <c r="L131">
        <v>1</v>
      </c>
      <c r="M131">
        <v>899.99</v>
      </c>
      <c r="N131" t="s">
        <v>33</v>
      </c>
      <c r="O131" t="s">
        <v>79</v>
      </c>
      <c r="P131" t="s">
        <v>43</v>
      </c>
      <c r="Q131" s="2">
        <v>45369</v>
      </c>
      <c r="R131">
        <f t="shared" ref="R131:R194" si="18">M131*L131</f>
        <v>899.99</v>
      </c>
      <c r="S131" t="str">
        <f t="shared" ref="S131:S194" si="19">IF(R131&gt;2000,"High-Value Customer","Other")</f>
        <v>Other</v>
      </c>
    </row>
    <row r="132" ht="15.75" customHeight="1" spans="1:19">
      <c r="A132" t="s">
        <v>293</v>
      </c>
      <c r="B132" s="2">
        <v>45583</v>
      </c>
      <c r="C132" t="str">
        <f t="shared" si="14"/>
        <v>Oct-2024</v>
      </c>
      <c r="D132" t="s">
        <v>248</v>
      </c>
      <c r="E132" t="s">
        <v>249</v>
      </c>
      <c r="F132" t="str">
        <f t="shared" si="15"/>
        <v>LR</v>
      </c>
      <c r="G132">
        <f t="shared" si="16"/>
        <v>8</v>
      </c>
      <c r="H132" t="s">
        <v>61</v>
      </c>
      <c r="I132" t="s">
        <v>62</v>
      </c>
      <c r="J132">
        <f t="shared" si="17"/>
        <v>16</v>
      </c>
      <c r="K132" t="s">
        <v>26</v>
      </c>
      <c r="L132">
        <v>2</v>
      </c>
      <c r="M132">
        <v>149.99</v>
      </c>
      <c r="N132" t="s">
        <v>33</v>
      </c>
      <c r="O132" t="s">
        <v>58</v>
      </c>
      <c r="P132" t="s">
        <v>29</v>
      </c>
      <c r="Q132" s="2">
        <v>44916</v>
      </c>
      <c r="R132">
        <f t="shared" si="18"/>
        <v>299.98</v>
      </c>
      <c r="S132" t="str">
        <f t="shared" si="19"/>
        <v>Other</v>
      </c>
    </row>
    <row r="133" ht="15.75" customHeight="1" spans="1:19">
      <c r="A133" t="s">
        <v>294</v>
      </c>
      <c r="B133" s="2">
        <v>45586</v>
      </c>
      <c r="C133" t="str">
        <f t="shared" si="14"/>
        <v>Oct-2024</v>
      </c>
      <c r="D133" t="s">
        <v>248</v>
      </c>
      <c r="E133" t="s">
        <v>249</v>
      </c>
      <c r="F133" t="str">
        <f t="shared" si="15"/>
        <v>LR</v>
      </c>
      <c r="G133">
        <f t="shared" si="16"/>
        <v>8</v>
      </c>
      <c r="H133" t="s">
        <v>139</v>
      </c>
      <c r="I133" t="s">
        <v>140</v>
      </c>
      <c r="J133">
        <f t="shared" si="17"/>
        <v>34</v>
      </c>
      <c r="K133" t="s">
        <v>26</v>
      </c>
      <c r="L133">
        <v>3</v>
      </c>
      <c r="M133">
        <v>89.99</v>
      </c>
      <c r="N133" t="s">
        <v>41</v>
      </c>
      <c r="O133" t="s">
        <v>28</v>
      </c>
      <c r="P133" t="s">
        <v>29</v>
      </c>
      <c r="Q133" s="2">
        <v>44551</v>
      </c>
      <c r="R133">
        <f t="shared" si="18"/>
        <v>269.97</v>
      </c>
      <c r="S133" t="str">
        <f t="shared" si="19"/>
        <v>Other</v>
      </c>
    </row>
    <row r="134" ht="15.75" customHeight="1" spans="1:19">
      <c r="A134" t="s">
        <v>295</v>
      </c>
      <c r="B134" s="2">
        <v>45588</v>
      </c>
      <c r="C134" t="str">
        <f t="shared" si="14"/>
        <v>Oct-2024</v>
      </c>
      <c r="D134" t="s">
        <v>45</v>
      </c>
      <c r="E134" t="s">
        <v>46</v>
      </c>
      <c r="F134" t="str">
        <f t="shared" si="15"/>
        <v>KB</v>
      </c>
      <c r="G134">
        <f t="shared" si="16"/>
        <v>6</v>
      </c>
      <c r="H134" t="s">
        <v>61</v>
      </c>
      <c r="I134" t="s">
        <v>62</v>
      </c>
      <c r="J134">
        <f t="shared" si="17"/>
        <v>16</v>
      </c>
      <c r="K134" t="s">
        <v>26</v>
      </c>
      <c r="L134">
        <v>2</v>
      </c>
      <c r="M134">
        <v>149.99</v>
      </c>
      <c r="N134" t="s">
        <v>41</v>
      </c>
      <c r="O134" t="s">
        <v>28</v>
      </c>
      <c r="P134" t="s">
        <v>29</v>
      </c>
      <c r="Q134" s="2">
        <v>44473</v>
      </c>
      <c r="R134">
        <f t="shared" si="18"/>
        <v>299.98</v>
      </c>
      <c r="S134" t="str">
        <f t="shared" si="19"/>
        <v>Other</v>
      </c>
    </row>
    <row r="135" ht="15.75" customHeight="1" spans="1:19">
      <c r="A135" t="s">
        <v>296</v>
      </c>
      <c r="B135" s="2">
        <v>45588</v>
      </c>
      <c r="C135" t="str">
        <f t="shared" si="14"/>
        <v>Oct-2024</v>
      </c>
      <c r="D135" t="s">
        <v>176</v>
      </c>
      <c r="E135" t="s">
        <v>177</v>
      </c>
      <c r="F135" t="str">
        <f t="shared" si="15"/>
        <v>SD</v>
      </c>
      <c r="G135">
        <f t="shared" si="16"/>
        <v>5</v>
      </c>
      <c r="H135" t="s">
        <v>98</v>
      </c>
      <c r="I135" t="s">
        <v>99</v>
      </c>
      <c r="J135">
        <f t="shared" si="17"/>
        <v>31</v>
      </c>
      <c r="K135" t="s">
        <v>26</v>
      </c>
      <c r="L135">
        <v>2</v>
      </c>
      <c r="M135">
        <v>699.99</v>
      </c>
      <c r="N135" t="s">
        <v>27</v>
      </c>
      <c r="O135" t="s">
        <v>28</v>
      </c>
      <c r="P135" t="s">
        <v>29</v>
      </c>
      <c r="Q135" s="2">
        <v>44992</v>
      </c>
      <c r="R135">
        <f t="shared" si="18"/>
        <v>1399.98</v>
      </c>
      <c r="S135" t="str">
        <f t="shared" si="19"/>
        <v>Other</v>
      </c>
    </row>
    <row r="136" ht="15.75" customHeight="1" spans="1:19">
      <c r="A136" t="s">
        <v>297</v>
      </c>
      <c r="B136" s="2">
        <v>45589</v>
      </c>
      <c r="C136" t="str">
        <f t="shared" si="14"/>
        <v>Oct-2024</v>
      </c>
      <c r="D136" t="s">
        <v>180</v>
      </c>
      <c r="E136" t="s">
        <v>181</v>
      </c>
      <c r="F136" t="str">
        <f t="shared" si="15"/>
        <v>BC</v>
      </c>
      <c r="G136">
        <f t="shared" si="16"/>
        <v>5</v>
      </c>
      <c r="H136" t="s">
        <v>98</v>
      </c>
      <c r="I136" t="s">
        <v>99</v>
      </c>
      <c r="J136">
        <f t="shared" si="17"/>
        <v>31</v>
      </c>
      <c r="K136" t="s">
        <v>26</v>
      </c>
      <c r="L136">
        <v>5</v>
      </c>
      <c r="M136">
        <v>699.99</v>
      </c>
      <c r="N136" t="s">
        <v>27</v>
      </c>
      <c r="O136" t="s">
        <v>47</v>
      </c>
      <c r="P136" t="s">
        <v>34</v>
      </c>
      <c r="Q136" s="2">
        <v>44635</v>
      </c>
      <c r="R136">
        <f t="shared" si="18"/>
        <v>3499.95</v>
      </c>
      <c r="S136" t="str">
        <f t="shared" si="19"/>
        <v>High-Value Customer</v>
      </c>
    </row>
    <row r="137" ht="15.75" customHeight="1" spans="1:19">
      <c r="A137" t="s">
        <v>298</v>
      </c>
      <c r="B137" s="2">
        <v>45592</v>
      </c>
      <c r="C137" t="str">
        <f t="shared" si="14"/>
        <v>Oct-2024</v>
      </c>
      <c r="D137" t="s">
        <v>193</v>
      </c>
      <c r="E137" t="s">
        <v>194</v>
      </c>
      <c r="F137" t="str">
        <f t="shared" si="15"/>
        <v>RR</v>
      </c>
      <c r="G137">
        <f t="shared" si="16"/>
        <v>4</v>
      </c>
      <c r="H137" t="s">
        <v>139</v>
      </c>
      <c r="I137" t="s">
        <v>140</v>
      </c>
      <c r="J137">
        <f t="shared" si="17"/>
        <v>34</v>
      </c>
      <c r="K137" t="s">
        <v>26</v>
      </c>
      <c r="L137">
        <v>3</v>
      </c>
      <c r="M137">
        <v>89.99</v>
      </c>
      <c r="N137" t="s">
        <v>33</v>
      </c>
      <c r="O137" t="s">
        <v>47</v>
      </c>
      <c r="P137" t="s">
        <v>43</v>
      </c>
      <c r="Q137" s="2">
        <v>44615</v>
      </c>
      <c r="R137">
        <f t="shared" si="18"/>
        <v>269.97</v>
      </c>
      <c r="S137" t="str">
        <f t="shared" si="19"/>
        <v>Other</v>
      </c>
    </row>
    <row r="138" ht="15.75" customHeight="1" spans="1:19">
      <c r="A138" t="s">
        <v>299</v>
      </c>
      <c r="B138" s="2">
        <v>45597</v>
      </c>
      <c r="C138" t="str">
        <f t="shared" si="14"/>
        <v>Nov-2024</v>
      </c>
      <c r="D138" t="s">
        <v>22</v>
      </c>
      <c r="E138" t="s">
        <v>23</v>
      </c>
      <c r="F138" t="str">
        <f t="shared" si="15"/>
        <v>PB</v>
      </c>
      <c r="G138">
        <f t="shared" si="16"/>
        <v>8</v>
      </c>
      <c r="H138" t="s">
        <v>24</v>
      </c>
      <c r="I138" t="s">
        <v>25</v>
      </c>
      <c r="J138">
        <f t="shared" si="17"/>
        <v>26</v>
      </c>
      <c r="K138" t="s">
        <v>26</v>
      </c>
      <c r="L138">
        <v>5</v>
      </c>
      <c r="M138">
        <v>249.99</v>
      </c>
      <c r="N138" t="s">
        <v>33</v>
      </c>
      <c r="O138" t="s">
        <v>42</v>
      </c>
      <c r="P138" t="s">
        <v>43</v>
      </c>
      <c r="Q138" s="2">
        <v>44881</v>
      </c>
      <c r="R138">
        <f t="shared" si="18"/>
        <v>1249.95</v>
      </c>
      <c r="S138" t="str">
        <f t="shared" si="19"/>
        <v>Other</v>
      </c>
    </row>
    <row r="139" ht="15.75" customHeight="1" spans="1:19">
      <c r="A139" t="s">
        <v>300</v>
      </c>
      <c r="B139" s="2">
        <v>45600</v>
      </c>
      <c r="C139" t="str">
        <f t="shared" si="14"/>
        <v>Nov-2024</v>
      </c>
      <c r="D139" t="s">
        <v>82</v>
      </c>
      <c r="E139" t="s">
        <v>83</v>
      </c>
      <c r="F139" t="str">
        <f t="shared" si="15"/>
        <v>KH</v>
      </c>
      <c r="G139">
        <f t="shared" si="16"/>
        <v>8</v>
      </c>
      <c r="H139" t="s">
        <v>126</v>
      </c>
      <c r="I139" t="s">
        <v>127</v>
      </c>
      <c r="J139">
        <f t="shared" si="17"/>
        <v>26</v>
      </c>
      <c r="K139" t="s">
        <v>53</v>
      </c>
      <c r="L139">
        <v>3</v>
      </c>
      <c r="M139">
        <v>299.99</v>
      </c>
      <c r="N139" t="s">
        <v>33</v>
      </c>
      <c r="O139" t="s">
        <v>42</v>
      </c>
      <c r="P139" t="s">
        <v>43</v>
      </c>
      <c r="Q139" s="2">
        <v>44502</v>
      </c>
      <c r="R139">
        <f t="shared" si="18"/>
        <v>899.97</v>
      </c>
      <c r="S139" t="str">
        <f t="shared" si="19"/>
        <v>Other</v>
      </c>
    </row>
    <row r="140" ht="15.75" customHeight="1" spans="1:19">
      <c r="A140" t="s">
        <v>301</v>
      </c>
      <c r="B140" s="2">
        <v>45603</v>
      </c>
      <c r="C140" t="str">
        <f t="shared" si="14"/>
        <v>Nov-2024</v>
      </c>
      <c r="D140" t="s">
        <v>120</v>
      </c>
      <c r="E140" t="s">
        <v>121</v>
      </c>
      <c r="F140" t="str">
        <f t="shared" si="15"/>
        <v>PM</v>
      </c>
      <c r="G140">
        <f t="shared" si="16"/>
        <v>8</v>
      </c>
      <c r="H140" t="s">
        <v>139</v>
      </c>
      <c r="I140" t="s">
        <v>140</v>
      </c>
      <c r="J140">
        <f t="shared" si="17"/>
        <v>34</v>
      </c>
      <c r="K140" t="s">
        <v>26</v>
      </c>
      <c r="L140">
        <v>3</v>
      </c>
      <c r="M140">
        <v>89.99</v>
      </c>
      <c r="N140" t="s">
        <v>33</v>
      </c>
      <c r="O140" t="s">
        <v>47</v>
      </c>
      <c r="P140" t="s">
        <v>34</v>
      </c>
      <c r="Q140" s="2">
        <v>44420</v>
      </c>
      <c r="R140">
        <f t="shared" si="18"/>
        <v>269.97</v>
      </c>
      <c r="S140" t="str">
        <f t="shared" si="19"/>
        <v>Other</v>
      </c>
    </row>
    <row r="141" ht="15.75" customHeight="1" spans="1:19">
      <c r="A141" t="s">
        <v>302</v>
      </c>
      <c r="B141" s="2">
        <v>45604</v>
      </c>
      <c r="C141" t="str">
        <f t="shared" si="14"/>
        <v>Nov-2024</v>
      </c>
      <c r="D141" t="s">
        <v>107</v>
      </c>
      <c r="E141" t="s">
        <v>108</v>
      </c>
      <c r="F141" t="str">
        <f t="shared" si="15"/>
        <v>MG</v>
      </c>
      <c r="G141">
        <f t="shared" si="16"/>
        <v>4</v>
      </c>
      <c r="H141" t="s">
        <v>51</v>
      </c>
      <c r="I141" t="s">
        <v>52</v>
      </c>
      <c r="J141">
        <f t="shared" si="17"/>
        <v>35</v>
      </c>
      <c r="K141" t="s">
        <v>53</v>
      </c>
      <c r="L141">
        <v>2</v>
      </c>
      <c r="M141">
        <v>149.99</v>
      </c>
      <c r="N141" t="s">
        <v>33</v>
      </c>
      <c r="O141" t="s">
        <v>58</v>
      </c>
      <c r="P141" t="s">
        <v>34</v>
      </c>
      <c r="Q141" s="2">
        <v>44848</v>
      </c>
      <c r="R141">
        <f t="shared" si="18"/>
        <v>299.98</v>
      </c>
      <c r="S141" t="str">
        <f t="shared" si="19"/>
        <v>Other</v>
      </c>
    </row>
    <row r="142" ht="15.75" customHeight="1" spans="1:19">
      <c r="A142" t="s">
        <v>303</v>
      </c>
      <c r="B142" s="2">
        <v>45605</v>
      </c>
      <c r="C142" t="str">
        <f t="shared" si="14"/>
        <v>Nov-2024</v>
      </c>
      <c r="D142" t="s">
        <v>207</v>
      </c>
      <c r="E142" t="s">
        <v>208</v>
      </c>
      <c r="F142" t="str">
        <f t="shared" si="15"/>
        <v>MW</v>
      </c>
      <c r="G142">
        <f t="shared" si="16"/>
        <v>4</v>
      </c>
      <c r="H142" t="s">
        <v>24</v>
      </c>
      <c r="I142" t="s">
        <v>25</v>
      </c>
      <c r="J142">
        <f t="shared" si="17"/>
        <v>26</v>
      </c>
      <c r="K142" t="s">
        <v>26</v>
      </c>
      <c r="L142">
        <v>1</v>
      </c>
      <c r="M142">
        <v>249.99</v>
      </c>
      <c r="N142" t="s">
        <v>33</v>
      </c>
      <c r="O142" t="s">
        <v>47</v>
      </c>
      <c r="P142" t="s">
        <v>34</v>
      </c>
      <c r="Q142" s="2">
        <v>44828</v>
      </c>
      <c r="R142">
        <f t="shared" si="18"/>
        <v>249.99</v>
      </c>
      <c r="S142" t="str">
        <f t="shared" si="19"/>
        <v>Other</v>
      </c>
    </row>
    <row r="143" ht="15.75" customHeight="1" spans="1:19">
      <c r="A143" t="s">
        <v>304</v>
      </c>
      <c r="B143" s="2">
        <v>45607</v>
      </c>
      <c r="C143" t="str">
        <f t="shared" si="14"/>
        <v>Nov-2024</v>
      </c>
      <c r="D143" t="s">
        <v>89</v>
      </c>
      <c r="E143" t="s">
        <v>90</v>
      </c>
      <c r="F143" t="str">
        <f t="shared" si="15"/>
        <v>PR</v>
      </c>
      <c r="G143">
        <f t="shared" si="16"/>
        <v>5</v>
      </c>
      <c r="H143" t="s">
        <v>61</v>
      </c>
      <c r="I143" t="s">
        <v>62</v>
      </c>
      <c r="J143">
        <f t="shared" si="17"/>
        <v>16</v>
      </c>
      <c r="K143" t="s">
        <v>26</v>
      </c>
      <c r="L143">
        <v>3</v>
      </c>
      <c r="M143">
        <v>149.99</v>
      </c>
      <c r="N143" t="s">
        <v>27</v>
      </c>
      <c r="O143" t="s">
        <v>47</v>
      </c>
      <c r="P143" t="s">
        <v>29</v>
      </c>
      <c r="Q143" s="2">
        <v>44769</v>
      </c>
      <c r="R143">
        <f t="shared" si="18"/>
        <v>449.97</v>
      </c>
      <c r="S143" t="str">
        <f t="shared" si="19"/>
        <v>Other</v>
      </c>
    </row>
    <row r="144" ht="15.75" customHeight="1" spans="1:19">
      <c r="A144" t="s">
        <v>305</v>
      </c>
      <c r="B144" s="2">
        <v>45607</v>
      </c>
      <c r="C144" t="str">
        <f t="shared" si="14"/>
        <v>Nov-2024</v>
      </c>
      <c r="D144" t="s">
        <v>22</v>
      </c>
      <c r="E144" t="s">
        <v>23</v>
      </c>
      <c r="F144" t="str">
        <f t="shared" si="15"/>
        <v>PB</v>
      </c>
      <c r="G144">
        <f t="shared" si="16"/>
        <v>8</v>
      </c>
      <c r="H144" t="s">
        <v>38</v>
      </c>
      <c r="I144" t="s">
        <v>39</v>
      </c>
      <c r="J144">
        <f t="shared" si="17"/>
        <v>29</v>
      </c>
      <c r="K144" t="s">
        <v>40</v>
      </c>
      <c r="L144">
        <v>5</v>
      </c>
      <c r="M144">
        <v>59.99</v>
      </c>
      <c r="N144" t="s">
        <v>41</v>
      </c>
      <c r="O144" t="s">
        <v>58</v>
      </c>
      <c r="P144" t="s">
        <v>34</v>
      </c>
      <c r="Q144" s="2">
        <v>44694</v>
      </c>
      <c r="R144">
        <f t="shared" si="18"/>
        <v>299.95</v>
      </c>
      <c r="S144" t="str">
        <f t="shared" si="19"/>
        <v>Other</v>
      </c>
    </row>
    <row r="145" ht="15.75" customHeight="1" spans="1:19">
      <c r="A145" t="s">
        <v>306</v>
      </c>
      <c r="B145" s="2">
        <v>45607</v>
      </c>
      <c r="C145" t="str">
        <f t="shared" si="14"/>
        <v>Nov-2024</v>
      </c>
      <c r="D145" t="s">
        <v>120</v>
      </c>
      <c r="E145" t="s">
        <v>121</v>
      </c>
      <c r="F145" t="str">
        <f t="shared" si="15"/>
        <v>PM</v>
      </c>
      <c r="G145">
        <f t="shared" si="16"/>
        <v>8</v>
      </c>
      <c r="H145" t="s">
        <v>24</v>
      </c>
      <c r="I145" t="s">
        <v>25</v>
      </c>
      <c r="J145">
        <f t="shared" si="17"/>
        <v>26</v>
      </c>
      <c r="K145" t="s">
        <v>26</v>
      </c>
      <c r="L145">
        <v>4</v>
      </c>
      <c r="M145">
        <v>249.99</v>
      </c>
      <c r="N145" t="s">
        <v>33</v>
      </c>
      <c r="O145" t="s">
        <v>58</v>
      </c>
      <c r="P145" t="s">
        <v>43</v>
      </c>
      <c r="Q145" s="2">
        <v>44659</v>
      </c>
      <c r="R145">
        <f t="shared" si="18"/>
        <v>999.96</v>
      </c>
      <c r="S145" t="str">
        <f t="shared" si="19"/>
        <v>Other</v>
      </c>
    </row>
    <row r="146" ht="15.75" customHeight="1" spans="1:19">
      <c r="A146" t="s">
        <v>307</v>
      </c>
      <c r="B146" s="2">
        <v>45608</v>
      </c>
      <c r="C146" t="str">
        <f t="shared" si="14"/>
        <v>Nov-2024</v>
      </c>
      <c r="D146" t="s">
        <v>176</v>
      </c>
      <c r="E146" t="s">
        <v>177</v>
      </c>
      <c r="F146" t="str">
        <f t="shared" si="15"/>
        <v>SD</v>
      </c>
      <c r="G146">
        <f t="shared" si="16"/>
        <v>5</v>
      </c>
      <c r="H146" t="s">
        <v>51</v>
      </c>
      <c r="I146" t="s">
        <v>52</v>
      </c>
      <c r="J146">
        <f t="shared" si="17"/>
        <v>35</v>
      </c>
      <c r="K146" t="s">
        <v>53</v>
      </c>
      <c r="L146">
        <v>5</v>
      </c>
      <c r="M146">
        <v>149.99</v>
      </c>
      <c r="N146" t="s">
        <v>41</v>
      </c>
      <c r="O146" t="s">
        <v>28</v>
      </c>
      <c r="P146" t="s">
        <v>29</v>
      </c>
      <c r="Q146" s="2">
        <v>44901</v>
      </c>
      <c r="R146">
        <f t="shared" si="18"/>
        <v>749.95</v>
      </c>
      <c r="S146" t="str">
        <f t="shared" si="19"/>
        <v>Other</v>
      </c>
    </row>
    <row r="147" ht="15.75" customHeight="1" spans="1:19">
      <c r="A147" t="s">
        <v>308</v>
      </c>
      <c r="B147" s="2">
        <v>45608</v>
      </c>
      <c r="C147" t="str">
        <f t="shared" si="14"/>
        <v>Nov-2024</v>
      </c>
      <c r="D147" t="s">
        <v>101</v>
      </c>
      <c r="E147" t="s">
        <v>102</v>
      </c>
      <c r="F147" t="str">
        <f t="shared" si="15"/>
        <v>GA</v>
      </c>
      <c r="G147">
        <f t="shared" si="16"/>
        <v>3</v>
      </c>
      <c r="H147" t="s">
        <v>38</v>
      </c>
      <c r="I147" t="s">
        <v>39</v>
      </c>
      <c r="J147">
        <f t="shared" si="17"/>
        <v>29</v>
      </c>
      <c r="K147" t="s">
        <v>40</v>
      </c>
      <c r="L147">
        <v>3</v>
      </c>
      <c r="M147">
        <v>59.99</v>
      </c>
      <c r="N147" t="s">
        <v>69</v>
      </c>
      <c r="O147" t="s">
        <v>42</v>
      </c>
      <c r="P147" t="s">
        <v>43</v>
      </c>
      <c r="Q147" s="2">
        <v>45260</v>
      </c>
      <c r="R147">
        <f t="shared" si="18"/>
        <v>179.97</v>
      </c>
      <c r="S147" t="str">
        <f t="shared" si="19"/>
        <v>Other</v>
      </c>
    </row>
    <row r="148" ht="15.75" customHeight="1" spans="1:19">
      <c r="A148" t="s">
        <v>309</v>
      </c>
      <c r="B148" s="2">
        <v>45613</v>
      </c>
      <c r="C148" t="str">
        <f t="shared" si="14"/>
        <v>Nov-2024</v>
      </c>
      <c r="D148" t="s">
        <v>256</v>
      </c>
      <c r="E148" t="s">
        <v>257</v>
      </c>
      <c r="F148" t="str">
        <f t="shared" si="15"/>
        <v>SP</v>
      </c>
      <c r="G148">
        <f t="shared" si="16"/>
        <v>5</v>
      </c>
      <c r="H148" t="s">
        <v>51</v>
      </c>
      <c r="I148" t="s">
        <v>52</v>
      </c>
      <c r="J148">
        <f t="shared" si="17"/>
        <v>35</v>
      </c>
      <c r="K148" t="s">
        <v>53</v>
      </c>
      <c r="L148">
        <v>5</v>
      </c>
      <c r="M148">
        <v>149.99</v>
      </c>
      <c r="N148" t="s">
        <v>27</v>
      </c>
      <c r="O148" t="s">
        <v>47</v>
      </c>
      <c r="P148" t="s">
        <v>29</v>
      </c>
      <c r="Q148" s="2">
        <v>44869</v>
      </c>
      <c r="R148">
        <f t="shared" si="18"/>
        <v>749.95</v>
      </c>
      <c r="S148" t="str">
        <f t="shared" si="19"/>
        <v>Other</v>
      </c>
    </row>
    <row r="149" ht="15.75" customHeight="1" spans="1:19">
      <c r="A149" t="s">
        <v>310</v>
      </c>
      <c r="B149" s="2">
        <v>45613</v>
      </c>
      <c r="C149" t="str">
        <f t="shared" si="14"/>
        <v>Nov-2024</v>
      </c>
      <c r="D149" t="s">
        <v>104</v>
      </c>
      <c r="E149" t="s">
        <v>105</v>
      </c>
      <c r="F149" t="str">
        <f t="shared" si="15"/>
        <v>MC</v>
      </c>
      <c r="G149">
        <f t="shared" si="16"/>
        <v>12</v>
      </c>
      <c r="H149" t="s">
        <v>98</v>
      </c>
      <c r="I149" t="s">
        <v>99</v>
      </c>
      <c r="J149">
        <f t="shared" si="17"/>
        <v>31</v>
      </c>
      <c r="K149" t="s">
        <v>26</v>
      </c>
      <c r="L149">
        <v>2</v>
      </c>
      <c r="M149">
        <v>699.99</v>
      </c>
      <c r="N149" t="s">
        <v>41</v>
      </c>
      <c r="O149" t="s">
        <v>58</v>
      </c>
      <c r="P149" t="s">
        <v>43</v>
      </c>
      <c r="Q149" s="2">
        <v>44770</v>
      </c>
      <c r="R149">
        <f t="shared" si="18"/>
        <v>1399.98</v>
      </c>
      <c r="S149" t="str">
        <f t="shared" si="19"/>
        <v>Other</v>
      </c>
    </row>
    <row r="150" ht="15.75" customHeight="1" spans="1:19">
      <c r="A150" t="s">
        <v>311</v>
      </c>
      <c r="B150" s="2">
        <v>45617</v>
      </c>
      <c r="C150" t="str">
        <f t="shared" si="14"/>
        <v>Nov-2024</v>
      </c>
      <c r="D150" t="s">
        <v>145</v>
      </c>
      <c r="E150" t="s">
        <v>146</v>
      </c>
      <c r="F150" t="str">
        <f t="shared" si="15"/>
        <v>EM</v>
      </c>
      <c r="G150">
        <f t="shared" si="16"/>
        <v>6</v>
      </c>
      <c r="H150" t="s">
        <v>148</v>
      </c>
      <c r="I150" t="s">
        <v>149</v>
      </c>
      <c r="J150">
        <f t="shared" si="17"/>
        <v>15</v>
      </c>
      <c r="K150" t="s">
        <v>53</v>
      </c>
      <c r="L150">
        <v>4</v>
      </c>
      <c r="M150">
        <v>199.99</v>
      </c>
      <c r="N150" t="s">
        <v>69</v>
      </c>
      <c r="O150" t="s">
        <v>28</v>
      </c>
      <c r="P150" t="s">
        <v>34</v>
      </c>
      <c r="Q150" s="2">
        <v>44427</v>
      </c>
      <c r="R150">
        <f t="shared" si="18"/>
        <v>799.96</v>
      </c>
      <c r="S150" t="str">
        <f t="shared" si="19"/>
        <v>Other</v>
      </c>
    </row>
    <row r="151" ht="15.75" customHeight="1" spans="1:19">
      <c r="A151" t="s">
        <v>312</v>
      </c>
      <c r="B151" s="2">
        <v>45619</v>
      </c>
      <c r="C151" t="str">
        <f t="shared" si="14"/>
        <v>Nov-2024</v>
      </c>
      <c r="D151" t="s">
        <v>214</v>
      </c>
      <c r="E151" t="s">
        <v>215</v>
      </c>
      <c r="F151" t="str">
        <f t="shared" si="15"/>
        <v>FT</v>
      </c>
      <c r="G151">
        <f t="shared" si="16"/>
        <v>5</v>
      </c>
      <c r="H151" t="s">
        <v>38</v>
      </c>
      <c r="I151" t="s">
        <v>39</v>
      </c>
      <c r="J151">
        <f t="shared" si="17"/>
        <v>29</v>
      </c>
      <c r="K151" t="s">
        <v>40</v>
      </c>
      <c r="L151">
        <v>1</v>
      </c>
      <c r="M151">
        <v>59.99</v>
      </c>
      <c r="N151" t="s">
        <v>69</v>
      </c>
      <c r="O151" t="s">
        <v>58</v>
      </c>
      <c r="P151" t="s">
        <v>43</v>
      </c>
      <c r="Q151" s="2">
        <v>44560</v>
      </c>
      <c r="R151">
        <f t="shared" si="18"/>
        <v>59.99</v>
      </c>
      <c r="S151" t="str">
        <f t="shared" si="19"/>
        <v>Other</v>
      </c>
    </row>
    <row r="152" ht="15.75" customHeight="1" spans="1:19">
      <c r="A152" t="s">
        <v>313</v>
      </c>
      <c r="B152" s="2">
        <v>45619</v>
      </c>
      <c r="C152" t="str">
        <f t="shared" si="14"/>
        <v>Nov-2024</v>
      </c>
      <c r="D152" t="s">
        <v>176</v>
      </c>
      <c r="E152" t="s">
        <v>177</v>
      </c>
      <c r="F152" t="str">
        <f t="shared" si="15"/>
        <v>SD</v>
      </c>
      <c r="G152">
        <f t="shared" si="16"/>
        <v>5</v>
      </c>
      <c r="H152" t="s">
        <v>98</v>
      </c>
      <c r="I152" t="s">
        <v>99</v>
      </c>
      <c r="J152">
        <f t="shared" si="17"/>
        <v>31</v>
      </c>
      <c r="K152" t="s">
        <v>26</v>
      </c>
      <c r="L152">
        <v>3</v>
      </c>
      <c r="M152">
        <v>699.99</v>
      </c>
      <c r="N152" t="s">
        <v>41</v>
      </c>
      <c r="O152" t="s">
        <v>58</v>
      </c>
      <c r="P152" t="s">
        <v>43</v>
      </c>
      <c r="Q152" s="2">
        <v>44583</v>
      </c>
      <c r="R152">
        <f t="shared" si="18"/>
        <v>2099.97</v>
      </c>
      <c r="S152" t="str">
        <f t="shared" si="19"/>
        <v>High-Value Customer</v>
      </c>
    </row>
    <row r="153" ht="15.75" customHeight="1" spans="1:19">
      <c r="A153" t="s">
        <v>314</v>
      </c>
      <c r="B153" s="2">
        <v>45622</v>
      </c>
      <c r="C153" t="str">
        <f t="shared" si="14"/>
        <v>Nov-2024</v>
      </c>
      <c r="D153" t="s">
        <v>315</v>
      </c>
      <c r="E153" t="s">
        <v>316</v>
      </c>
      <c r="F153" t="str">
        <f t="shared" si="15"/>
        <v>DW</v>
      </c>
      <c r="G153">
        <f t="shared" si="16"/>
        <v>4</v>
      </c>
      <c r="H153" t="s">
        <v>24</v>
      </c>
      <c r="I153" t="s">
        <v>25</v>
      </c>
      <c r="J153">
        <f t="shared" si="17"/>
        <v>26</v>
      </c>
      <c r="K153" t="s">
        <v>26</v>
      </c>
      <c r="L153">
        <v>5</v>
      </c>
      <c r="M153">
        <v>249.99</v>
      </c>
      <c r="N153" t="s">
        <v>33</v>
      </c>
      <c r="O153" t="s">
        <v>47</v>
      </c>
      <c r="P153" t="s">
        <v>29</v>
      </c>
      <c r="Q153" s="2">
        <v>44873</v>
      </c>
      <c r="R153">
        <f t="shared" si="18"/>
        <v>1249.95</v>
      </c>
      <c r="S153" t="str">
        <f t="shared" si="19"/>
        <v>Other</v>
      </c>
    </row>
    <row r="154" ht="15.75" customHeight="1" spans="1:19">
      <c r="A154" t="s">
        <v>317</v>
      </c>
      <c r="B154" s="2">
        <v>45623</v>
      </c>
      <c r="C154" t="str">
        <f t="shared" si="14"/>
        <v>Nov-2024</v>
      </c>
      <c r="D154" t="s">
        <v>134</v>
      </c>
      <c r="E154" t="s">
        <v>135</v>
      </c>
      <c r="F154" t="str">
        <f t="shared" si="15"/>
        <v>LM</v>
      </c>
      <c r="G154">
        <f t="shared" si="16"/>
        <v>4</v>
      </c>
      <c r="H154" t="s">
        <v>51</v>
      </c>
      <c r="I154" t="s">
        <v>52</v>
      </c>
      <c r="J154">
        <f t="shared" si="17"/>
        <v>35</v>
      </c>
      <c r="K154" t="s">
        <v>53</v>
      </c>
      <c r="L154">
        <v>2</v>
      </c>
      <c r="M154">
        <v>149.99</v>
      </c>
      <c r="N154" t="s">
        <v>27</v>
      </c>
      <c r="O154" t="s">
        <v>42</v>
      </c>
      <c r="P154" t="s">
        <v>43</v>
      </c>
      <c r="Q154" s="2">
        <v>45101</v>
      </c>
      <c r="R154">
        <f t="shared" si="18"/>
        <v>299.98</v>
      </c>
      <c r="S154" t="str">
        <f t="shared" si="19"/>
        <v>Other</v>
      </c>
    </row>
    <row r="155" ht="15.75" customHeight="1" spans="1:19">
      <c r="A155" t="s">
        <v>318</v>
      </c>
      <c r="B155" s="2">
        <v>45627</v>
      </c>
      <c r="C155" t="str">
        <f t="shared" si="14"/>
        <v>Dec-2024</v>
      </c>
      <c r="D155" t="s">
        <v>36</v>
      </c>
      <c r="E155" t="s">
        <v>37</v>
      </c>
      <c r="F155" t="str">
        <f t="shared" si="15"/>
        <v>KS</v>
      </c>
      <c r="G155">
        <f t="shared" si="16"/>
        <v>6</v>
      </c>
      <c r="H155" t="s">
        <v>126</v>
      </c>
      <c r="I155" t="s">
        <v>127</v>
      </c>
      <c r="J155">
        <f t="shared" si="17"/>
        <v>26</v>
      </c>
      <c r="K155" t="s">
        <v>53</v>
      </c>
      <c r="L155">
        <v>3</v>
      </c>
      <c r="M155">
        <v>299.99</v>
      </c>
      <c r="N155" t="s">
        <v>27</v>
      </c>
      <c r="O155" t="s">
        <v>42</v>
      </c>
      <c r="P155" t="s">
        <v>34</v>
      </c>
      <c r="Q155" s="2">
        <v>44659</v>
      </c>
      <c r="R155">
        <f t="shared" si="18"/>
        <v>899.97</v>
      </c>
      <c r="S155" t="str">
        <f t="shared" si="19"/>
        <v>Other</v>
      </c>
    </row>
    <row r="156" ht="15.75" customHeight="1" spans="1:19">
      <c r="A156" t="s">
        <v>319</v>
      </c>
      <c r="B156" s="2">
        <v>45627</v>
      </c>
      <c r="C156" t="str">
        <f t="shared" si="14"/>
        <v>Dec-2024</v>
      </c>
      <c r="D156" t="s">
        <v>67</v>
      </c>
      <c r="E156" t="s">
        <v>68</v>
      </c>
      <c r="F156" t="str">
        <f t="shared" si="15"/>
        <v>CA</v>
      </c>
      <c r="G156">
        <f t="shared" si="16"/>
        <v>9</v>
      </c>
      <c r="H156" t="s">
        <v>24</v>
      </c>
      <c r="I156" t="s">
        <v>25</v>
      </c>
      <c r="J156">
        <f t="shared" si="17"/>
        <v>26</v>
      </c>
      <c r="K156" t="s">
        <v>26</v>
      </c>
      <c r="L156">
        <v>5</v>
      </c>
      <c r="M156">
        <v>249.99</v>
      </c>
      <c r="N156" t="s">
        <v>27</v>
      </c>
      <c r="O156" t="s">
        <v>28</v>
      </c>
      <c r="P156" t="s">
        <v>34</v>
      </c>
      <c r="Q156" s="2">
        <v>44485</v>
      </c>
      <c r="R156">
        <f t="shared" si="18"/>
        <v>1249.95</v>
      </c>
      <c r="S156" t="str">
        <f t="shared" si="19"/>
        <v>Other</v>
      </c>
    </row>
    <row r="157" ht="15.75" customHeight="1" spans="1:19">
      <c r="A157" t="s">
        <v>320</v>
      </c>
      <c r="B157" s="2">
        <v>45627</v>
      </c>
      <c r="C157" t="str">
        <f t="shared" si="14"/>
        <v>Dec-2024</v>
      </c>
      <c r="D157" t="s">
        <v>31</v>
      </c>
      <c r="E157" t="s">
        <v>32</v>
      </c>
      <c r="F157" t="str">
        <f t="shared" si="15"/>
        <v>JJ</v>
      </c>
      <c r="G157">
        <f t="shared" si="16"/>
        <v>5</v>
      </c>
      <c r="H157" t="s">
        <v>61</v>
      </c>
      <c r="I157" t="s">
        <v>62</v>
      </c>
      <c r="J157">
        <f t="shared" si="17"/>
        <v>16</v>
      </c>
      <c r="K157" t="s">
        <v>26</v>
      </c>
      <c r="L157">
        <v>2</v>
      </c>
      <c r="M157">
        <v>149.99</v>
      </c>
      <c r="N157" t="s">
        <v>27</v>
      </c>
      <c r="O157" t="s">
        <v>42</v>
      </c>
      <c r="P157" t="s">
        <v>34</v>
      </c>
      <c r="Q157" s="2">
        <v>44475</v>
      </c>
      <c r="R157">
        <f t="shared" si="18"/>
        <v>299.98</v>
      </c>
      <c r="S157" t="str">
        <f t="shared" si="19"/>
        <v>Other</v>
      </c>
    </row>
    <row r="158" ht="15.75" customHeight="1" spans="1:19">
      <c r="A158" t="s">
        <v>321</v>
      </c>
      <c r="B158" s="2">
        <v>45627</v>
      </c>
      <c r="C158" t="str">
        <f t="shared" si="14"/>
        <v>Dec-2024</v>
      </c>
      <c r="D158" t="s">
        <v>104</v>
      </c>
      <c r="E158" t="s">
        <v>105</v>
      </c>
      <c r="F158" t="str">
        <f t="shared" si="15"/>
        <v>MC</v>
      </c>
      <c r="G158">
        <f t="shared" si="16"/>
        <v>12</v>
      </c>
      <c r="H158" t="s">
        <v>98</v>
      </c>
      <c r="I158" t="s">
        <v>99</v>
      </c>
      <c r="J158">
        <f t="shared" si="17"/>
        <v>31</v>
      </c>
      <c r="K158" t="s">
        <v>26</v>
      </c>
      <c r="L158">
        <v>5</v>
      </c>
      <c r="M158">
        <v>699.99</v>
      </c>
      <c r="N158" t="s">
        <v>69</v>
      </c>
      <c r="O158" t="s">
        <v>58</v>
      </c>
      <c r="P158" t="s">
        <v>43</v>
      </c>
      <c r="Q158" s="2">
        <v>44944</v>
      </c>
      <c r="R158">
        <f t="shared" si="18"/>
        <v>3499.95</v>
      </c>
      <c r="S158" t="str">
        <f t="shared" si="19"/>
        <v>High-Value Customer</v>
      </c>
    </row>
    <row r="159" ht="15.75" customHeight="1" spans="1:19">
      <c r="A159" t="s">
        <v>322</v>
      </c>
      <c r="B159" s="2">
        <v>45629</v>
      </c>
      <c r="C159" t="str">
        <f t="shared" si="14"/>
        <v>Dec-2024</v>
      </c>
      <c r="D159" t="s">
        <v>274</v>
      </c>
      <c r="E159" t="s">
        <v>275</v>
      </c>
      <c r="F159" t="str">
        <f t="shared" si="15"/>
        <v>WW</v>
      </c>
      <c r="G159">
        <f t="shared" si="16"/>
        <v>3</v>
      </c>
      <c r="H159" t="s">
        <v>24</v>
      </c>
      <c r="I159" t="s">
        <v>25</v>
      </c>
      <c r="J159">
        <f t="shared" si="17"/>
        <v>26</v>
      </c>
      <c r="K159" t="s">
        <v>26</v>
      </c>
      <c r="L159">
        <v>4</v>
      </c>
      <c r="M159">
        <v>249.99</v>
      </c>
      <c r="N159" t="s">
        <v>41</v>
      </c>
      <c r="O159" t="s">
        <v>79</v>
      </c>
      <c r="P159" t="s">
        <v>34</v>
      </c>
      <c r="Q159" s="2">
        <v>45098</v>
      </c>
      <c r="R159">
        <f t="shared" si="18"/>
        <v>999.96</v>
      </c>
      <c r="S159" t="str">
        <f t="shared" si="19"/>
        <v>Other</v>
      </c>
    </row>
    <row r="160" ht="15.75" customHeight="1" spans="1:19">
      <c r="A160" t="s">
        <v>323</v>
      </c>
      <c r="B160" s="2">
        <v>45630</v>
      </c>
      <c r="C160" t="str">
        <f t="shared" si="14"/>
        <v>Dec-2024</v>
      </c>
      <c r="D160" t="s">
        <v>56</v>
      </c>
      <c r="E160" t="s">
        <v>57</v>
      </c>
      <c r="F160" t="str">
        <f t="shared" si="15"/>
        <v>DN</v>
      </c>
      <c r="G160">
        <f t="shared" si="16"/>
        <v>6</v>
      </c>
      <c r="H160" t="s">
        <v>98</v>
      </c>
      <c r="I160" t="s">
        <v>99</v>
      </c>
      <c r="J160">
        <f t="shared" si="17"/>
        <v>31</v>
      </c>
      <c r="K160" t="s">
        <v>26</v>
      </c>
      <c r="L160">
        <v>4</v>
      </c>
      <c r="M160">
        <v>699.99</v>
      </c>
      <c r="N160" t="s">
        <v>33</v>
      </c>
      <c r="O160" t="s">
        <v>47</v>
      </c>
      <c r="P160" t="s">
        <v>34</v>
      </c>
      <c r="Q160" s="2">
        <v>44703</v>
      </c>
      <c r="R160">
        <f t="shared" si="18"/>
        <v>2799.96</v>
      </c>
      <c r="S160" t="str">
        <f t="shared" si="19"/>
        <v>High-Value Customer</v>
      </c>
    </row>
    <row r="161" ht="15.75" customHeight="1" spans="1:19">
      <c r="A161" t="s">
        <v>324</v>
      </c>
      <c r="B161" s="2">
        <v>45635</v>
      </c>
      <c r="C161" t="str">
        <f t="shared" si="14"/>
        <v>Dec-2024</v>
      </c>
      <c r="D161" t="s">
        <v>129</v>
      </c>
      <c r="E161" t="s">
        <v>130</v>
      </c>
      <c r="F161" t="str">
        <f t="shared" si="15"/>
        <v>NC</v>
      </c>
      <c r="G161">
        <f t="shared" si="16"/>
        <v>6</v>
      </c>
      <c r="H161" t="s">
        <v>24</v>
      </c>
      <c r="I161" t="s">
        <v>25</v>
      </c>
      <c r="J161">
        <f t="shared" si="17"/>
        <v>26</v>
      </c>
      <c r="K161" t="s">
        <v>26</v>
      </c>
      <c r="L161">
        <v>2</v>
      </c>
      <c r="M161">
        <v>249.99</v>
      </c>
      <c r="N161" t="s">
        <v>33</v>
      </c>
      <c r="O161" t="s">
        <v>28</v>
      </c>
      <c r="P161" t="s">
        <v>34</v>
      </c>
      <c r="Q161" s="2">
        <v>44396</v>
      </c>
      <c r="R161">
        <f t="shared" si="18"/>
        <v>499.98</v>
      </c>
      <c r="S161" t="str">
        <f t="shared" si="19"/>
        <v>Other</v>
      </c>
    </row>
    <row r="162" ht="15.75" customHeight="1" spans="1:19">
      <c r="A162" t="s">
        <v>325</v>
      </c>
      <c r="B162" s="2">
        <v>45635</v>
      </c>
      <c r="C162" t="str">
        <f t="shared" si="14"/>
        <v>Dec-2024</v>
      </c>
      <c r="D162" t="s">
        <v>326</v>
      </c>
      <c r="E162" t="s">
        <v>327</v>
      </c>
      <c r="F162" t="str">
        <f t="shared" si="15"/>
        <v>JJ</v>
      </c>
      <c r="G162">
        <f t="shared" si="16"/>
        <v>1</v>
      </c>
      <c r="H162" t="s">
        <v>38</v>
      </c>
      <c r="I162" t="s">
        <v>39</v>
      </c>
      <c r="J162">
        <f t="shared" si="17"/>
        <v>29</v>
      </c>
      <c r="K162" t="s">
        <v>40</v>
      </c>
      <c r="L162">
        <v>3</v>
      </c>
      <c r="M162">
        <v>59.99</v>
      </c>
      <c r="N162" t="s">
        <v>27</v>
      </c>
      <c r="O162" t="s">
        <v>28</v>
      </c>
      <c r="P162" t="s">
        <v>34</v>
      </c>
      <c r="Q162" s="2">
        <v>45052</v>
      </c>
      <c r="R162">
        <f t="shared" si="18"/>
        <v>179.97</v>
      </c>
      <c r="S162" t="str">
        <f t="shared" si="19"/>
        <v>Other</v>
      </c>
    </row>
    <row r="163" ht="15.75" customHeight="1" spans="1:19">
      <c r="A163" t="s">
        <v>328</v>
      </c>
      <c r="B163" s="2">
        <v>45635</v>
      </c>
      <c r="C163" t="str">
        <f t="shared" si="14"/>
        <v>Dec-2024</v>
      </c>
      <c r="D163" t="s">
        <v>163</v>
      </c>
      <c r="E163" t="s">
        <v>164</v>
      </c>
      <c r="F163" t="str">
        <f t="shared" si="15"/>
        <v>JT</v>
      </c>
      <c r="G163">
        <f t="shared" si="16"/>
        <v>4</v>
      </c>
      <c r="H163" t="s">
        <v>136</v>
      </c>
      <c r="I163" t="s">
        <v>137</v>
      </c>
      <c r="J163">
        <f t="shared" si="17"/>
        <v>14</v>
      </c>
      <c r="K163" t="s">
        <v>40</v>
      </c>
      <c r="L163">
        <v>4</v>
      </c>
      <c r="M163">
        <v>79.99</v>
      </c>
      <c r="N163" t="s">
        <v>69</v>
      </c>
      <c r="O163" t="s">
        <v>79</v>
      </c>
      <c r="P163" t="s">
        <v>43</v>
      </c>
      <c r="Q163" s="2">
        <v>44921</v>
      </c>
      <c r="R163">
        <f t="shared" si="18"/>
        <v>319.96</v>
      </c>
      <c r="S163" t="str">
        <f t="shared" si="19"/>
        <v>Other</v>
      </c>
    </row>
    <row r="164" ht="15.75" customHeight="1" spans="1:19">
      <c r="A164" t="s">
        <v>329</v>
      </c>
      <c r="B164" s="2">
        <v>45636</v>
      </c>
      <c r="C164" t="str">
        <f t="shared" si="14"/>
        <v>Dec-2024</v>
      </c>
      <c r="D164" t="s">
        <v>142</v>
      </c>
      <c r="E164" t="s">
        <v>143</v>
      </c>
      <c r="F164" t="str">
        <f t="shared" si="15"/>
        <v>HR</v>
      </c>
      <c r="G164">
        <f t="shared" si="16"/>
        <v>7</v>
      </c>
      <c r="H164" t="s">
        <v>136</v>
      </c>
      <c r="I164" t="s">
        <v>137</v>
      </c>
      <c r="J164">
        <f t="shared" si="17"/>
        <v>14</v>
      </c>
      <c r="K164" t="s">
        <v>40</v>
      </c>
      <c r="L164">
        <v>3</v>
      </c>
      <c r="M164">
        <v>79.99</v>
      </c>
      <c r="N164" t="s">
        <v>69</v>
      </c>
      <c r="O164" t="s">
        <v>79</v>
      </c>
      <c r="P164" t="s">
        <v>43</v>
      </c>
      <c r="Q164" s="2">
        <v>44779</v>
      </c>
      <c r="R164">
        <f t="shared" si="18"/>
        <v>239.97</v>
      </c>
      <c r="S164" t="str">
        <f t="shared" si="19"/>
        <v>Other</v>
      </c>
    </row>
    <row r="165" ht="15.75" customHeight="1" spans="1:19">
      <c r="A165" t="s">
        <v>330</v>
      </c>
      <c r="B165" s="2">
        <v>45638</v>
      </c>
      <c r="C165" t="str">
        <f t="shared" si="14"/>
        <v>Dec-2024</v>
      </c>
      <c r="D165" t="s">
        <v>89</v>
      </c>
      <c r="E165" t="s">
        <v>90</v>
      </c>
      <c r="F165" t="str">
        <f t="shared" si="15"/>
        <v>PR</v>
      </c>
      <c r="G165">
        <f t="shared" si="16"/>
        <v>5</v>
      </c>
      <c r="H165" t="s">
        <v>77</v>
      </c>
      <c r="I165" t="s">
        <v>78</v>
      </c>
      <c r="J165">
        <f t="shared" si="17"/>
        <v>24</v>
      </c>
      <c r="K165" t="s">
        <v>26</v>
      </c>
      <c r="L165">
        <v>2</v>
      </c>
      <c r="M165">
        <v>899.99</v>
      </c>
      <c r="N165" t="s">
        <v>27</v>
      </c>
      <c r="O165" t="s">
        <v>47</v>
      </c>
      <c r="P165" t="s">
        <v>29</v>
      </c>
      <c r="Q165" s="2">
        <v>44406</v>
      </c>
      <c r="R165">
        <f t="shared" si="18"/>
        <v>1799.98</v>
      </c>
      <c r="S165" t="str">
        <f t="shared" si="19"/>
        <v>Other</v>
      </c>
    </row>
    <row r="166" ht="15.75" customHeight="1" spans="1:19">
      <c r="A166" t="s">
        <v>331</v>
      </c>
      <c r="B166" s="2">
        <v>45641</v>
      </c>
      <c r="C166" t="str">
        <f t="shared" si="14"/>
        <v>Dec-2024</v>
      </c>
      <c r="D166" t="s">
        <v>204</v>
      </c>
      <c r="E166" t="s">
        <v>205</v>
      </c>
      <c r="F166" t="str">
        <f t="shared" si="15"/>
        <v>DM</v>
      </c>
      <c r="G166">
        <f t="shared" si="16"/>
        <v>6</v>
      </c>
      <c r="H166" t="s">
        <v>51</v>
      </c>
      <c r="I166" t="s">
        <v>52</v>
      </c>
      <c r="J166">
        <f t="shared" si="17"/>
        <v>35</v>
      </c>
      <c r="K166" t="s">
        <v>53</v>
      </c>
      <c r="L166">
        <v>1</v>
      </c>
      <c r="M166">
        <v>149.99</v>
      </c>
      <c r="N166" t="s">
        <v>69</v>
      </c>
      <c r="O166" t="s">
        <v>79</v>
      </c>
      <c r="P166" t="s">
        <v>43</v>
      </c>
      <c r="Q166" s="2">
        <v>45200</v>
      </c>
      <c r="R166">
        <f t="shared" si="18"/>
        <v>149.99</v>
      </c>
      <c r="S166" t="str">
        <f t="shared" si="19"/>
        <v>Other</v>
      </c>
    </row>
    <row r="167" ht="15.75" customHeight="1" spans="1:19">
      <c r="A167" t="s">
        <v>332</v>
      </c>
      <c r="B167" s="2">
        <v>45641</v>
      </c>
      <c r="C167" t="str">
        <f t="shared" si="14"/>
        <v>Dec-2024</v>
      </c>
      <c r="D167" t="s">
        <v>160</v>
      </c>
      <c r="E167" t="s">
        <v>161</v>
      </c>
      <c r="F167" t="str">
        <f t="shared" si="15"/>
        <v>ST</v>
      </c>
      <c r="G167">
        <f t="shared" si="16"/>
        <v>6</v>
      </c>
      <c r="H167" t="s">
        <v>126</v>
      </c>
      <c r="I167" t="s">
        <v>127</v>
      </c>
      <c r="J167">
        <f t="shared" si="17"/>
        <v>26</v>
      </c>
      <c r="K167" t="s">
        <v>53</v>
      </c>
      <c r="L167">
        <v>2</v>
      </c>
      <c r="M167">
        <v>299.99</v>
      </c>
      <c r="N167" t="s">
        <v>27</v>
      </c>
      <c r="O167" t="s">
        <v>79</v>
      </c>
      <c r="P167" t="s">
        <v>34</v>
      </c>
      <c r="Q167" s="2">
        <v>44724</v>
      </c>
      <c r="R167">
        <f t="shared" si="18"/>
        <v>599.98</v>
      </c>
      <c r="S167" t="str">
        <f t="shared" si="19"/>
        <v>Other</v>
      </c>
    </row>
    <row r="168" ht="15.75" customHeight="1" spans="1:19">
      <c r="A168" t="s">
        <v>333</v>
      </c>
      <c r="B168" s="2">
        <v>45644</v>
      </c>
      <c r="C168" t="str">
        <f t="shared" si="14"/>
        <v>Dec-2024</v>
      </c>
      <c r="D168" t="s">
        <v>154</v>
      </c>
      <c r="E168" t="s">
        <v>155</v>
      </c>
      <c r="F168" t="str">
        <f t="shared" si="15"/>
        <v>EW</v>
      </c>
      <c r="G168">
        <f t="shared" si="16"/>
        <v>5</v>
      </c>
      <c r="H168" t="s">
        <v>38</v>
      </c>
      <c r="I168" t="s">
        <v>39</v>
      </c>
      <c r="J168">
        <f t="shared" si="17"/>
        <v>29</v>
      </c>
      <c r="K168" t="s">
        <v>40</v>
      </c>
      <c r="L168">
        <v>2</v>
      </c>
      <c r="M168">
        <v>59.99</v>
      </c>
      <c r="N168" t="s">
        <v>27</v>
      </c>
      <c r="O168" t="s">
        <v>58</v>
      </c>
      <c r="P168" t="s">
        <v>29</v>
      </c>
      <c r="Q168" s="2">
        <v>45191</v>
      </c>
      <c r="R168">
        <f t="shared" si="18"/>
        <v>119.98</v>
      </c>
      <c r="S168" t="str">
        <f t="shared" si="19"/>
        <v>Other</v>
      </c>
    </row>
    <row r="169" ht="15.75" customHeight="1" spans="1:19">
      <c r="A169" t="s">
        <v>334</v>
      </c>
      <c r="B169" s="2">
        <v>45645</v>
      </c>
      <c r="C169" t="str">
        <f t="shared" si="14"/>
        <v>Dec-2024</v>
      </c>
      <c r="D169" t="s">
        <v>204</v>
      </c>
      <c r="E169" t="s">
        <v>205</v>
      </c>
      <c r="F169" t="str">
        <f t="shared" si="15"/>
        <v>DM</v>
      </c>
      <c r="G169">
        <f t="shared" si="16"/>
        <v>6</v>
      </c>
      <c r="H169" t="s">
        <v>139</v>
      </c>
      <c r="I169" t="s">
        <v>140</v>
      </c>
      <c r="J169">
        <f t="shared" si="17"/>
        <v>34</v>
      </c>
      <c r="K169" t="s">
        <v>26</v>
      </c>
      <c r="L169">
        <v>1</v>
      </c>
      <c r="M169">
        <v>89.99</v>
      </c>
      <c r="N169" t="s">
        <v>69</v>
      </c>
      <c r="O169" t="s">
        <v>28</v>
      </c>
      <c r="P169" t="s">
        <v>43</v>
      </c>
      <c r="Q169" s="2">
        <v>44760</v>
      </c>
      <c r="R169">
        <f t="shared" si="18"/>
        <v>89.99</v>
      </c>
      <c r="S169" t="str">
        <f t="shared" si="19"/>
        <v>Other</v>
      </c>
    </row>
    <row r="170" ht="15.75" customHeight="1" spans="1:19">
      <c r="A170" t="s">
        <v>335</v>
      </c>
      <c r="B170" s="2">
        <v>45645</v>
      </c>
      <c r="C170" t="str">
        <f t="shared" si="14"/>
        <v>Dec-2024</v>
      </c>
      <c r="D170" t="s">
        <v>169</v>
      </c>
      <c r="E170" t="s">
        <v>170</v>
      </c>
      <c r="F170" t="str">
        <f t="shared" si="15"/>
        <v>DK</v>
      </c>
      <c r="G170">
        <f t="shared" si="16"/>
        <v>7</v>
      </c>
      <c r="H170" t="s">
        <v>77</v>
      </c>
      <c r="I170" t="s">
        <v>78</v>
      </c>
      <c r="J170">
        <f t="shared" si="17"/>
        <v>24</v>
      </c>
      <c r="K170" t="s">
        <v>26</v>
      </c>
      <c r="L170">
        <v>5</v>
      </c>
      <c r="M170">
        <v>899.99</v>
      </c>
      <c r="N170" t="s">
        <v>69</v>
      </c>
      <c r="O170" t="s">
        <v>79</v>
      </c>
      <c r="P170" t="s">
        <v>43</v>
      </c>
      <c r="Q170" s="2">
        <v>44625</v>
      </c>
      <c r="R170">
        <f t="shared" si="18"/>
        <v>4499.95</v>
      </c>
      <c r="S170" t="str">
        <f t="shared" si="19"/>
        <v>High-Value Customer</v>
      </c>
    </row>
    <row r="171" ht="15.75" customHeight="1" spans="1:19">
      <c r="A171" t="s">
        <v>336</v>
      </c>
      <c r="B171" s="2">
        <v>45646</v>
      </c>
      <c r="C171" t="str">
        <f t="shared" si="14"/>
        <v>Dec-2024</v>
      </c>
      <c r="D171" t="s">
        <v>49</v>
      </c>
      <c r="E171" t="s">
        <v>50</v>
      </c>
      <c r="F171" t="str">
        <f t="shared" si="15"/>
        <v>MB</v>
      </c>
      <c r="G171">
        <f t="shared" si="16"/>
        <v>9</v>
      </c>
      <c r="H171" t="s">
        <v>51</v>
      </c>
      <c r="I171" t="s">
        <v>52</v>
      </c>
      <c r="J171">
        <f t="shared" si="17"/>
        <v>35</v>
      </c>
      <c r="K171" t="s">
        <v>53</v>
      </c>
      <c r="L171">
        <v>2</v>
      </c>
      <c r="M171">
        <v>149.99</v>
      </c>
      <c r="N171" t="s">
        <v>27</v>
      </c>
      <c r="O171" t="s">
        <v>42</v>
      </c>
      <c r="P171" t="s">
        <v>29</v>
      </c>
      <c r="Q171" s="2">
        <v>45239</v>
      </c>
      <c r="R171">
        <f t="shared" si="18"/>
        <v>299.98</v>
      </c>
      <c r="S171" t="str">
        <f t="shared" si="19"/>
        <v>Other</v>
      </c>
    </row>
    <row r="172" ht="15.75" customHeight="1" spans="1:19">
      <c r="A172" t="s">
        <v>337</v>
      </c>
      <c r="B172" s="2">
        <v>45648</v>
      </c>
      <c r="C172" t="str">
        <f t="shared" si="14"/>
        <v>Dec-2024</v>
      </c>
      <c r="D172" t="s">
        <v>134</v>
      </c>
      <c r="E172" t="s">
        <v>135</v>
      </c>
      <c r="F172" t="str">
        <f t="shared" si="15"/>
        <v>LM</v>
      </c>
      <c r="G172">
        <f t="shared" si="16"/>
        <v>4</v>
      </c>
      <c r="H172" t="s">
        <v>61</v>
      </c>
      <c r="I172" t="s">
        <v>62</v>
      </c>
      <c r="J172">
        <f t="shared" si="17"/>
        <v>16</v>
      </c>
      <c r="K172" t="s">
        <v>26</v>
      </c>
      <c r="L172">
        <v>2</v>
      </c>
      <c r="M172">
        <v>149.99</v>
      </c>
      <c r="N172" t="s">
        <v>69</v>
      </c>
      <c r="O172" t="s">
        <v>58</v>
      </c>
      <c r="P172" t="s">
        <v>34</v>
      </c>
      <c r="Q172" s="2">
        <v>45280</v>
      </c>
      <c r="R172">
        <f t="shared" si="18"/>
        <v>299.98</v>
      </c>
      <c r="S172" t="str">
        <f t="shared" si="19"/>
        <v>Other</v>
      </c>
    </row>
    <row r="173" ht="15.75" customHeight="1" spans="1:19">
      <c r="A173" t="s">
        <v>338</v>
      </c>
      <c r="B173" s="2">
        <v>45648</v>
      </c>
      <c r="C173" t="str">
        <f t="shared" si="14"/>
        <v>Dec-2024</v>
      </c>
      <c r="D173" t="s">
        <v>204</v>
      </c>
      <c r="E173" t="s">
        <v>205</v>
      </c>
      <c r="F173" t="str">
        <f t="shared" si="15"/>
        <v>DM</v>
      </c>
      <c r="G173">
        <f t="shared" si="16"/>
        <v>6</v>
      </c>
      <c r="H173" t="s">
        <v>51</v>
      </c>
      <c r="I173" t="s">
        <v>52</v>
      </c>
      <c r="J173">
        <f t="shared" si="17"/>
        <v>35</v>
      </c>
      <c r="K173" t="s">
        <v>53</v>
      </c>
      <c r="L173">
        <v>3</v>
      </c>
      <c r="M173">
        <v>149.99</v>
      </c>
      <c r="N173" t="s">
        <v>69</v>
      </c>
      <c r="O173" t="s">
        <v>47</v>
      </c>
      <c r="P173" t="s">
        <v>43</v>
      </c>
      <c r="Q173" s="2">
        <v>44522</v>
      </c>
      <c r="R173">
        <f t="shared" si="18"/>
        <v>449.97</v>
      </c>
      <c r="S173" t="str">
        <f t="shared" si="19"/>
        <v>Other</v>
      </c>
    </row>
    <row r="174" ht="15.75" customHeight="1" spans="1:19">
      <c r="A174" t="s">
        <v>339</v>
      </c>
      <c r="B174" s="2">
        <v>45649</v>
      </c>
      <c r="C174" t="str">
        <f t="shared" si="14"/>
        <v>Dec-2024</v>
      </c>
      <c r="D174" t="s">
        <v>36</v>
      </c>
      <c r="E174" t="s">
        <v>37</v>
      </c>
      <c r="F174" t="str">
        <f t="shared" si="15"/>
        <v>KS</v>
      </c>
      <c r="G174">
        <f t="shared" si="16"/>
        <v>6</v>
      </c>
      <c r="H174" t="s">
        <v>126</v>
      </c>
      <c r="I174" t="s">
        <v>127</v>
      </c>
      <c r="J174">
        <f t="shared" si="17"/>
        <v>26</v>
      </c>
      <c r="K174" t="s">
        <v>53</v>
      </c>
      <c r="L174">
        <v>2</v>
      </c>
      <c r="M174">
        <v>299.99</v>
      </c>
      <c r="N174" t="s">
        <v>41</v>
      </c>
      <c r="O174" t="s">
        <v>42</v>
      </c>
      <c r="P174" t="s">
        <v>29</v>
      </c>
      <c r="Q174" s="2">
        <v>44721</v>
      </c>
      <c r="R174">
        <f t="shared" si="18"/>
        <v>599.98</v>
      </c>
      <c r="S174" t="str">
        <f t="shared" si="19"/>
        <v>Other</v>
      </c>
    </row>
    <row r="175" ht="15.75" customHeight="1" spans="1:19">
      <c r="A175" t="s">
        <v>340</v>
      </c>
      <c r="B175" s="2">
        <v>45654</v>
      </c>
      <c r="C175" t="str">
        <f t="shared" si="14"/>
        <v>Dec-2024</v>
      </c>
      <c r="D175" t="s">
        <v>49</v>
      </c>
      <c r="E175" t="s">
        <v>50</v>
      </c>
      <c r="F175" t="str">
        <f t="shared" si="15"/>
        <v>MB</v>
      </c>
      <c r="G175">
        <f t="shared" si="16"/>
        <v>9</v>
      </c>
      <c r="H175" t="s">
        <v>126</v>
      </c>
      <c r="I175" t="s">
        <v>127</v>
      </c>
      <c r="J175">
        <f t="shared" si="17"/>
        <v>26</v>
      </c>
      <c r="K175" t="s">
        <v>53</v>
      </c>
      <c r="L175">
        <v>2</v>
      </c>
      <c r="M175">
        <v>299.99</v>
      </c>
      <c r="N175" t="s">
        <v>27</v>
      </c>
      <c r="O175" t="s">
        <v>58</v>
      </c>
      <c r="P175" t="s">
        <v>29</v>
      </c>
      <c r="Q175" s="2">
        <v>44771</v>
      </c>
      <c r="R175">
        <f t="shared" si="18"/>
        <v>599.98</v>
      </c>
      <c r="S175" t="str">
        <f t="shared" si="19"/>
        <v>Other</v>
      </c>
    </row>
    <row r="176" ht="15.75" customHeight="1" spans="1:19">
      <c r="A176" t="s">
        <v>341</v>
      </c>
      <c r="B176" s="2">
        <v>45654</v>
      </c>
      <c r="C176" t="str">
        <f t="shared" si="14"/>
        <v>Dec-2024</v>
      </c>
      <c r="D176" t="s">
        <v>142</v>
      </c>
      <c r="E176" t="s">
        <v>143</v>
      </c>
      <c r="F176" t="str">
        <f t="shared" si="15"/>
        <v>HR</v>
      </c>
      <c r="G176">
        <f t="shared" si="16"/>
        <v>7</v>
      </c>
      <c r="H176" t="s">
        <v>148</v>
      </c>
      <c r="I176" t="s">
        <v>149</v>
      </c>
      <c r="J176">
        <f t="shared" si="17"/>
        <v>15</v>
      </c>
      <c r="K176" t="s">
        <v>53</v>
      </c>
      <c r="L176">
        <v>4</v>
      </c>
      <c r="M176">
        <v>199.99</v>
      </c>
      <c r="N176" t="s">
        <v>33</v>
      </c>
      <c r="O176" t="s">
        <v>28</v>
      </c>
      <c r="P176" t="s">
        <v>29</v>
      </c>
      <c r="Q176" s="2">
        <v>44523</v>
      </c>
      <c r="R176">
        <f t="shared" si="18"/>
        <v>799.96</v>
      </c>
      <c r="S176" t="str">
        <f t="shared" si="19"/>
        <v>Other</v>
      </c>
    </row>
    <row r="177" ht="15.75" customHeight="1" spans="1:19">
      <c r="A177" t="s">
        <v>342</v>
      </c>
      <c r="B177" s="2">
        <v>45655</v>
      </c>
      <c r="C177" t="str">
        <f t="shared" si="14"/>
        <v>Dec-2024</v>
      </c>
      <c r="D177" t="s">
        <v>75</v>
      </c>
      <c r="E177" t="s">
        <v>76</v>
      </c>
      <c r="F177" t="str">
        <f t="shared" si="15"/>
        <v>RT</v>
      </c>
      <c r="G177">
        <f t="shared" si="16"/>
        <v>5</v>
      </c>
      <c r="H177" t="s">
        <v>139</v>
      </c>
      <c r="I177" t="s">
        <v>140</v>
      </c>
      <c r="J177">
        <f t="shared" si="17"/>
        <v>34</v>
      </c>
      <c r="K177" t="s">
        <v>26</v>
      </c>
      <c r="L177">
        <v>1</v>
      </c>
      <c r="M177">
        <v>89.99</v>
      </c>
      <c r="N177" t="s">
        <v>33</v>
      </c>
      <c r="O177" t="s">
        <v>42</v>
      </c>
      <c r="P177" t="s">
        <v>34</v>
      </c>
      <c r="Q177" s="2">
        <v>44591</v>
      </c>
      <c r="R177">
        <f t="shared" si="18"/>
        <v>89.99</v>
      </c>
      <c r="S177" t="str">
        <f t="shared" si="19"/>
        <v>Other</v>
      </c>
    </row>
    <row r="178" ht="15.75" customHeight="1" spans="1:19">
      <c r="A178" t="s">
        <v>343</v>
      </c>
      <c r="B178" s="2">
        <v>45655</v>
      </c>
      <c r="C178" t="str">
        <f t="shared" si="14"/>
        <v>Dec-2024</v>
      </c>
      <c r="D178" t="s">
        <v>129</v>
      </c>
      <c r="E178" t="s">
        <v>130</v>
      </c>
      <c r="F178" t="str">
        <f t="shared" si="15"/>
        <v>NC</v>
      </c>
      <c r="G178">
        <f t="shared" si="16"/>
        <v>6</v>
      </c>
      <c r="H178" t="s">
        <v>51</v>
      </c>
      <c r="I178" t="s">
        <v>52</v>
      </c>
      <c r="J178">
        <f t="shared" si="17"/>
        <v>35</v>
      </c>
      <c r="K178" t="s">
        <v>53</v>
      </c>
      <c r="L178">
        <v>5</v>
      </c>
      <c r="M178">
        <v>149.99</v>
      </c>
      <c r="N178" t="s">
        <v>27</v>
      </c>
      <c r="O178" t="s">
        <v>28</v>
      </c>
      <c r="P178" t="s">
        <v>34</v>
      </c>
      <c r="Q178" s="2">
        <v>45347</v>
      </c>
      <c r="R178">
        <f t="shared" si="18"/>
        <v>749.95</v>
      </c>
      <c r="S178" t="str">
        <f t="shared" si="19"/>
        <v>Other</v>
      </c>
    </row>
    <row r="179" ht="15.75" customHeight="1" spans="1:19">
      <c r="A179" t="s">
        <v>344</v>
      </c>
      <c r="B179" s="2">
        <v>45657</v>
      </c>
      <c r="C179" t="str">
        <f t="shared" si="14"/>
        <v>Dec-2024</v>
      </c>
      <c r="D179" t="s">
        <v>104</v>
      </c>
      <c r="E179" t="s">
        <v>105</v>
      </c>
      <c r="F179" t="str">
        <f t="shared" si="15"/>
        <v>MC</v>
      </c>
      <c r="G179">
        <f t="shared" si="16"/>
        <v>12</v>
      </c>
      <c r="H179" t="s">
        <v>77</v>
      </c>
      <c r="I179" t="s">
        <v>78</v>
      </c>
      <c r="J179">
        <f t="shared" si="17"/>
        <v>24</v>
      </c>
      <c r="K179" t="s">
        <v>26</v>
      </c>
      <c r="L179">
        <v>1</v>
      </c>
      <c r="M179">
        <v>899.99</v>
      </c>
      <c r="N179" t="s">
        <v>41</v>
      </c>
      <c r="O179" t="s">
        <v>47</v>
      </c>
      <c r="P179" t="s">
        <v>34</v>
      </c>
      <c r="Q179" s="2">
        <v>45050</v>
      </c>
      <c r="R179">
        <f t="shared" si="18"/>
        <v>899.99</v>
      </c>
      <c r="S179" t="str">
        <f t="shared" si="19"/>
        <v>Other</v>
      </c>
    </row>
    <row r="180" ht="15.75" customHeight="1" spans="1:19">
      <c r="A180" t="s">
        <v>345</v>
      </c>
      <c r="B180" s="2">
        <v>45660</v>
      </c>
      <c r="C180" t="str">
        <f t="shared" si="14"/>
        <v>Jan-2025</v>
      </c>
      <c r="D180" t="s">
        <v>169</v>
      </c>
      <c r="E180" t="s">
        <v>170</v>
      </c>
      <c r="F180" t="str">
        <f t="shared" si="15"/>
        <v>DK</v>
      </c>
      <c r="G180">
        <f t="shared" si="16"/>
        <v>7</v>
      </c>
      <c r="H180" t="s">
        <v>139</v>
      </c>
      <c r="I180" t="s">
        <v>140</v>
      </c>
      <c r="J180">
        <f t="shared" si="17"/>
        <v>34</v>
      </c>
      <c r="K180" t="s">
        <v>26</v>
      </c>
      <c r="L180">
        <v>2</v>
      </c>
      <c r="M180">
        <v>89.99</v>
      </c>
      <c r="N180" t="s">
        <v>33</v>
      </c>
      <c r="O180" t="s">
        <v>42</v>
      </c>
      <c r="P180" t="s">
        <v>34</v>
      </c>
      <c r="Q180" s="2">
        <v>44564</v>
      </c>
      <c r="R180">
        <f t="shared" si="18"/>
        <v>179.98</v>
      </c>
      <c r="S180" t="str">
        <f t="shared" si="19"/>
        <v>Other</v>
      </c>
    </row>
    <row r="181" ht="15.75" customHeight="1" spans="1:19">
      <c r="A181" t="s">
        <v>346</v>
      </c>
      <c r="B181" s="2">
        <v>45661</v>
      </c>
      <c r="C181" t="str">
        <f t="shared" si="14"/>
        <v>Jan-2025</v>
      </c>
      <c r="D181" t="s">
        <v>347</v>
      </c>
      <c r="E181" t="s">
        <v>348</v>
      </c>
      <c r="F181" t="str">
        <f t="shared" si="15"/>
        <v>AE</v>
      </c>
      <c r="G181">
        <f t="shared" si="16"/>
        <v>3</v>
      </c>
      <c r="H181" t="s">
        <v>77</v>
      </c>
      <c r="I181" t="s">
        <v>78</v>
      </c>
      <c r="J181">
        <f t="shared" si="17"/>
        <v>24</v>
      </c>
      <c r="K181" t="s">
        <v>26</v>
      </c>
      <c r="L181">
        <v>1</v>
      </c>
      <c r="M181">
        <v>899.99</v>
      </c>
      <c r="N181" t="s">
        <v>41</v>
      </c>
      <c r="O181" t="s">
        <v>47</v>
      </c>
      <c r="P181" t="s">
        <v>43</v>
      </c>
      <c r="Q181" s="2">
        <v>44752</v>
      </c>
      <c r="R181">
        <f t="shared" si="18"/>
        <v>899.99</v>
      </c>
      <c r="S181" t="str">
        <f t="shared" si="19"/>
        <v>Other</v>
      </c>
    </row>
    <row r="182" ht="15.75" customHeight="1" spans="1:19">
      <c r="A182" t="s">
        <v>349</v>
      </c>
      <c r="B182" s="2">
        <v>45663</v>
      </c>
      <c r="C182" t="str">
        <f t="shared" si="14"/>
        <v>Jan-2025</v>
      </c>
      <c r="D182" t="s">
        <v>151</v>
      </c>
      <c r="E182" t="s">
        <v>152</v>
      </c>
      <c r="F182" t="str">
        <f t="shared" si="15"/>
        <v>LA</v>
      </c>
      <c r="G182">
        <f t="shared" si="16"/>
        <v>5</v>
      </c>
      <c r="H182" t="s">
        <v>61</v>
      </c>
      <c r="I182" t="s">
        <v>62</v>
      </c>
      <c r="J182">
        <f t="shared" si="17"/>
        <v>16</v>
      </c>
      <c r="K182" t="s">
        <v>26</v>
      </c>
      <c r="L182">
        <v>5</v>
      </c>
      <c r="M182">
        <v>149.99</v>
      </c>
      <c r="N182" t="s">
        <v>41</v>
      </c>
      <c r="O182" t="s">
        <v>79</v>
      </c>
      <c r="P182" t="s">
        <v>34</v>
      </c>
      <c r="Q182" s="2">
        <v>44824</v>
      </c>
      <c r="R182">
        <f t="shared" si="18"/>
        <v>749.95</v>
      </c>
      <c r="S182" t="str">
        <f t="shared" si="19"/>
        <v>Other</v>
      </c>
    </row>
    <row r="183" ht="15.75" customHeight="1" spans="1:19">
      <c r="A183" t="s">
        <v>350</v>
      </c>
      <c r="B183" s="2">
        <v>45663</v>
      </c>
      <c r="C183" t="str">
        <f t="shared" si="14"/>
        <v>Jan-2025</v>
      </c>
      <c r="D183" t="s">
        <v>49</v>
      </c>
      <c r="E183" t="s">
        <v>50</v>
      </c>
      <c r="F183" t="str">
        <f t="shared" si="15"/>
        <v>MB</v>
      </c>
      <c r="G183">
        <f t="shared" si="16"/>
        <v>9</v>
      </c>
      <c r="H183" t="s">
        <v>126</v>
      </c>
      <c r="I183" t="s">
        <v>127</v>
      </c>
      <c r="J183">
        <f t="shared" si="17"/>
        <v>26</v>
      </c>
      <c r="K183" t="s">
        <v>53</v>
      </c>
      <c r="L183">
        <v>3</v>
      </c>
      <c r="M183">
        <v>299.99</v>
      </c>
      <c r="N183" t="s">
        <v>27</v>
      </c>
      <c r="O183" t="s">
        <v>42</v>
      </c>
      <c r="P183" t="s">
        <v>43</v>
      </c>
      <c r="Q183" s="2">
        <v>44422</v>
      </c>
      <c r="R183">
        <f t="shared" si="18"/>
        <v>899.97</v>
      </c>
      <c r="S183" t="str">
        <f t="shared" si="19"/>
        <v>Other</v>
      </c>
    </row>
    <row r="184" ht="15.75" customHeight="1" spans="1:19">
      <c r="A184" t="s">
        <v>351</v>
      </c>
      <c r="B184" s="2">
        <v>45666</v>
      </c>
      <c r="C184" t="str">
        <f t="shared" si="14"/>
        <v>Jan-2025</v>
      </c>
      <c r="D184" t="s">
        <v>82</v>
      </c>
      <c r="E184" t="s">
        <v>83</v>
      </c>
      <c r="F184" t="str">
        <f t="shared" si="15"/>
        <v>KH</v>
      </c>
      <c r="G184">
        <f t="shared" si="16"/>
        <v>8</v>
      </c>
      <c r="H184" t="s">
        <v>98</v>
      </c>
      <c r="I184" t="s">
        <v>99</v>
      </c>
      <c r="J184">
        <f t="shared" si="17"/>
        <v>31</v>
      </c>
      <c r="K184" t="s">
        <v>26</v>
      </c>
      <c r="L184">
        <v>3</v>
      </c>
      <c r="M184">
        <v>699.99</v>
      </c>
      <c r="N184" t="s">
        <v>33</v>
      </c>
      <c r="O184" t="s">
        <v>28</v>
      </c>
      <c r="P184" t="s">
        <v>34</v>
      </c>
      <c r="Q184" s="2">
        <v>45105</v>
      </c>
      <c r="R184">
        <f t="shared" si="18"/>
        <v>2099.97</v>
      </c>
      <c r="S184" t="str">
        <f t="shared" si="19"/>
        <v>High-Value Customer</v>
      </c>
    </row>
    <row r="185" ht="15.75" customHeight="1" spans="1:19">
      <c r="A185" t="s">
        <v>352</v>
      </c>
      <c r="B185" s="2">
        <v>45667</v>
      </c>
      <c r="C185" t="str">
        <f t="shared" si="14"/>
        <v>Jan-2025</v>
      </c>
      <c r="D185" t="s">
        <v>129</v>
      </c>
      <c r="E185" t="s">
        <v>130</v>
      </c>
      <c r="F185" t="str">
        <f t="shared" si="15"/>
        <v>NC</v>
      </c>
      <c r="G185">
        <f t="shared" si="16"/>
        <v>6</v>
      </c>
      <c r="H185" t="s">
        <v>148</v>
      </c>
      <c r="I185" t="s">
        <v>149</v>
      </c>
      <c r="J185">
        <f t="shared" si="17"/>
        <v>15</v>
      </c>
      <c r="K185" t="s">
        <v>53</v>
      </c>
      <c r="L185">
        <v>5</v>
      </c>
      <c r="M185">
        <v>199.99</v>
      </c>
      <c r="N185" t="s">
        <v>41</v>
      </c>
      <c r="O185" t="s">
        <v>28</v>
      </c>
      <c r="P185" t="s">
        <v>43</v>
      </c>
      <c r="Q185" s="2">
        <v>44633</v>
      </c>
      <c r="R185">
        <f t="shared" si="18"/>
        <v>999.95</v>
      </c>
      <c r="S185" t="str">
        <f t="shared" si="19"/>
        <v>Other</v>
      </c>
    </row>
    <row r="186" ht="15.75" customHeight="1" spans="1:19">
      <c r="A186" t="s">
        <v>353</v>
      </c>
      <c r="B186" s="2">
        <v>45667</v>
      </c>
      <c r="C186" t="str">
        <f t="shared" si="14"/>
        <v>Jan-2025</v>
      </c>
      <c r="D186" t="s">
        <v>112</v>
      </c>
      <c r="E186" t="s">
        <v>113</v>
      </c>
      <c r="F186" t="str">
        <f t="shared" si="15"/>
        <v>VS</v>
      </c>
      <c r="G186">
        <f t="shared" si="16"/>
        <v>6</v>
      </c>
      <c r="H186" t="s">
        <v>24</v>
      </c>
      <c r="I186" t="s">
        <v>25</v>
      </c>
      <c r="J186">
        <f t="shared" si="17"/>
        <v>26</v>
      </c>
      <c r="K186" t="s">
        <v>26</v>
      </c>
      <c r="L186">
        <v>5</v>
      </c>
      <c r="M186">
        <v>249.99</v>
      </c>
      <c r="N186" t="s">
        <v>33</v>
      </c>
      <c r="O186" t="s">
        <v>42</v>
      </c>
      <c r="P186" t="s">
        <v>29</v>
      </c>
      <c r="Q186" s="2">
        <v>45330</v>
      </c>
      <c r="R186">
        <f t="shared" si="18"/>
        <v>1249.95</v>
      </c>
      <c r="S186" t="str">
        <f t="shared" si="19"/>
        <v>Other</v>
      </c>
    </row>
    <row r="187" ht="15.75" customHeight="1" spans="1:19">
      <c r="A187" t="s">
        <v>354</v>
      </c>
      <c r="B187" s="2">
        <v>45668</v>
      </c>
      <c r="C187" t="str">
        <f t="shared" si="14"/>
        <v>Jan-2025</v>
      </c>
      <c r="D187" t="s">
        <v>160</v>
      </c>
      <c r="E187" t="s">
        <v>161</v>
      </c>
      <c r="F187" t="str">
        <f t="shared" si="15"/>
        <v>ST</v>
      </c>
      <c r="G187">
        <f t="shared" si="16"/>
        <v>6</v>
      </c>
      <c r="H187" t="s">
        <v>61</v>
      </c>
      <c r="I187" t="s">
        <v>62</v>
      </c>
      <c r="J187">
        <f t="shared" si="17"/>
        <v>16</v>
      </c>
      <c r="K187" t="s">
        <v>26</v>
      </c>
      <c r="L187">
        <v>4</v>
      </c>
      <c r="M187">
        <v>149.99</v>
      </c>
      <c r="N187" t="s">
        <v>69</v>
      </c>
      <c r="O187" t="s">
        <v>79</v>
      </c>
      <c r="P187" t="s">
        <v>43</v>
      </c>
      <c r="Q187" s="2">
        <v>44536</v>
      </c>
      <c r="R187">
        <f t="shared" si="18"/>
        <v>599.96</v>
      </c>
      <c r="S187" t="str">
        <f t="shared" si="19"/>
        <v>Other</v>
      </c>
    </row>
    <row r="188" ht="15.75" customHeight="1" spans="1:19">
      <c r="A188" t="s">
        <v>355</v>
      </c>
      <c r="B188" s="2">
        <v>45668</v>
      </c>
      <c r="C188" t="str">
        <f t="shared" si="14"/>
        <v>Jan-2025</v>
      </c>
      <c r="D188" t="s">
        <v>96</v>
      </c>
      <c r="E188" t="s">
        <v>97</v>
      </c>
      <c r="F188" t="str">
        <f t="shared" si="15"/>
        <v>MR</v>
      </c>
      <c r="G188">
        <f t="shared" si="16"/>
        <v>2</v>
      </c>
      <c r="H188" t="s">
        <v>98</v>
      </c>
      <c r="I188" t="s">
        <v>99</v>
      </c>
      <c r="J188">
        <f t="shared" si="17"/>
        <v>31</v>
      </c>
      <c r="K188" t="s">
        <v>26</v>
      </c>
      <c r="L188">
        <v>3</v>
      </c>
      <c r="M188">
        <v>699.99</v>
      </c>
      <c r="N188" t="s">
        <v>27</v>
      </c>
      <c r="O188" t="s">
        <v>47</v>
      </c>
      <c r="P188" t="s">
        <v>34</v>
      </c>
      <c r="Q188" s="2">
        <v>44602</v>
      </c>
      <c r="R188">
        <f t="shared" si="18"/>
        <v>2099.97</v>
      </c>
      <c r="S188" t="str">
        <f t="shared" si="19"/>
        <v>High-Value Customer</v>
      </c>
    </row>
    <row r="189" ht="15.75" customHeight="1" spans="1:19">
      <c r="A189" t="s">
        <v>356</v>
      </c>
      <c r="B189" s="2">
        <v>45670</v>
      </c>
      <c r="C189" t="str">
        <f t="shared" si="14"/>
        <v>Jan-2025</v>
      </c>
      <c r="D189" t="s">
        <v>315</v>
      </c>
      <c r="E189" t="s">
        <v>316</v>
      </c>
      <c r="F189" t="str">
        <f t="shared" si="15"/>
        <v>DW</v>
      </c>
      <c r="G189">
        <f t="shared" si="16"/>
        <v>4</v>
      </c>
      <c r="H189" t="s">
        <v>136</v>
      </c>
      <c r="I189" t="s">
        <v>137</v>
      </c>
      <c r="J189">
        <f t="shared" si="17"/>
        <v>14</v>
      </c>
      <c r="K189" t="s">
        <v>40</v>
      </c>
      <c r="L189">
        <v>1</v>
      </c>
      <c r="M189">
        <v>79.99</v>
      </c>
      <c r="N189" t="s">
        <v>33</v>
      </c>
      <c r="O189" t="s">
        <v>42</v>
      </c>
      <c r="P189" t="s">
        <v>29</v>
      </c>
      <c r="Q189" s="2">
        <v>45322</v>
      </c>
      <c r="R189">
        <f t="shared" si="18"/>
        <v>79.99</v>
      </c>
      <c r="S189" t="str">
        <f t="shared" si="19"/>
        <v>Other</v>
      </c>
    </row>
    <row r="190" ht="15.75" customHeight="1" spans="1:19">
      <c r="A190" t="s">
        <v>357</v>
      </c>
      <c r="B190" s="2">
        <v>45670</v>
      </c>
      <c r="C190" t="str">
        <f t="shared" si="14"/>
        <v>Jan-2025</v>
      </c>
      <c r="D190" t="s">
        <v>104</v>
      </c>
      <c r="E190" t="s">
        <v>105</v>
      </c>
      <c r="F190" t="str">
        <f t="shared" si="15"/>
        <v>MC</v>
      </c>
      <c r="G190">
        <f t="shared" si="16"/>
        <v>12</v>
      </c>
      <c r="H190" t="s">
        <v>126</v>
      </c>
      <c r="I190" t="s">
        <v>127</v>
      </c>
      <c r="J190">
        <f t="shared" si="17"/>
        <v>26</v>
      </c>
      <c r="K190" t="s">
        <v>53</v>
      </c>
      <c r="L190">
        <v>1</v>
      </c>
      <c r="M190">
        <v>299.99</v>
      </c>
      <c r="N190" t="s">
        <v>33</v>
      </c>
      <c r="O190" t="s">
        <v>47</v>
      </c>
      <c r="P190" t="s">
        <v>29</v>
      </c>
      <c r="Q190" s="2">
        <v>44436</v>
      </c>
      <c r="R190">
        <f t="shared" si="18"/>
        <v>299.99</v>
      </c>
      <c r="S190" t="str">
        <f t="shared" si="19"/>
        <v>Other</v>
      </c>
    </row>
    <row r="191" ht="15.75" customHeight="1" spans="1:19">
      <c r="A191" t="s">
        <v>358</v>
      </c>
      <c r="B191" s="2">
        <v>45671</v>
      </c>
      <c r="C191" t="str">
        <f t="shared" si="14"/>
        <v>Jan-2025</v>
      </c>
      <c r="D191" t="s">
        <v>180</v>
      </c>
      <c r="E191" t="s">
        <v>181</v>
      </c>
      <c r="F191" t="str">
        <f t="shared" si="15"/>
        <v>BC</v>
      </c>
      <c r="G191">
        <f t="shared" si="16"/>
        <v>5</v>
      </c>
      <c r="H191" t="s">
        <v>24</v>
      </c>
      <c r="I191" t="s">
        <v>25</v>
      </c>
      <c r="J191">
        <f t="shared" si="17"/>
        <v>26</v>
      </c>
      <c r="K191" t="s">
        <v>26</v>
      </c>
      <c r="L191">
        <v>4</v>
      </c>
      <c r="M191">
        <v>249.99</v>
      </c>
      <c r="N191" t="s">
        <v>33</v>
      </c>
      <c r="O191" t="s">
        <v>47</v>
      </c>
      <c r="P191" t="s">
        <v>34</v>
      </c>
      <c r="Q191" s="2">
        <v>44460</v>
      </c>
      <c r="R191">
        <f t="shared" si="18"/>
        <v>999.96</v>
      </c>
      <c r="S191" t="str">
        <f t="shared" si="19"/>
        <v>Other</v>
      </c>
    </row>
    <row r="192" ht="15.75" customHeight="1" spans="1:19">
      <c r="A192" t="s">
        <v>359</v>
      </c>
      <c r="B192" s="2">
        <v>45671</v>
      </c>
      <c r="C192" t="str">
        <f t="shared" si="14"/>
        <v>Jan-2025</v>
      </c>
      <c r="D192" t="s">
        <v>142</v>
      </c>
      <c r="E192" t="s">
        <v>143</v>
      </c>
      <c r="F192" t="str">
        <f t="shared" si="15"/>
        <v>HR</v>
      </c>
      <c r="G192">
        <f t="shared" si="16"/>
        <v>7</v>
      </c>
      <c r="H192" t="s">
        <v>61</v>
      </c>
      <c r="I192" t="s">
        <v>62</v>
      </c>
      <c r="J192">
        <f t="shared" si="17"/>
        <v>16</v>
      </c>
      <c r="K192" t="s">
        <v>26</v>
      </c>
      <c r="L192">
        <v>2</v>
      </c>
      <c r="M192">
        <v>149.99</v>
      </c>
      <c r="N192" t="s">
        <v>27</v>
      </c>
      <c r="O192" t="s">
        <v>47</v>
      </c>
      <c r="P192" t="s">
        <v>43</v>
      </c>
      <c r="Q192" s="2">
        <v>44913</v>
      </c>
      <c r="R192">
        <f t="shared" si="18"/>
        <v>299.98</v>
      </c>
      <c r="S192" t="str">
        <f t="shared" si="19"/>
        <v>Other</v>
      </c>
    </row>
    <row r="193" ht="15.75" customHeight="1" spans="1:19">
      <c r="A193" t="s">
        <v>360</v>
      </c>
      <c r="B193" s="2">
        <v>45671</v>
      </c>
      <c r="C193" t="str">
        <f t="shared" si="14"/>
        <v>Jan-2025</v>
      </c>
      <c r="D193" t="s">
        <v>256</v>
      </c>
      <c r="E193" t="s">
        <v>257</v>
      </c>
      <c r="F193" t="str">
        <f t="shared" si="15"/>
        <v>SP</v>
      </c>
      <c r="G193">
        <f t="shared" si="16"/>
        <v>5</v>
      </c>
      <c r="H193" t="s">
        <v>126</v>
      </c>
      <c r="I193" t="s">
        <v>127</v>
      </c>
      <c r="J193">
        <f t="shared" si="17"/>
        <v>26</v>
      </c>
      <c r="K193" t="s">
        <v>53</v>
      </c>
      <c r="L193">
        <v>3</v>
      </c>
      <c r="M193">
        <v>299.99</v>
      </c>
      <c r="N193" t="s">
        <v>33</v>
      </c>
      <c r="O193" t="s">
        <v>42</v>
      </c>
      <c r="P193" t="s">
        <v>29</v>
      </c>
      <c r="Q193" s="2">
        <v>45204</v>
      </c>
      <c r="R193">
        <f t="shared" si="18"/>
        <v>899.97</v>
      </c>
      <c r="S193" t="str">
        <f t="shared" si="19"/>
        <v>Other</v>
      </c>
    </row>
    <row r="194" ht="15.75" customHeight="1" spans="1:19">
      <c r="A194" t="s">
        <v>361</v>
      </c>
      <c r="B194" s="2">
        <v>45673</v>
      </c>
      <c r="C194" t="str">
        <f t="shared" si="14"/>
        <v>Jan-2025</v>
      </c>
      <c r="D194" t="s">
        <v>248</v>
      </c>
      <c r="E194" t="s">
        <v>249</v>
      </c>
      <c r="F194" t="str">
        <f t="shared" si="15"/>
        <v>LR</v>
      </c>
      <c r="G194">
        <f t="shared" si="16"/>
        <v>8</v>
      </c>
      <c r="H194" t="s">
        <v>148</v>
      </c>
      <c r="I194" t="s">
        <v>149</v>
      </c>
      <c r="J194">
        <f t="shared" si="17"/>
        <v>15</v>
      </c>
      <c r="K194" t="s">
        <v>53</v>
      </c>
      <c r="L194">
        <v>4</v>
      </c>
      <c r="M194">
        <v>199.99</v>
      </c>
      <c r="N194" t="s">
        <v>69</v>
      </c>
      <c r="O194" t="s">
        <v>42</v>
      </c>
      <c r="P194" t="s">
        <v>43</v>
      </c>
      <c r="Q194" s="2">
        <v>44544</v>
      </c>
      <c r="R194">
        <f t="shared" si="18"/>
        <v>799.96</v>
      </c>
      <c r="S194" t="str">
        <f t="shared" si="19"/>
        <v>Other</v>
      </c>
    </row>
    <row r="195" ht="15.75" customHeight="1" spans="1:19">
      <c r="A195" t="s">
        <v>362</v>
      </c>
      <c r="B195" s="2">
        <v>45673</v>
      </c>
      <c r="C195" t="str">
        <f t="shared" ref="C195:C251" si="20">TEXT(B195,"mmm-yyy")</f>
        <v>Jan-2025</v>
      </c>
      <c r="D195" t="s">
        <v>233</v>
      </c>
      <c r="E195" t="s">
        <v>234</v>
      </c>
      <c r="F195" t="str">
        <f t="shared" ref="F195:F251" si="21">LEFT(E195,1)&amp;MID(E195,FIND(" ",E195)+1,1)</f>
        <v>EH</v>
      </c>
      <c r="G195">
        <f t="shared" ref="G195:G251" si="22">COUNTIF(E:E,E195)</f>
        <v>4</v>
      </c>
      <c r="H195" t="s">
        <v>126</v>
      </c>
      <c r="I195" t="s">
        <v>127</v>
      </c>
      <c r="J195">
        <f t="shared" ref="J195:J251" si="23">COUNTIF(I:I,I195)</f>
        <v>26</v>
      </c>
      <c r="K195" t="s">
        <v>53</v>
      </c>
      <c r="L195">
        <v>5</v>
      </c>
      <c r="M195">
        <v>299.99</v>
      </c>
      <c r="N195" t="s">
        <v>69</v>
      </c>
      <c r="O195" t="s">
        <v>28</v>
      </c>
      <c r="P195" t="s">
        <v>29</v>
      </c>
      <c r="Q195" s="2">
        <v>44431</v>
      </c>
      <c r="R195">
        <f t="shared" ref="R195:R251" si="24">M195*L195</f>
        <v>1499.95</v>
      </c>
      <c r="S195" t="str">
        <f t="shared" ref="S195:S251" si="25">IF(R195&gt;2000,"High-Value Customer","Other")</f>
        <v>Other</v>
      </c>
    </row>
    <row r="196" ht="15.75" customHeight="1" spans="1:19">
      <c r="A196" t="s">
        <v>363</v>
      </c>
      <c r="B196" s="2">
        <v>45673</v>
      </c>
      <c r="C196" t="str">
        <f t="shared" si="20"/>
        <v>Jan-2025</v>
      </c>
      <c r="D196" t="s">
        <v>75</v>
      </c>
      <c r="E196" t="s">
        <v>76</v>
      </c>
      <c r="F196" t="str">
        <f t="shared" si="21"/>
        <v>RT</v>
      </c>
      <c r="G196">
        <f t="shared" si="22"/>
        <v>5</v>
      </c>
      <c r="H196" t="s">
        <v>51</v>
      </c>
      <c r="I196" t="s">
        <v>52</v>
      </c>
      <c r="J196">
        <f t="shared" si="23"/>
        <v>35</v>
      </c>
      <c r="K196" t="s">
        <v>53</v>
      </c>
      <c r="L196">
        <v>3</v>
      </c>
      <c r="M196">
        <v>149.99</v>
      </c>
      <c r="N196" t="s">
        <v>33</v>
      </c>
      <c r="O196" t="s">
        <v>79</v>
      </c>
      <c r="P196" t="s">
        <v>43</v>
      </c>
      <c r="Q196" s="2">
        <v>44395</v>
      </c>
      <c r="R196">
        <f t="shared" si="24"/>
        <v>449.97</v>
      </c>
      <c r="S196" t="str">
        <f t="shared" si="25"/>
        <v>Other</v>
      </c>
    </row>
    <row r="197" ht="15.75" customHeight="1" spans="1:19">
      <c r="A197" t="s">
        <v>364</v>
      </c>
      <c r="B197" s="2">
        <v>45676</v>
      </c>
      <c r="C197" t="str">
        <f t="shared" si="20"/>
        <v>Jan-2025</v>
      </c>
      <c r="D197" t="s">
        <v>151</v>
      </c>
      <c r="E197" t="s">
        <v>152</v>
      </c>
      <c r="F197" t="str">
        <f t="shared" si="21"/>
        <v>LA</v>
      </c>
      <c r="G197">
        <f t="shared" si="22"/>
        <v>5</v>
      </c>
      <c r="H197" t="s">
        <v>38</v>
      </c>
      <c r="I197" t="s">
        <v>39</v>
      </c>
      <c r="J197">
        <f t="shared" si="23"/>
        <v>29</v>
      </c>
      <c r="K197" t="s">
        <v>40</v>
      </c>
      <c r="L197">
        <v>5</v>
      </c>
      <c r="M197">
        <v>59.99</v>
      </c>
      <c r="N197" t="s">
        <v>69</v>
      </c>
      <c r="O197" t="s">
        <v>79</v>
      </c>
      <c r="P197" t="s">
        <v>29</v>
      </c>
      <c r="Q197" s="2">
        <v>44642</v>
      </c>
      <c r="R197">
        <f t="shared" si="24"/>
        <v>299.95</v>
      </c>
      <c r="S197" t="str">
        <f t="shared" si="25"/>
        <v>Other</v>
      </c>
    </row>
    <row r="198" ht="15.75" customHeight="1" spans="1:19">
      <c r="A198" t="s">
        <v>365</v>
      </c>
      <c r="B198" s="2">
        <v>45682</v>
      </c>
      <c r="C198" t="str">
        <f t="shared" si="20"/>
        <v>Jan-2025</v>
      </c>
      <c r="D198" t="s">
        <v>85</v>
      </c>
      <c r="E198" t="s">
        <v>86</v>
      </c>
      <c r="F198" t="str">
        <f t="shared" si="21"/>
        <v>SG</v>
      </c>
      <c r="G198">
        <f t="shared" si="22"/>
        <v>4</v>
      </c>
      <c r="H198" t="s">
        <v>38</v>
      </c>
      <c r="I198" t="s">
        <v>39</v>
      </c>
      <c r="J198">
        <f t="shared" si="23"/>
        <v>29</v>
      </c>
      <c r="K198" t="s">
        <v>40</v>
      </c>
      <c r="L198">
        <v>4</v>
      </c>
      <c r="M198">
        <v>59.99</v>
      </c>
      <c r="N198" t="s">
        <v>69</v>
      </c>
      <c r="O198" t="s">
        <v>79</v>
      </c>
      <c r="P198" t="s">
        <v>43</v>
      </c>
      <c r="Q198" s="2">
        <v>44564</v>
      </c>
      <c r="R198">
        <f t="shared" si="24"/>
        <v>239.96</v>
      </c>
      <c r="S198" t="str">
        <f t="shared" si="25"/>
        <v>Other</v>
      </c>
    </row>
    <row r="199" ht="15.75" customHeight="1" spans="1:19">
      <c r="A199" t="s">
        <v>366</v>
      </c>
      <c r="B199" s="2">
        <v>45683</v>
      </c>
      <c r="C199" t="str">
        <f t="shared" si="20"/>
        <v>Jan-2025</v>
      </c>
      <c r="D199" t="s">
        <v>56</v>
      </c>
      <c r="E199" t="s">
        <v>57</v>
      </c>
      <c r="F199" t="str">
        <f t="shared" si="21"/>
        <v>DN</v>
      </c>
      <c r="G199">
        <f t="shared" si="22"/>
        <v>6</v>
      </c>
      <c r="H199" t="s">
        <v>24</v>
      </c>
      <c r="I199" t="s">
        <v>25</v>
      </c>
      <c r="J199">
        <f t="shared" si="23"/>
        <v>26</v>
      </c>
      <c r="K199" t="s">
        <v>26</v>
      </c>
      <c r="L199">
        <v>4</v>
      </c>
      <c r="M199">
        <v>249.99</v>
      </c>
      <c r="N199" t="s">
        <v>69</v>
      </c>
      <c r="O199" t="s">
        <v>28</v>
      </c>
      <c r="P199" t="s">
        <v>34</v>
      </c>
      <c r="Q199" s="2">
        <v>45217</v>
      </c>
      <c r="R199">
        <f t="shared" si="24"/>
        <v>999.96</v>
      </c>
      <c r="S199" t="str">
        <f t="shared" si="25"/>
        <v>Other</v>
      </c>
    </row>
    <row r="200" ht="15.75" customHeight="1" spans="1:19">
      <c r="A200" t="s">
        <v>367</v>
      </c>
      <c r="B200" s="2">
        <v>45686</v>
      </c>
      <c r="C200" t="str">
        <f t="shared" si="20"/>
        <v>Jan-2025</v>
      </c>
      <c r="D200" t="s">
        <v>274</v>
      </c>
      <c r="E200" t="s">
        <v>275</v>
      </c>
      <c r="F200" t="str">
        <f t="shared" si="21"/>
        <v>WW</v>
      </c>
      <c r="G200">
        <f t="shared" si="22"/>
        <v>3</v>
      </c>
      <c r="H200" t="s">
        <v>77</v>
      </c>
      <c r="I200" t="s">
        <v>78</v>
      </c>
      <c r="J200">
        <f t="shared" si="23"/>
        <v>24</v>
      </c>
      <c r="K200" t="s">
        <v>26</v>
      </c>
      <c r="L200">
        <v>4</v>
      </c>
      <c r="M200">
        <v>899.99</v>
      </c>
      <c r="N200" t="s">
        <v>41</v>
      </c>
      <c r="O200" t="s">
        <v>28</v>
      </c>
      <c r="P200" t="s">
        <v>29</v>
      </c>
      <c r="Q200" s="2">
        <v>44734</v>
      </c>
      <c r="R200">
        <f t="shared" si="24"/>
        <v>3599.96</v>
      </c>
      <c r="S200" t="str">
        <f t="shared" si="25"/>
        <v>High-Value Customer</v>
      </c>
    </row>
    <row r="201" ht="15.75" customHeight="1" spans="1:19">
      <c r="A201" t="s">
        <v>368</v>
      </c>
      <c r="B201" s="2">
        <v>45686</v>
      </c>
      <c r="C201" t="str">
        <f t="shared" si="20"/>
        <v>Jan-2025</v>
      </c>
      <c r="D201" t="s">
        <v>104</v>
      </c>
      <c r="E201" t="s">
        <v>105</v>
      </c>
      <c r="F201" t="str">
        <f t="shared" si="21"/>
        <v>MC</v>
      </c>
      <c r="G201">
        <f t="shared" si="22"/>
        <v>12</v>
      </c>
      <c r="H201" t="s">
        <v>126</v>
      </c>
      <c r="I201" t="s">
        <v>127</v>
      </c>
      <c r="J201">
        <f t="shared" si="23"/>
        <v>26</v>
      </c>
      <c r="K201" t="s">
        <v>53</v>
      </c>
      <c r="L201">
        <v>3</v>
      </c>
      <c r="M201">
        <v>299.99</v>
      </c>
      <c r="N201" t="s">
        <v>69</v>
      </c>
      <c r="O201" t="s">
        <v>58</v>
      </c>
      <c r="P201" t="s">
        <v>43</v>
      </c>
      <c r="Q201" s="2">
        <v>44952</v>
      </c>
      <c r="R201">
        <f t="shared" si="24"/>
        <v>899.97</v>
      </c>
      <c r="S201" t="str">
        <f t="shared" si="25"/>
        <v>Other</v>
      </c>
    </row>
    <row r="202" ht="15.75" customHeight="1" spans="1:19">
      <c r="A202" t="s">
        <v>369</v>
      </c>
      <c r="B202" s="2">
        <v>45686</v>
      </c>
      <c r="C202" t="str">
        <f t="shared" si="20"/>
        <v>Jan-2025</v>
      </c>
      <c r="D202" t="s">
        <v>315</v>
      </c>
      <c r="E202" t="s">
        <v>316</v>
      </c>
      <c r="F202" t="str">
        <f t="shared" si="21"/>
        <v>DW</v>
      </c>
      <c r="G202">
        <f t="shared" si="22"/>
        <v>4</v>
      </c>
      <c r="H202" t="s">
        <v>98</v>
      </c>
      <c r="I202" t="s">
        <v>99</v>
      </c>
      <c r="J202">
        <f t="shared" si="23"/>
        <v>31</v>
      </c>
      <c r="K202" t="s">
        <v>26</v>
      </c>
      <c r="L202">
        <v>2</v>
      </c>
      <c r="M202">
        <v>699.99</v>
      </c>
      <c r="N202" t="s">
        <v>69</v>
      </c>
      <c r="O202" t="s">
        <v>28</v>
      </c>
      <c r="P202" t="s">
        <v>34</v>
      </c>
      <c r="Q202" s="2">
        <v>44681</v>
      </c>
      <c r="R202">
        <f t="shared" si="24"/>
        <v>1399.98</v>
      </c>
      <c r="S202" t="str">
        <f t="shared" si="25"/>
        <v>Other</v>
      </c>
    </row>
    <row r="203" ht="15.75" customHeight="1" spans="1:19">
      <c r="A203" t="s">
        <v>370</v>
      </c>
      <c r="B203" s="2">
        <v>45688</v>
      </c>
      <c r="C203" t="str">
        <f t="shared" si="20"/>
        <v>Jan-2025</v>
      </c>
      <c r="D203" t="s">
        <v>82</v>
      </c>
      <c r="E203" t="s">
        <v>83</v>
      </c>
      <c r="F203" t="str">
        <f t="shared" si="21"/>
        <v>KH</v>
      </c>
      <c r="G203">
        <f t="shared" si="22"/>
        <v>8</v>
      </c>
      <c r="H203" t="s">
        <v>98</v>
      </c>
      <c r="I203" t="s">
        <v>99</v>
      </c>
      <c r="J203">
        <f t="shared" si="23"/>
        <v>31</v>
      </c>
      <c r="K203" t="s">
        <v>26</v>
      </c>
      <c r="L203">
        <v>4</v>
      </c>
      <c r="M203">
        <v>699.99</v>
      </c>
      <c r="N203" t="s">
        <v>69</v>
      </c>
      <c r="O203" t="s">
        <v>58</v>
      </c>
      <c r="P203" t="s">
        <v>34</v>
      </c>
      <c r="Q203" s="2">
        <v>44692</v>
      </c>
      <c r="R203">
        <f t="shared" si="24"/>
        <v>2799.96</v>
      </c>
      <c r="S203" t="str">
        <f t="shared" si="25"/>
        <v>High-Value Customer</v>
      </c>
    </row>
    <row r="204" ht="15.75" customHeight="1" spans="1:19">
      <c r="A204" t="s">
        <v>371</v>
      </c>
      <c r="B204" s="2">
        <v>45688</v>
      </c>
      <c r="C204" t="str">
        <f t="shared" si="20"/>
        <v>Jan-2025</v>
      </c>
      <c r="D204" t="s">
        <v>145</v>
      </c>
      <c r="E204" t="s">
        <v>146</v>
      </c>
      <c r="F204" t="str">
        <f t="shared" si="21"/>
        <v>EM</v>
      </c>
      <c r="G204">
        <f t="shared" si="22"/>
        <v>6</v>
      </c>
      <c r="H204" t="s">
        <v>139</v>
      </c>
      <c r="I204" t="s">
        <v>140</v>
      </c>
      <c r="J204">
        <f t="shared" si="23"/>
        <v>34</v>
      </c>
      <c r="K204" t="s">
        <v>26</v>
      </c>
      <c r="L204">
        <v>2</v>
      </c>
      <c r="M204">
        <v>89.99</v>
      </c>
      <c r="N204" t="s">
        <v>69</v>
      </c>
      <c r="O204" t="s">
        <v>42</v>
      </c>
      <c r="P204" t="s">
        <v>29</v>
      </c>
      <c r="Q204" s="2">
        <v>44777</v>
      </c>
      <c r="R204">
        <f t="shared" si="24"/>
        <v>179.98</v>
      </c>
      <c r="S204" t="str">
        <f t="shared" si="25"/>
        <v>Other</v>
      </c>
    </row>
    <row r="205" ht="15.75" customHeight="1" spans="1:19">
      <c r="A205" t="s">
        <v>372</v>
      </c>
      <c r="B205" s="2">
        <v>45688</v>
      </c>
      <c r="C205" t="str">
        <f t="shared" si="20"/>
        <v>Jan-2025</v>
      </c>
      <c r="D205" t="s">
        <v>49</v>
      </c>
      <c r="E205" t="s">
        <v>50</v>
      </c>
      <c r="F205" t="str">
        <f t="shared" si="21"/>
        <v>MB</v>
      </c>
      <c r="G205">
        <f t="shared" si="22"/>
        <v>9</v>
      </c>
      <c r="H205" t="s">
        <v>139</v>
      </c>
      <c r="I205" t="s">
        <v>140</v>
      </c>
      <c r="J205">
        <f t="shared" si="23"/>
        <v>34</v>
      </c>
      <c r="K205" t="s">
        <v>26</v>
      </c>
      <c r="L205">
        <v>3</v>
      </c>
      <c r="M205">
        <v>89.99</v>
      </c>
      <c r="N205" t="s">
        <v>69</v>
      </c>
      <c r="O205" t="s">
        <v>42</v>
      </c>
      <c r="P205" t="s">
        <v>34</v>
      </c>
      <c r="Q205" s="2">
        <v>45307</v>
      </c>
      <c r="R205">
        <f t="shared" si="24"/>
        <v>269.97</v>
      </c>
      <c r="S205" t="str">
        <f t="shared" si="25"/>
        <v>Other</v>
      </c>
    </row>
    <row r="206" ht="15.75" customHeight="1" spans="1:19">
      <c r="A206" t="s">
        <v>373</v>
      </c>
      <c r="B206" s="2">
        <v>45692</v>
      </c>
      <c r="C206" t="str">
        <f t="shared" si="20"/>
        <v>Feb-2025</v>
      </c>
      <c r="D206" t="s">
        <v>347</v>
      </c>
      <c r="E206" t="s">
        <v>348</v>
      </c>
      <c r="F206" t="str">
        <f t="shared" si="21"/>
        <v>AE</v>
      </c>
      <c r="G206">
        <f t="shared" si="22"/>
        <v>3</v>
      </c>
      <c r="H206" t="s">
        <v>38</v>
      </c>
      <c r="I206" t="s">
        <v>39</v>
      </c>
      <c r="J206">
        <f t="shared" si="23"/>
        <v>29</v>
      </c>
      <c r="K206" t="s">
        <v>40</v>
      </c>
      <c r="L206">
        <v>1</v>
      </c>
      <c r="M206">
        <v>59.99</v>
      </c>
      <c r="N206" t="s">
        <v>69</v>
      </c>
      <c r="O206" t="s">
        <v>28</v>
      </c>
      <c r="P206" t="s">
        <v>43</v>
      </c>
      <c r="Q206" s="2">
        <v>45045</v>
      </c>
      <c r="R206">
        <f t="shared" si="24"/>
        <v>59.99</v>
      </c>
      <c r="S206" t="str">
        <f t="shared" si="25"/>
        <v>Other</v>
      </c>
    </row>
    <row r="207" ht="15.75" customHeight="1" spans="1:19">
      <c r="A207" t="s">
        <v>374</v>
      </c>
      <c r="B207" s="2">
        <v>45695</v>
      </c>
      <c r="C207" t="str">
        <f t="shared" si="20"/>
        <v>Feb-2025</v>
      </c>
      <c r="D207" t="s">
        <v>268</v>
      </c>
      <c r="E207" t="s">
        <v>269</v>
      </c>
      <c r="F207" t="str">
        <f t="shared" si="21"/>
        <v>RB</v>
      </c>
      <c r="G207">
        <f t="shared" si="22"/>
        <v>3</v>
      </c>
      <c r="H207" t="s">
        <v>51</v>
      </c>
      <c r="I207" t="s">
        <v>52</v>
      </c>
      <c r="J207">
        <f t="shared" si="23"/>
        <v>35</v>
      </c>
      <c r="K207" t="s">
        <v>53</v>
      </c>
      <c r="L207">
        <v>3</v>
      </c>
      <c r="M207">
        <v>149.99</v>
      </c>
      <c r="N207" t="s">
        <v>69</v>
      </c>
      <c r="O207" t="s">
        <v>47</v>
      </c>
      <c r="P207" t="s">
        <v>34</v>
      </c>
      <c r="Q207" s="2">
        <v>44564</v>
      </c>
      <c r="R207">
        <f t="shared" si="24"/>
        <v>449.97</v>
      </c>
      <c r="S207" t="str">
        <f t="shared" si="25"/>
        <v>Other</v>
      </c>
    </row>
    <row r="208" ht="15.75" customHeight="1" spans="1:19">
      <c r="A208" t="s">
        <v>375</v>
      </c>
      <c r="B208" s="2">
        <v>45695</v>
      </c>
      <c r="C208" t="str">
        <f t="shared" si="20"/>
        <v>Feb-2025</v>
      </c>
      <c r="D208" t="s">
        <v>112</v>
      </c>
      <c r="E208" t="s">
        <v>113</v>
      </c>
      <c r="F208" t="str">
        <f t="shared" si="21"/>
        <v>VS</v>
      </c>
      <c r="G208">
        <f t="shared" si="22"/>
        <v>6</v>
      </c>
      <c r="H208" t="s">
        <v>126</v>
      </c>
      <c r="I208" t="s">
        <v>127</v>
      </c>
      <c r="J208">
        <f t="shared" si="23"/>
        <v>26</v>
      </c>
      <c r="K208" t="s">
        <v>53</v>
      </c>
      <c r="L208">
        <v>5</v>
      </c>
      <c r="M208">
        <v>299.99</v>
      </c>
      <c r="N208" t="s">
        <v>33</v>
      </c>
      <c r="O208" t="s">
        <v>42</v>
      </c>
      <c r="P208" t="s">
        <v>29</v>
      </c>
      <c r="Q208" s="2">
        <v>44959</v>
      </c>
      <c r="R208">
        <f t="shared" si="24"/>
        <v>1499.95</v>
      </c>
      <c r="S208" t="str">
        <f t="shared" si="25"/>
        <v>Other</v>
      </c>
    </row>
    <row r="209" ht="15.75" customHeight="1" spans="1:19">
      <c r="A209" t="s">
        <v>376</v>
      </c>
      <c r="B209" s="2">
        <v>45696</v>
      </c>
      <c r="C209" t="str">
        <f t="shared" si="20"/>
        <v>Feb-2025</v>
      </c>
      <c r="D209" t="s">
        <v>172</v>
      </c>
      <c r="E209" t="s">
        <v>173</v>
      </c>
      <c r="F209" t="str">
        <f t="shared" si="21"/>
        <v>SB</v>
      </c>
      <c r="G209">
        <f t="shared" si="22"/>
        <v>6</v>
      </c>
      <c r="H209" t="s">
        <v>38</v>
      </c>
      <c r="I209" t="s">
        <v>39</v>
      </c>
      <c r="J209">
        <f t="shared" si="23"/>
        <v>29</v>
      </c>
      <c r="K209" t="s">
        <v>40</v>
      </c>
      <c r="L209">
        <v>5</v>
      </c>
      <c r="M209">
        <v>59.99</v>
      </c>
      <c r="N209" t="s">
        <v>69</v>
      </c>
      <c r="O209" t="s">
        <v>28</v>
      </c>
      <c r="P209" t="s">
        <v>43</v>
      </c>
      <c r="Q209" s="2">
        <v>45177</v>
      </c>
      <c r="R209">
        <f t="shared" si="24"/>
        <v>299.95</v>
      </c>
      <c r="S209" t="str">
        <f t="shared" si="25"/>
        <v>Other</v>
      </c>
    </row>
    <row r="210" ht="15.75" customHeight="1" spans="1:19">
      <c r="A210" t="s">
        <v>377</v>
      </c>
      <c r="B210" s="2">
        <v>45701</v>
      </c>
      <c r="C210" t="str">
        <f t="shared" si="20"/>
        <v>Feb-2025</v>
      </c>
      <c r="D210" t="s">
        <v>129</v>
      </c>
      <c r="E210" t="s">
        <v>130</v>
      </c>
      <c r="F210" t="str">
        <f t="shared" si="21"/>
        <v>NC</v>
      </c>
      <c r="G210">
        <f t="shared" si="22"/>
        <v>6</v>
      </c>
      <c r="H210" t="s">
        <v>136</v>
      </c>
      <c r="I210" t="s">
        <v>137</v>
      </c>
      <c r="J210">
        <f t="shared" si="23"/>
        <v>14</v>
      </c>
      <c r="K210" t="s">
        <v>40</v>
      </c>
      <c r="L210">
        <v>3</v>
      </c>
      <c r="M210">
        <v>79.99</v>
      </c>
      <c r="N210" t="s">
        <v>27</v>
      </c>
      <c r="O210" t="s">
        <v>79</v>
      </c>
      <c r="P210" t="s">
        <v>34</v>
      </c>
      <c r="Q210" s="2">
        <v>44436</v>
      </c>
      <c r="R210">
        <f t="shared" si="24"/>
        <v>239.97</v>
      </c>
      <c r="S210" t="str">
        <f t="shared" si="25"/>
        <v>Other</v>
      </c>
    </row>
    <row r="211" ht="15.75" customHeight="1" spans="1:19">
      <c r="A211" t="s">
        <v>378</v>
      </c>
      <c r="B211" s="2">
        <v>45704</v>
      </c>
      <c r="C211" t="str">
        <f t="shared" si="20"/>
        <v>Feb-2025</v>
      </c>
      <c r="D211" t="s">
        <v>36</v>
      </c>
      <c r="E211" t="s">
        <v>37</v>
      </c>
      <c r="F211" t="str">
        <f t="shared" si="21"/>
        <v>KS</v>
      </c>
      <c r="G211">
        <f t="shared" si="22"/>
        <v>6</v>
      </c>
      <c r="H211" t="s">
        <v>148</v>
      </c>
      <c r="I211" t="s">
        <v>149</v>
      </c>
      <c r="J211">
        <f t="shared" si="23"/>
        <v>15</v>
      </c>
      <c r="K211" t="s">
        <v>53</v>
      </c>
      <c r="L211">
        <v>3</v>
      </c>
      <c r="M211">
        <v>199.99</v>
      </c>
      <c r="N211" t="s">
        <v>27</v>
      </c>
      <c r="O211" t="s">
        <v>28</v>
      </c>
      <c r="P211" t="s">
        <v>29</v>
      </c>
      <c r="Q211" s="2">
        <v>44735</v>
      </c>
      <c r="R211">
        <f t="shared" si="24"/>
        <v>599.97</v>
      </c>
      <c r="S211" t="str">
        <f t="shared" si="25"/>
        <v>Other</v>
      </c>
    </row>
    <row r="212" ht="15.75" customHeight="1" spans="1:19">
      <c r="A212" t="s">
        <v>379</v>
      </c>
      <c r="B212" s="2">
        <v>45704</v>
      </c>
      <c r="C212" t="str">
        <f t="shared" si="20"/>
        <v>Feb-2025</v>
      </c>
      <c r="D212" t="s">
        <v>22</v>
      </c>
      <c r="E212" t="s">
        <v>23</v>
      </c>
      <c r="F212" t="str">
        <f t="shared" si="21"/>
        <v>PB</v>
      </c>
      <c r="G212">
        <f t="shared" si="22"/>
        <v>8</v>
      </c>
      <c r="H212" t="s">
        <v>139</v>
      </c>
      <c r="I212" t="s">
        <v>140</v>
      </c>
      <c r="J212">
        <f t="shared" si="23"/>
        <v>34</v>
      </c>
      <c r="K212" t="s">
        <v>26</v>
      </c>
      <c r="L212">
        <v>2</v>
      </c>
      <c r="M212">
        <v>89.99</v>
      </c>
      <c r="N212" t="s">
        <v>41</v>
      </c>
      <c r="O212" t="s">
        <v>28</v>
      </c>
      <c r="P212" t="s">
        <v>29</v>
      </c>
      <c r="Q212" s="2">
        <v>45257</v>
      </c>
      <c r="R212">
        <f t="shared" si="24"/>
        <v>179.98</v>
      </c>
      <c r="S212" t="str">
        <f t="shared" si="25"/>
        <v>Other</v>
      </c>
    </row>
    <row r="213" ht="15.75" customHeight="1" spans="1:19">
      <c r="A213" t="s">
        <v>380</v>
      </c>
      <c r="B213" s="2">
        <v>45705</v>
      </c>
      <c r="C213" t="str">
        <f t="shared" si="20"/>
        <v>Feb-2025</v>
      </c>
      <c r="D213" t="s">
        <v>281</v>
      </c>
      <c r="E213" t="s">
        <v>282</v>
      </c>
      <c r="F213" t="str">
        <f t="shared" si="21"/>
        <v>RL</v>
      </c>
      <c r="G213">
        <f t="shared" si="22"/>
        <v>3</v>
      </c>
      <c r="H213" t="s">
        <v>51</v>
      </c>
      <c r="I213" t="s">
        <v>52</v>
      </c>
      <c r="J213">
        <f t="shared" si="23"/>
        <v>35</v>
      </c>
      <c r="K213" t="s">
        <v>53</v>
      </c>
      <c r="L213">
        <v>2</v>
      </c>
      <c r="M213">
        <v>149.99</v>
      </c>
      <c r="N213" t="s">
        <v>27</v>
      </c>
      <c r="O213" t="s">
        <v>42</v>
      </c>
      <c r="P213" t="s">
        <v>34</v>
      </c>
      <c r="Q213" s="2">
        <v>44728</v>
      </c>
      <c r="R213">
        <f t="shared" si="24"/>
        <v>299.98</v>
      </c>
      <c r="S213" t="str">
        <f t="shared" si="25"/>
        <v>Other</v>
      </c>
    </row>
    <row r="214" ht="15.75" customHeight="1" spans="1:19">
      <c r="A214" t="s">
        <v>381</v>
      </c>
      <c r="B214" s="2">
        <v>45707</v>
      </c>
      <c r="C214" t="str">
        <f t="shared" si="20"/>
        <v>Feb-2025</v>
      </c>
      <c r="D214" t="s">
        <v>145</v>
      </c>
      <c r="E214" t="s">
        <v>146</v>
      </c>
      <c r="F214" t="str">
        <f t="shared" si="21"/>
        <v>EM</v>
      </c>
      <c r="G214">
        <f t="shared" si="22"/>
        <v>6</v>
      </c>
      <c r="H214" t="s">
        <v>98</v>
      </c>
      <c r="I214" t="s">
        <v>99</v>
      </c>
      <c r="J214">
        <f t="shared" si="23"/>
        <v>31</v>
      </c>
      <c r="K214" t="s">
        <v>26</v>
      </c>
      <c r="L214">
        <v>5</v>
      </c>
      <c r="M214">
        <v>699.99</v>
      </c>
      <c r="N214" t="s">
        <v>41</v>
      </c>
      <c r="O214" t="s">
        <v>42</v>
      </c>
      <c r="P214" t="s">
        <v>34</v>
      </c>
      <c r="Q214" s="2">
        <v>45352</v>
      </c>
      <c r="R214">
        <f t="shared" si="24"/>
        <v>3499.95</v>
      </c>
      <c r="S214" t="str">
        <f t="shared" si="25"/>
        <v>High-Value Customer</v>
      </c>
    </row>
    <row r="215" ht="15.75" customHeight="1" spans="1:19">
      <c r="A215" t="s">
        <v>382</v>
      </c>
      <c r="B215" s="2">
        <v>45707</v>
      </c>
      <c r="C215" t="str">
        <f t="shared" si="20"/>
        <v>Feb-2025</v>
      </c>
      <c r="D215" t="s">
        <v>49</v>
      </c>
      <c r="E215" t="s">
        <v>50</v>
      </c>
      <c r="F215" t="str">
        <f t="shared" si="21"/>
        <v>MB</v>
      </c>
      <c r="G215">
        <f t="shared" si="22"/>
        <v>9</v>
      </c>
      <c r="H215" t="s">
        <v>51</v>
      </c>
      <c r="I215" t="s">
        <v>52</v>
      </c>
      <c r="J215">
        <f t="shared" si="23"/>
        <v>35</v>
      </c>
      <c r="K215" t="s">
        <v>53</v>
      </c>
      <c r="L215">
        <v>3</v>
      </c>
      <c r="M215">
        <v>149.99</v>
      </c>
      <c r="N215" t="s">
        <v>41</v>
      </c>
      <c r="O215" t="s">
        <v>28</v>
      </c>
      <c r="P215" t="s">
        <v>43</v>
      </c>
      <c r="Q215" s="2">
        <v>44633</v>
      </c>
      <c r="R215">
        <f t="shared" si="24"/>
        <v>449.97</v>
      </c>
      <c r="S215" t="str">
        <f t="shared" si="25"/>
        <v>Other</v>
      </c>
    </row>
    <row r="216" ht="15.75" customHeight="1" spans="1:19">
      <c r="A216" t="s">
        <v>383</v>
      </c>
      <c r="B216" s="2">
        <v>45708</v>
      </c>
      <c r="C216" t="str">
        <f t="shared" si="20"/>
        <v>Feb-2025</v>
      </c>
      <c r="D216" t="s">
        <v>116</v>
      </c>
      <c r="E216" t="s">
        <v>117</v>
      </c>
      <c r="F216" t="str">
        <f t="shared" si="21"/>
        <v>BY</v>
      </c>
      <c r="G216">
        <f t="shared" si="22"/>
        <v>5</v>
      </c>
      <c r="H216" t="s">
        <v>77</v>
      </c>
      <c r="I216" t="s">
        <v>78</v>
      </c>
      <c r="J216">
        <f t="shared" si="23"/>
        <v>24</v>
      </c>
      <c r="K216" t="s">
        <v>26</v>
      </c>
      <c r="L216">
        <v>3</v>
      </c>
      <c r="M216">
        <v>899.99</v>
      </c>
      <c r="N216" t="s">
        <v>27</v>
      </c>
      <c r="O216" t="s">
        <v>79</v>
      </c>
      <c r="P216" t="s">
        <v>43</v>
      </c>
      <c r="Q216" s="2">
        <v>44613</v>
      </c>
      <c r="R216">
        <f t="shared" si="24"/>
        <v>2699.97</v>
      </c>
      <c r="S216" t="str">
        <f t="shared" si="25"/>
        <v>High-Value Customer</v>
      </c>
    </row>
    <row r="217" ht="15.75" customHeight="1" spans="1:19">
      <c r="A217" t="s">
        <v>384</v>
      </c>
      <c r="B217" s="2">
        <v>45708</v>
      </c>
      <c r="C217" t="str">
        <f t="shared" si="20"/>
        <v>Feb-2025</v>
      </c>
      <c r="D217" t="s">
        <v>214</v>
      </c>
      <c r="E217" t="s">
        <v>215</v>
      </c>
      <c r="F217" t="str">
        <f t="shared" si="21"/>
        <v>FT</v>
      </c>
      <c r="G217">
        <f t="shared" si="22"/>
        <v>5</v>
      </c>
      <c r="H217" t="s">
        <v>148</v>
      </c>
      <c r="I217" t="s">
        <v>149</v>
      </c>
      <c r="J217">
        <f t="shared" si="23"/>
        <v>15</v>
      </c>
      <c r="K217" t="s">
        <v>53</v>
      </c>
      <c r="L217">
        <v>3</v>
      </c>
      <c r="M217">
        <v>199.99</v>
      </c>
      <c r="N217" t="s">
        <v>27</v>
      </c>
      <c r="O217" t="s">
        <v>58</v>
      </c>
      <c r="P217" t="s">
        <v>34</v>
      </c>
      <c r="Q217" s="2">
        <v>44823</v>
      </c>
      <c r="R217">
        <f t="shared" si="24"/>
        <v>599.97</v>
      </c>
      <c r="S217" t="str">
        <f t="shared" si="25"/>
        <v>Other</v>
      </c>
    </row>
    <row r="218" ht="15.75" customHeight="1" spans="1:19">
      <c r="A218" t="s">
        <v>385</v>
      </c>
      <c r="B218" s="2">
        <v>45710</v>
      </c>
      <c r="C218" t="str">
        <f t="shared" si="20"/>
        <v>Feb-2025</v>
      </c>
      <c r="D218" t="s">
        <v>67</v>
      </c>
      <c r="E218" t="s">
        <v>68</v>
      </c>
      <c r="F218" t="str">
        <f t="shared" si="21"/>
        <v>CA</v>
      </c>
      <c r="G218">
        <f t="shared" si="22"/>
        <v>9</v>
      </c>
      <c r="H218" t="s">
        <v>126</v>
      </c>
      <c r="I218" t="s">
        <v>127</v>
      </c>
      <c r="J218">
        <f t="shared" si="23"/>
        <v>26</v>
      </c>
      <c r="K218" t="s">
        <v>53</v>
      </c>
      <c r="L218">
        <v>5</v>
      </c>
      <c r="M218">
        <v>299.99</v>
      </c>
      <c r="N218" t="s">
        <v>27</v>
      </c>
      <c r="O218" t="s">
        <v>58</v>
      </c>
      <c r="P218" t="s">
        <v>43</v>
      </c>
      <c r="Q218" s="2">
        <v>45142</v>
      </c>
      <c r="R218">
        <f t="shared" si="24"/>
        <v>1499.95</v>
      </c>
      <c r="S218" t="str">
        <f t="shared" si="25"/>
        <v>Other</v>
      </c>
    </row>
    <row r="219" ht="15.75" customHeight="1" spans="1:19">
      <c r="A219" t="s">
        <v>386</v>
      </c>
      <c r="B219" s="2">
        <v>45710</v>
      </c>
      <c r="C219" t="str">
        <f t="shared" si="20"/>
        <v>Feb-2025</v>
      </c>
      <c r="D219" t="s">
        <v>172</v>
      </c>
      <c r="E219" t="s">
        <v>173</v>
      </c>
      <c r="F219" t="str">
        <f t="shared" si="21"/>
        <v>SB</v>
      </c>
      <c r="G219">
        <f t="shared" si="22"/>
        <v>6</v>
      </c>
      <c r="H219" t="s">
        <v>98</v>
      </c>
      <c r="I219" t="s">
        <v>99</v>
      </c>
      <c r="J219">
        <f t="shared" si="23"/>
        <v>31</v>
      </c>
      <c r="K219" t="s">
        <v>26</v>
      </c>
      <c r="L219">
        <v>1</v>
      </c>
      <c r="M219">
        <v>699.99</v>
      </c>
      <c r="N219" t="s">
        <v>41</v>
      </c>
      <c r="O219" t="s">
        <v>58</v>
      </c>
      <c r="P219" t="s">
        <v>29</v>
      </c>
      <c r="Q219" s="2">
        <v>44934</v>
      </c>
      <c r="R219">
        <f t="shared" si="24"/>
        <v>699.99</v>
      </c>
      <c r="S219" t="str">
        <f t="shared" si="25"/>
        <v>Other</v>
      </c>
    </row>
    <row r="220" ht="15.75" customHeight="1" spans="1:19">
      <c r="A220" t="s">
        <v>387</v>
      </c>
      <c r="B220" s="2">
        <v>45711</v>
      </c>
      <c r="C220" t="str">
        <f t="shared" si="20"/>
        <v>Feb-2025</v>
      </c>
      <c r="D220" t="s">
        <v>268</v>
      </c>
      <c r="E220" t="s">
        <v>269</v>
      </c>
      <c r="F220" t="str">
        <f t="shared" si="21"/>
        <v>RB</v>
      </c>
      <c r="G220">
        <f t="shared" si="22"/>
        <v>3</v>
      </c>
      <c r="H220" t="s">
        <v>98</v>
      </c>
      <c r="I220" t="s">
        <v>99</v>
      </c>
      <c r="J220">
        <f t="shared" si="23"/>
        <v>31</v>
      </c>
      <c r="K220" t="s">
        <v>26</v>
      </c>
      <c r="L220">
        <v>1</v>
      </c>
      <c r="M220">
        <v>699.99</v>
      </c>
      <c r="N220" t="s">
        <v>27</v>
      </c>
      <c r="O220" t="s">
        <v>47</v>
      </c>
      <c r="P220" t="s">
        <v>34</v>
      </c>
      <c r="Q220" s="2">
        <v>44583</v>
      </c>
      <c r="R220">
        <f t="shared" si="24"/>
        <v>699.99</v>
      </c>
      <c r="S220" t="str">
        <f t="shared" si="25"/>
        <v>Other</v>
      </c>
    </row>
    <row r="221" ht="15.75" customHeight="1" spans="1:19">
      <c r="A221" t="s">
        <v>388</v>
      </c>
      <c r="B221" s="2">
        <v>45711</v>
      </c>
      <c r="C221" t="str">
        <f t="shared" si="20"/>
        <v>Feb-2025</v>
      </c>
      <c r="D221" t="s">
        <v>347</v>
      </c>
      <c r="E221" t="s">
        <v>348</v>
      </c>
      <c r="F221" t="str">
        <f t="shared" si="21"/>
        <v>AE</v>
      </c>
      <c r="G221">
        <f t="shared" si="22"/>
        <v>3</v>
      </c>
      <c r="H221" t="s">
        <v>51</v>
      </c>
      <c r="I221" t="s">
        <v>52</v>
      </c>
      <c r="J221">
        <f t="shared" si="23"/>
        <v>35</v>
      </c>
      <c r="K221" t="s">
        <v>53</v>
      </c>
      <c r="L221">
        <v>4</v>
      </c>
      <c r="M221">
        <v>149.99</v>
      </c>
      <c r="N221" t="s">
        <v>41</v>
      </c>
      <c r="O221" t="s">
        <v>47</v>
      </c>
      <c r="P221" t="s">
        <v>34</v>
      </c>
      <c r="Q221" s="2">
        <v>44412</v>
      </c>
      <c r="R221">
        <f t="shared" si="24"/>
        <v>599.96</v>
      </c>
      <c r="S221" t="str">
        <f t="shared" si="25"/>
        <v>Other</v>
      </c>
    </row>
    <row r="222" ht="15.75" customHeight="1" spans="1:19">
      <c r="A222" t="s">
        <v>389</v>
      </c>
      <c r="B222" s="2">
        <v>45711</v>
      </c>
      <c r="C222" t="str">
        <f t="shared" si="20"/>
        <v>Feb-2025</v>
      </c>
      <c r="D222" t="s">
        <v>233</v>
      </c>
      <c r="E222" t="s">
        <v>234</v>
      </c>
      <c r="F222" t="str">
        <f t="shared" si="21"/>
        <v>EH</v>
      </c>
      <c r="G222">
        <f t="shared" si="22"/>
        <v>4</v>
      </c>
      <c r="H222" t="s">
        <v>139</v>
      </c>
      <c r="I222" t="s">
        <v>140</v>
      </c>
      <c r="J222">
        <f t="shared" si="23"/>
        <v>34</v>
      </c>
      <c r="K222" t="s">
        <v>26</v>
      </c>
      <c r="L222">
        <v>5</v>
      </c>
      <c r="M222">
        <v>89.99</v>
      </c>
      <c r="N222" t="s">
        <v>41</v>
      </c>
      <c r="O222" t="s">
        <v>58</v>
      </c>
      <c r="P222" t="s">
        <v>34</v>
      </c>
      <c r="Q222" s="2">
        <v>45140</v>
      </c>
      <c r="R222">
        <f t="shared" si="24"/>
        <v>449.95</v>
      </c>
      <c r="S222" t="str">
        <f t="shared" si="25"/>
        <v>Other</v>
      </c>
    </row>
    <row r="223" ht="15.75" customHeight="1" spans="1:19">
      <c r="A223" t="s">
        <v>390</v>
      </c>
      <c r="B223" s="2">
        <v>45712</v>
      </c>
      <c r="C223" t="str">
        <f t="shared" si="20"/>
        <v>Feb-2025</v>
      </c>
      <c r="D223" t="s">
        <v>160</v>
      </c>
      <c r="E223" t="s">
        <v>161</v>
      </c>
      <c r="F223" t="str">
        <f t="shared" si="21"/>
        <v>ST</v>
      </c>
      <c r="G223">
        <f t="shared" si="22"/>
        <v>6</v>
      </c>
      <c r="H223" t="s">
        <v>148</v>
      </c>
      <c r="I223" t="s">
        <v>149</v>
      </c>
      <c r="J223">
        <f t="shared" si="23"/>
        <v>15</v>
      </c>
      <c r="K223" t="s">
        <v>53</v>
      </c>
      <c r="L223">
        <v>2</v>
      </c>
      <c r="M223">
        <v>199.99</v>
      </c>
      <c r="N223" t="s">
        <v>27</v>
      </c>
      <c r="O223" t="s">
        <v>28</v>
      </c>
      <c r="P223" t="s">
        <v>34</v>
      </c>
      <c r="Q223" s="2">
        <v>44573</v>
      </c>
      <c r="R223">
        <f t="shared" si="24"/>
        <v>399.98</v>
      </c>
      <c r="S223" t="str">
        <f t="shared" si="25"/>
        <v>Other</v>
      </c>
    </row>
    <row r="224" ht="15.75" customHeight="1" spans="1:19">
      <c r="A224" t="s">
        <v>391</v>
      </c>
      <c r="B224" s="2">
        <v>45715</v>
      </c>
      <c r="C224" t="str">
        <f t="shared" si="20"/>
        <v>Feb-2025</v>
      </c>
      <c r="D224" t="s">
        <v>281</v>
      </c>
      <c r="E224" t="s">
        <v>282</v>
      </c>
      <c r="F224" t="str">
        <f t="shared" si="21"/>
        <v>RL</v>
      </c>
      <c r="G224">
        <f t="shared" si="22"/>
        <v>3</v>
      </c>
      <c r="H224" t="s">
        <v>38</v>
      </c>
      <c r="I224" t="s">
        <v>39</v>
      </c>
      <c r="J224">
        <f t="shared" si="23"/>
        <v>29</v>
      </c>
      <c r="K224" t="s">
        <v>40</v>
      </c>
      <c r="L224">
        <v>4</v>
      </c>
      <c r="M224">
        <v>59.99</v>
      </c>
      <c r="N224" t="s">
        <v>27</v>
      </c>
      <c r="O224" t="s">
        <v>58</v>
      </c>
      <c r="P224" t="s">
        <v>43</v>
      </c>
      <c r="Q224" s="2">
        <v>45070</v>
      </c>
      <c r="R224">
        <f t="shared" si="24"/>
        <v>239.96</v>
      </c>
      <c r="S224" t="str">
        <f t="shared" si="25"/>
        <v>Other</v>
      </c>
    </row>
    <row r="225" ht="15.75" customHeight="1" spans="1:19">
      <c r="A225" t="s">
        <v>392</v>
      </c>
      <c r="B225" s="2">
        <v>45715</v>
      </c>
      <c r="C225" t="str">
        <f t="shared" si="20"/>
        <v>Feb-2025</v>
      </c>
      <c r="D225" t="s">
        <v>112</v>
      </c>
      <c r="E225" t="s">
        <v>113</v>
      </c>
      <c r="F225" t="str">
        <f t="shared" si="21"/>
        <v>VS</v>
      </c>
      <c r="G225">
        <f t="shared" si="22"/>
        <v>6</v>
      </c>
      <c r="H225" t="s">
        <v>126</v>
      </c>
      <c r="I225" t="s">
        <v>127</v>
      </c>
      <c r="J225">
        <f t="shared" si="23"/>
        <v>26</v>
      </c>
      <c r="K225" t="s">
        <v>53</v>
      </c>
      <c r="L225">
        <v>2</v>
      </c>
      <c r="M225">
        <v>299.99</v>
      </c>
      <c r="N225" t="s">
        <v>41</v>
      </c>
      <c r="O225" t="s">
        <v>42</v>
      </c>
      <c r="P225" t="s">
        <v>29</v>
      </c>
      <c r="Q225" s="2">
        <v>44576</v>
      </c>
      <c r="R225">
        <f t="shared" si="24"/>
        <v>599.98</v>
      </c>
      <c r="S225" t="str">
        <f t="shared" si="25"/>
        <v>Other</v>
      </c>
    </row>
    <row r="226" ht="15.75" customHeight="1" spans="1:19">
      <c r="A226" t="s">
        <v>393</v>
      </c>
      <c r="B226" s="2">
        <v>45718</v>
      </c>
      <c r="C226" t="str">
        <f t="shared" si="20"/>
        <v>Mar-2025</v>
      </c>
      <c r="D226" t="s">
        <v>67</v>
      </c>
      <c r="E226" t="s">
        <v>68</v>
      </c>
      <c r="F226" t="str">
        <f t="shared" si="21"/>
        <v>CA</v>
      </c>
      <c r="G226">
        <f t="shared" si="22"/>
        <v>9</v>
      </c>
      <c r="H226" t="s">
        <v>51</v>
      </c>
      <c r="I226" t="s">
        <v>52</v>
      </c>
      <c r="J226">
        <f t="shared" si="23"/>
        <v>35</v>
      </c>
      <c r="K226" t="s">
        <v>53</v>
      </c>
      <c r="L226">
        <v>2</v>
      </c>
      <c r="M226">
        <v>149.99</v>
      </c>
      <c r="N226" t="s">
        <v>27</v>
      </c>
      <c r="O226" t="s">
        <v>28</v>
      </c>
      <c r="P226" t="s">
        <v>29</v>
      </c>
      <c r="Q226" s="2">
        <v>45068</v>
      </c>
      <c r="R226">
        <f t="shared" si="24"/>
        <v>299.98</v>
      </c>
      <c r="S226" t="str">
        <f t="shared" si="25"/>
        <v>Other</v>
      </c>
    </row>
    <row r="227" ht="15.75" customHeight="1" spans="1:19">
      <c r="A227" t="s">
        <v>394</v>
      </c>
      <c r="B227" s="2">
        <v>45720</v>
      </c>
      <c r="C227" t="str">
        <f t="shared" si="20"/>
        <v>Mar-2025</v>
      </c>
      <c r="D227" t="s">
        <v>248</v>
      </c>
      <c r="E227" t="s">
        <v>249</v>
      </c>
      <c r="F227" t="str">
        <f t="shared" si="21"/>
        <v>LR</v>
      </c>
      <c r="G227">
        <f t="shared" si="22"/>
        <v>8</v>
      </c>
      <c r="H227" t="s">
        <v>98</v>
      </c>
      <c r="I227" t="s">
        <v>99</v>
      </c>
      <c r="J227">
        <f t="shared" si="23"/>
        <v>31</v>
      </c>
      <c r="K227" t="s">
        <v>26</v>
      </c>
      <c r="L227">
        <v>5</v>
      </c>
      <c r="M227">
        <v>699.99</v>
      </c>
      <c r="N227" t="s">
        <v>69</v>
      </c>
      <c r="O227" t="s">
        <v>79</v>
      </c>
      <c r="P227" t="s">
        <v>34</v>
      </c>
      <c r="Q227" s="2">
        <v>45161</v>
      </c>
      <c r="R227">
        <f t="shared" si="24"/>
        <v>3499.95</v>
      </c>
      <c r="S227" t="str">
        <f t="shared" si="25"/>
        <v>High-Value Customer</v>
      </c>
    </row>
    <row r="228" ht="15.75" customHeight="1" spans="1:19">
      <c r="A228" t="s">
        <v>395</v>
      </c>
      <c r="B228" s="2">
        <v>45721</v>
      </c>
      <c r="C228" t="str">
        <f t="shared" si="20"/>
        <v>Mar-2025</v>
      </c>
      <c r="D228" t="s">
        <v>93</v>
      </c>
      <c r="E228" t="s">
        <v>94</v>
      </c>
      <c r="F228" t="str">
        <f t="shared" si="21"/>
        <v>DG</v>
      </c>
      <c r="G228">
        <f t="shared" si="22"/>
        <v>2</v>
      </c>
      <c r="H228" t="s">
        <v>38</v>
      </c>
      <c r="I228" t="s">
        <v>39</v>
      </c>
      <c r="J228">
        <f t="shared" si="23"/>
        <v>29</v>
      </c>
      <c r="K228" t="s">
        <v>40</v>
      </c>
      <c r="L228">
        <v>5</v>
      </c>
      <c r="M228">
        <v>59.99</v>
      </c>
      <c r="N228" t="s">
        <v>27</v>
      </c>
      <c r="O228" t="s">
        <v>58</v>
      </c>
      <c r="P228" t="s">
        <v>34</v>
      </c>
      <c r="Q228" s="2">
        <v>45291</v>
      </c>
      <c r="R228">
        <f t="shared" si="24"/>
        <v>299.95</v>
      </c>
      <c r="S228" t="str">
        <f t="shared" si="25"/>
        <v>Other</v>
      </c>
    </row>
    <row r="229" ht="15.75" customHeight="1" spans="1:19">
      <c r="A229" t="s">
        <v>396</v>
      </c>
      <c r="B229" s="2">
        <v>45723</v>
      </c>
      <c r="C229" t="str">
        <f t="shared" si="20"/>
        <v>Mar-2025</v>
      </c>
      <c r="D229" t="s">
        <v>22</v>
      </c>
      <c r="E229" t="s">
        <v>23</v>
      </c>
      <c r="F229" t="str">
        <f t="shared" si="21"/>
        <v>PB</v>
      </c>
      <c r="G229">
        <f t="shared" si="22"/>
        <v>8</v>
      </c>
      <c r="H229" t="s">
        <v>139</v>
      </c>
      <c r="I229" t="s">
        <v>140</v>
      </c>
      <c r="J229">
        <f t="shared" si="23"/>
        <v>34</v>
      </c>
      <c r="K229" t="s">
        <v>26</v>
      </c>
      <c r="L229">
        <v>2</v>
      </c>
      <c r="M229">
        <v>89.99</v>
      </c>
      <c r="N229" t="s">
        <v>33</v>
      </c>
      <c r="O229" t="s">
        <v>58</v>
      </c>
      <c r="P229" t="s">
        <v>34</v>
      </c>
      <c r="Q229" s="2">
        <v>45295</v>
      </c>
      <c r="R229">
        <f t="shared" si="24"/>
        <v>179.98</v>
      </c>
      <c r="S229" t="str">
        <f t="shared" si="25"/>
        <v>Other</v>
      </c>
    </row>
    <row r="230" ht="15.75" customHeight="1" spans="1:19">
      <c r="A230" t="s">
        <v>397</v>
      </c>
      <c r="B230" s="2">
        <v>45723</v>
      </c>
      <c r="C230" t="str">
        <f t="shared" si="20"/>
        <v>Mar-2025</v>
      </c>
      <c r="D230" t="s">
        <v>142</v>
      </c>
      <c r="E230" t="s">
        <v>143</v>
      </c>
      <c r="F230" t="str">
        <f t="shared" si="21"/>
        <v>HR</v>
      </c>
      <c r="G230">
        <f t="shared" si="22"/>
        <v>7</v>
      </c>
      <c r="H230" t="s">
        <v>24</v>
      </c>
      <c r="I230" t="s">
        <v>25</v>
      </c>
      <c r="J230">
        <f t="shared" si="23"/>
        <v>26</v>
      </c>
      <c r="K230" t="s">
        <v>26</v>
      </c>
      <c r="L230">
        <v>5</v>
      </c>
      <c r="M230">
        <v>249.99</v>
      </c>
      <c r="N230" t="s">
        <v>27</v>
      </c>
      <c r="O230" t="s">
        <v>79</v>
      </c>
      <c r="P230" t="s">
        <v>43</v>
      </c>
      <c r="Q230" s="2">
        <v>44540</v>
      </c>
      <c r="R230">
        <f t="shared" si="24"/>
        <v>1249.95</v>
      </c>
      <c r="S230" t="str">
        <f t="shared" si="25"/>
        <v>Other</v>
      </c>
    </row>
    <row r="231" ht="15.75" customHeight="1" spans="1:19">
      <c r="A231" t="s">
        <v>398</v>
      </c>
      <c r="B231" s="2">
        <v>45724</v>
      </c>
      <c r="C231" t="str">
        <f t="shared" si="20"/>
        <v>Mar-2025</v>
      </c>
      <c r="D231" t="s">
        <v>248</v>
      </c>
      <c r="E231" t="s">
        <v>249</v>
      </c>
      <c r="F231" t="str">
        <f t="shared" si="21"/>
        <v>LR</v>
      </c>
      <c r="G231">
        <f t="shared" si="22"/>
        <v>8</v>
      </c>
      <c r="H231" t="s">
        <v>51</v>
      </c>
      <c r="I231" t="s">
        <v>52</v>
      </c>
      <c r="J231">
        <f t="shared" si="23"/>
        <v>35</v>
      </c>
      <c r="K231" t="s">
        <v>53</v>
      </c>
      <c r="L231">
        <v>2</v>
      </c>
      <c r="M231">
        <v>149.99</v>
      </c>
      <c r="N231" t="s">
        <v>41</v>
      </c>
      <c r="O231" t="s">
        <v>28</v>
      </c>
      <c r="P231" t="s">
        <v>34</v>
      </c>
      <c r="Q231" s="2">
        <v>44632</v>
      </c>
      <c r="R231">
        <f t="shared" si="24"/>
        <v>299.98</v>
      </c>
      <c r="S231" t="str">
        <f t="shared" si="25"/>
        <v>Other</v>
      </c>
    </row>
    <row r="232" ht="15.75" customHeight="1" spans="1:19">
      <c r="A232" t="s">
        <v>399</v>
      </c>
      <c r="B232" s="2">
        <v>45724</v>
      </c>
      <c r="C232" t="str">
        <f t="shared" si="20"/>
        <v>Mar-2025</v>
      </c>
      <c r="D232" t="s">
        <v>166</v>
      </c>
      <c r="E232" t="s">
        <v>167</v>
      </c>
      <c r="F232" t="str">
        <f t="shared" si="21"/>
        <v>HM</v>
      </c>
      <c r="G232">
        <f t="shared" si="22"/>
        <v>4</v>
      </c>
      <c r="H232" t="s">
        <v>77</v>
      </c>
      <c r="I232" t="s">
        <v>78</v>
      </c>
      <c r="J232">
        <f t="shared" si="23"/>
        <v>24</v>
      </c>
      <c r="K232" t="s">
        <v>26</v>
      </c>
      <c r="L232">
        <v>5</v>
      </c>
      <c r="M232">
        <v>899.99</v>
      </c>
      <c r="N232" t="s">
        <v>41</v>
      </c>
      <c r="O232" t="s">
        <v>79</v>
      </c>
      <c r="P232" t="s">
        <v>34</v>
      </c>
      <c r="Q232" s="2">
        <v>45389</v>
      </c>
      <c r="R232">
        <f t="shared" si="24"/>
        <v>4499.95</v>
      </c>
      <c r="S232" t="str">
        <f t="shared" si="25"/>
        <v>High-Value Customer</v>
      </c>
    </row>
    <row r="233" ht="15.75" customHeight="1" spans="1:19">
      <c r="A233" t="s">
        <v>400</v>
      </c>
      <c r="B233" s="2">
        <v>45724</v>
      </c>
      <c r="C233" t="str">
        <f t="shared" si="20"/>
        <v>Mar-2025</v>
      </c>
      <c r="D233" t="s">
        <v>67</v>
      </c>
      <c r="E233" t="s">
        <v>68</v>
      </c>
      <c r="F233" t="str">
        <f t="shared" si="21"/>
        <v>CA</v>
      </c>
      <c r="G233">
        <f t="shared" si="22"/>
        <v>9</v>
      </c>
      <c r="H233" t="s">
        <v>51</v>
      </c>
      <c r="I233" t="s">
        <v>52</v>
      </c>
      <c r="J233">
        <f t="shared" si="23"/>
        <v>35</v>
      </c>
      <c r="K233" t="s">
        <v>53</v>
      </c>
      <c r="L233">
        <v>4</v>
      </c>
      <c r="M233">
        <v>149.99</v>
      </c>
      <c r="N233" t="s">
        <v>27</v>
      </c>
      <c r="O233" t="s">
        <v>28</v>
      </c>
      <c r="P233" t="s">
        <v>43</v>
      </c>
      <c r="Q233" s="2">
        <v>45263</v>
      </c>
      <c r="R233">
        <f t="shared" si="24"/>
        <v>599.96</v>
      </c>
      <c r="S233" t="str">
        <f t="shared" si="25"/>
        <v>Other</v>
      </c>
    </row>
    <row r="234" ht="15.75" customHeight="1" spans="1:19">
      <c r="A234" t="s">
        <v>401</v>
      </c>
      <c r="B234" s="2">
        <v>45726</v>
      </c>
      <c r="C234" t="str">
        <f t="shared" si="20"/>
        <v>Mar-2025</v>
      </c>
      <c r="D234" t="s">
        <v>166</v>
      </c>
      <c r="E234" t="s">
        <v>167</v>
      </c>
      <c r="F234" t="str">
        <f t="shared" si="21"/>
        <v>HM</v>
      </c>
      <c r="G234">
        <f t="shared" si="22"/>
        <v>4</v>
      </c>
      <c r="H234" t="s">
        <v>24</v>
      </c>
      <c r="I234" t="s">
        <v>25</v>
      </c>
      <c r="J234">
        <f t="shared" si="23"/>
        <v>26</v>
      </c>
      <c r="K234" t="s">
        <v>26</v>
      </c>
      <c r="L234">
        <v>1</v>
      </c>
      <c r="M234">
        <v>249.99</v>
      </c>
      <c r="N234" t="s">
        <v>27</v>
      </c>
      <c r="O234" t="s">
        <v>47</v>
      </c>
      <c r="P234" t="s">
        <v>43</v>
      </c>
      <c r="Q234" s="2">
        <v>45117</v>
      </c>
      <c r="R234">
        <f t="shared" si="24"/>
        <v>249.99</v>
      </c>
      <c r="S234" t="str">
        <f t="shared" si="25"/>
        <v>Other</v>
      </c>
    </row>
    <row r="235" ht="15.75" customHeight="1" spans="1:19">
      <c r="A235" t="s">
        <v>402</v>
      </c>
      <c r="B235" s="2">
        <v>45734</v>
      </c>
      <c r="C235" t="str">
        <f t="shared" si="20"/>
        <v>Mar-2025</v>
      </c>
      <c r="D235" t="s">
        <v>214</v>
      </c>
      <c r="E235" t="s">
        <v>215</v>
      </c>
      <c r="F235" t="str">
        <f t="shared" si="21"/>
        <v>FT</v>
      </c>
      <c r="G235">
        <f t="shared" si="22"/>
        <v>5</v>
      </c>
      <c r="H235" t="s">
        <v>38</v>
      </c>
      <c r="I235" t="s">
        <v>39</v>
      </c>
      <c r="J235">
        <f t="shared" si="23"/>
        <v>29</v>
      </c>
      <c r="K235" t="s">
        <v>40</v>
      </c>
      <c r="L235">
        <v>2</v>
      </c>
      <c r="M235">
        <v>59.99</v>
      </c>
      <c r="N235" t="s">
        <v>33</v>
      </c>
      <c r="O235" t="s">
        <v>58</v>
      </c>
      <c r="P235" t="s">
        <v>29</v>
      </c>
      <c r="Q235" s="2">
        <v>45193</v>
      </c>
      <c r="R235">
        <f t="shared" si="24"/>
        <v>119.98</v>
      </c>
      <c r="S235" t="str">
        <f t="shared" si="25"/>
        <v>Other</v>
      </c>
    </row>
    <row r="236" ht="15.75" customHeight="1" spans="1:19">
      <c r="A236" t="s">
        <v>403</v>
      </c>
      <c r="B236" s="2">
        <v>45737</v>
      </c>
      <c r="C236" t="str">
        <f t="shared" si="20"/>
        <v>Mar-2025</v>
      </c>
      <c r="D236" t="s">
        <v>154</v>
      </c>
      <c r="E236" t="s">
        <v>155</v>
      </c>
      <c r="F236" t="str">
        <f t="shared" si="21"/>
        <v>EW</v>
      </c>
      <c r="G236">
        <f t="shared" si="22"/>
        <v>5</v>
      </c>
      <c r="H236" t="s">
        <v>51</v>
      </c>
      <c r="I236" t="s">
        <v>52</v>
      </c>
      <c r="J236">
        <f t="shared" si="23"/>
        <v>35</v>
      </c>
      <c r="K236" t="s">
        <v>53</v>
      </c>
      <c r="L236">
        <v>2</v>
      </c>
      <c r="M236">
        <v>149.99</v>
      </c>
      <c r="N236" t="s">
        <v>27</v>
      </c>
      <c r="O236" t="s">
        <v>58</v>
      </c>
      <c r="P236" t="s">
        <v>34</v>
      </c>
      <c r="Q236" s="2">
        <v>45233</v>
      </c>
      <c r="R236">
        <f t="shared" si="24"/>
        <v>299.98</v>
      </c>
      <c r="S236" t="str">
        <f t="shared" si="25"/>
        <v>Other</v>
      </c>
    </row>
    <row r="237" ht="15.75" customHeight="1" spans="1:19">
      <c r="A237" t="s">
        <v>404</v>
      </c>
      <c r="B237" s="2">
        <v>45737</v>
      </c>
      <c r="C237" t="str">
        <f t="shared" si="20"/>
        <v>Mar-2025</v>
      </c>
      <c r="D237" t="s">
        <v>172</v>
      </c>
      <c r="E237" t="s">
        <v>173</v>
      </c>
      <c r="F237" t="str">
        <f t="shared" si="21"/>
        <v>SB</v>
      </c>
      <c r="G237">
        <f t="shared" si="22"/>
        <v>6</v>
      </c>
      <c r="H237" t="s">
        <v>77</v>
      </c>
      <c r="I237" t="s">
        <v>78</v>
      </c>
      <c r="J237">
        <f t="shared" si="23"/>
        <v>24</v>
      </c>
      <c r="K237" t="s">
        <v>26</v>
      </c>
      <c r="L237">
        <v>3</v>
      </c>
      <c r="M237">
        <v>899.99</v>
      </c>
      <c r="N237" t="s">
        <v>69</v>
      </c>
      <c r="O237" t="s">
        <v>47</v>
      </c>
      <c r="P237" t="s">
        <v>34</v>
      </c>
      <c r="Q237" s="2">
        <v>44876</v>
      </c>
      <c r="R237">
        <f t="shared" si="24"/>
        <v>2699.97</v>
      </c>
      <c r="S237" t="str">
        <f t="shared" si="25"/>
        <v>High-Value Customer</v>
      </c>
    </row>
    <row r="238" ht="15.75" customHeight="1" spans="1:19">
      <c r="A238" t="s">
        <v>405</v>
      </c>
      <c r="B238" s="2">
        <v>45737</v>
      </c>
      <c r="C238" t="str">
        <f t="shared" si="20"/>
        <v>Mar-2025</v>
      </c>
      <c r="D238" t="s">
        <v>56</v>
      </c>
      <c r="E238" t="s">
        <v>57</v>
      </c>
      <c r="F238" t="str">
        <f t="shared" si="21"/>
        <v>DN</v>
      </c>
      <c r="G238">
        <f t="shared" si="22"/>
        <v>6</v>
      </c>
      <c r="H238" t="s">
        <v>77</v>
      </c>
      <c r="I238" t="s">
        <v>78</v>
      </c>
      <c r="J238">
        <f t="shared" si="23"/>
        <v>24</v>
      </c>
      <c r="K238" t="s">
        <v>26</v>
      </c>
      <c r="L238">
        <v>3</v>
      </c>
      <c r="M238">
        <v>899.99</v>
      </c>
      <c r="N238" t="s">
        <v>41</v>
      </c>
      <c r="O238" t="s">
        <v>47</v>
      </c>
      <c r="P238" t="s">
        <v>29</v>
      </c>
      <c r="Q238" s="2">
        <v>44975</v>
      </c>
      <c r="R238">
        <f t="shared" si="24"/>
        <v>2699.97</v>
      </c>
      <c r="S238" t="str">
        <f t="shared" si="25"/>
        <v>High-Value Customer</v>
      </c>
    </row>
    <row r="239" ht="15.75" customHeight="1" spans="1:19">
      <c r="A239" t="s">
        <v>406</v>
      </c>
      <c r="B239" s="2">
        <v>45739</v>
      </c>
      <c r="C239" t="str">
        <f t="shared" si="20"/>
        <v>Mar-2025</v>
      </c>
      <c r="D239" t="s">
        <v>22</v>
      </c>
      <c r="E239" t="s">
        <v>23</v>
      </c>
      <c r="F239" t="str">
        <f t="shared" si="21"/>
        <v>PB</v>
      </c>
      <c r="G239">
        <f t="shared" si="22"/>
        <v>8</v>
      </c>
      <c r="H239" t="s">
        <v>126</v>
      </c>
      <c r="I239" t="s">
        <v>127</v>
      </c>
      <c r="J239">
        <f t="shared" si="23"/>
        <v>26</v>
      </c>
      <c r="K239" t="s">
        <v>53</v>
      </c>
      <c r="L239">
        <v>3</v>
      </c>
      <c r="M239">
        <v>299.99</v>
      </c>
      <c r="N239" t="s">
        <v>33</v>
      </c>
      <c r="O239" t="s">
        <v>58</v>
      </c>
      <c r="P239" t="s">
        <v>34</v>
      </c>
      <c r="Q239" s="2">
        <v>45234</v>
      </c>
      <c r="R239">
        <f t="shared" si="24"/>
        <v>899.97</v>
      </c>
      <c r="S239" t="str">
        <f t="shared" si="25"/>
        <v>Other</v>
      </c>
    </row>
    <row r="240" ht="15.75" customHeight="1" spans="1:19">
      <c r="A240" t="s">
        <v>407</v>
      </c>
      <c r="B240" s="2">
        <v>45740</v>
      </c>
      <c r="C240" t="str">
        <f t="shared" si="20"/>
        <v>Mar-2025</v>
      </c>
      <c r="D240" t="s">
        <v>408</v>
      </c>
      <c r="E240" t="s">
        <v>409</v>
      </c>
      <c r="F240" t="str">
        <f t="shared" si="21"/>
        <v>JS</v>
      </c>
      <c r="G240">
        <f t="shared" si="22"/>
        <v>1</v>
      </c>
      <c r="H240" t="s">
        <v>51</v>
      </c>
      <c r="I240" t="s">
        <v>52</v>
      </c>
      <c r="J240">
        <f t="shared" si="23"/>
        <v>35</v>
      </c>
      <c r="K240" t="s">
        <v>53</v>
      </c>
      <c r="L240">
        <v>4</v>
      </c>
      <c r="M240">
        <v>149.99</v>
      </c>
      <c r="N240" t="s">
        <v>41</v>
      </c>
      <c r="O240" t="s">
        <v>58</v>
      </c>
      <c r="P240" t="s">
        <v>43</v>
      </c>
      <c r="Q240" s="2">
        <v>44560</v>
      </c>
      <c r="R240">
        <f t="shared" si="24"/>
        <v>599.96</v>
      </c>
      <c r="S240" t="str">
        <f t="shared" si="25"/>
        <v>Other</v>
      </c>
    </row>
    <row r="241" ht="15.75" customHeight="1" spans="1:19">
      <c r="A241" t="s">
        <v>410</v>
      </c>
      <c r="B241" s="2">
        <v>45743</v>
      </c>
      <c r="C241" t="str">
        <f t="shared" si="20"/>
        <v>Mar-2025</v>
      </c>
      <c r="D241" t="s">
        <v>123</v>
      </c>
      <c r="E241" t="s">
        <v>124</v>
      </c>
      <c r="F241" t="str">
        <f t="shared" si="21"/>
        <v>CP</v>
      </c>
      <c r="G241">
        <f t="shared" si="22"/>
        <v>5</v>
      </c>
      <c r="H241" t="s">
        <v>136</v>
      </c>
      <c r="I241" t="s">
        <v>137</v>
      </c>
      <c r="J241">
        <f t="shared" si="23"/>
        <v>14</v>
      </c>
      <c r="K241" t="s">
        <v>40</v>
      </c>
      <c r="L241">
        <v>4</v>
      </c>
      <c r="M241">
        <v>79.99</v>
      </c>
      <c r="N241" t="s">
        <v>33</v>
      </c>
      <c r="O241" t="s">
        <v>28</v>
      </c>
      <c r="P241" t="s">
        <v>29</v>
      </c>
      <c r="Q241" s="2">
        <v>45288</v>
      </c>
      <c r="R241">
        <f t="shared" si="24"/>
        <v>319.96</v>
      </c>
      <c r="S241" t="str">
        <f t="shared" si="25"/>
        <v>Other</v>
      </c>
    </row>
    <row r="242" ht="15.75" customHeight="1" spans="1:19">
      <c r="A242" t="s">
        <v>411</v>
      </c>
      <c r="B242" s="2">
        <v>45745</v>
      </c>
      <c r="C242" t="str">
        <f t="shared" si="20"/>
        <v>Mar-2025</v>
      </c>
      <c r="D242" t="s">
        <v>207</v>
      </c>
      <c r="E242" t="s">
        <v>208</v>
      </c>
      <c r="F242" t="str">
        <f t="shared" si="21"/>
        <v>MW</v>
      </c>
      <c r="G242">
        <f t="shared" si="22"/>
        <v>4</v>
      </c>
      <c r="H242" t="s">
        <v>139</v>
      </c>
      <c r="I242" t="s">
        <v>140</v>
      </c>
      <c r="J242">
        <f t="shared" si="23"/>
        <v>34</v>
      </c>
      <c r="K242" t="s">
        <v>26</v>
      </c>
      <c r="L242">
        <v>5</v>
      </c>
      <c r="M242">
        <v>89.99</v>
      </c>
      <c r="N242" t="s">
        <v>41</v>
      </c>
      <c r="O242" t="s">
        <v>42</v>
      </c>
      <c r="P242" t="s">
        <v>29</v>
      </c>
      <c r="Q242" s="2">
        <v>44704</v>
      </c>
      <c r="R242">
        <f t="shared" si="24"/>
        <v>449.95</v>
      </c>
      <c r="S242" t="str">
        <f t="shared" si="25"/>
        <v>Other</v>
      </c>
    </row>
    <row r="243" ht="15.75" customHeight="1" spans="1:19">
      <c r="A243" t="s">
        <v>412</v>
      </c>
      <c r="B243" s="2">
        <v>45746</v>
      </c>
      <c r="C243" t="str">
        <f t="shared" si="20"/>
        <v>Mar-2025</v>
      </c>
      <c r="D243" t="s">
        <v>112</v>
      </c>
      <c r="E243" t="s">
        <v>113</v>
      </c>
      <c r="F243" t="str">
        <f t="shared" si="21"/>
        <v>VS</v>
      </c>
      <c r="G243">
        <f t="shared" si="22"/>
        <v>6</v>
      </c>
      <c r="H243" t="s">
        <v>51</v>
      </c>
      <c r="I243" t="s">
        <v>52</v>
      </c>
      <c r="J243">
        <f t="shared" si="23"/>
        <v>35</v>
      </c>
      <c r="K243" t="s">
        <v>53</v>
      </c>
      <c r="L243">
        <v>3</v>
      </c>
      <c r="M243">
        <v>149.99</v>
      </c>
      <c r="N243" t="s">
        <v>41</v>
      </c>
      <c r="O243" t="s">
        <v>28</v>
      </c>
      <c r="P243" t="s">
        <v>43</v>
      </c>
      <c r="Q243" s="2">
        <v>45171</v>
      </c>
      <c r="R243">
        <f t="shared" si="24"/>
        <v>449.97</v>
      </c>
      <c r="S243" t="str">
        <f t="shared" si="25"/>
        <v>Other</v>
      </c>
    </row>
    <row r="244" ht="15.75" customHeight="1" spans="1:19">
      <c r="A244" t="s">
        <v>413</v>
      </c>
      <c r="B244" s="2">
        <v>45746</v>
      </c>
      <c r="C244" t="str">
        <f t="shared" si="20"/>
        <v>Mar-2025</v>
      </c>
      <c r="D244" t="s">
        <v>82</v>
      </c>
      <c r="E244" t="s">
        <v>83</v>
      </c>
      <c r="F244" t="str">
        <f t="shared" si="21"/>
        <v>KH</v>
      </c>
      <c r="G244">
        <f t="shared" si="22"/>
        <v>8</v>
      </c>
      <c r="H244" t="s">
        <v>139</v>
      </c>
      <c r="I244" t="s">
        <v>140</v>
      </c>
      <c r="J244">
        <f t="shared" si="23"/>
        <v>34</v>
      </c>
      <c r="K244" t="s">
        <v>26</v>
      </c>
      <c r="L244">
        <v>2</v>
      </c>
      <c r="M244">
        <v>89.99</v>
      </c>
      <c r="N244" t="s">
        <v>69</v>
      </c>
      <c r="O244" t="s">
        <v>58</v>
      </c>
      <c r="P244" t="s">
        <v>34</v>
      </c>
      <c r="Q244" s="2">
        <v>44522</v>
      </c>
      <c r="R244">
        <f t="shared" si="24"/>
        <v>179.98</v>
      </c>
      <c r="S244" t="str">
        <f t="shared" si="25"/>
        <v>Other</v>
      </c>
    </row>
    <row r="245" ht="15.75" customHeight="1" spans="1:19">
      <c r="A245" t="s">
        <v>414</v>
      </c>
      <c r="B245" s="2">
        <v>45748</v>
      </c>
      <c r="C245" t="str">
        <f t="shared" si="20"/>
        <v>Apr-2025</v>
      </c>
      <c r="D245" t="s">
        <v>123</v>
      </c>
      <c r="E245" t="s">
        <v>124</v>
      </c>
      <c r="F245" t="str">
        <f t="shared" si="21"/>
        <v>CP</v>
      </c>
      <c r="G245">
        <f t="shared" si="22"/>
        <v>5</v>
      </c>
      <c r="H245" t="s">
        <v>98</v>
      </c>
      <c r="I245" t="s">
        <v>99</v>
      </c>
      <c r="J245">
        <f t="shared" si="23"/>
        <v>31</v>
      </c>
      <c r="K245" t="s">
        <v>26</v>
      </c>
      <c r="L245">
        <v>2</v>
      </c>
      <c r="M245">
        <v>699.99</v>
      </c>
      <c r="N245" t="s">
        <v>41</v>
      </c>
      <c r="O245" t="s">
        <v>47</v>
      </c>
      <c r="P245" t="s">
        <v>43</v>
      </c>
      <c r="Q245" s="2">
        <v>44618</v>
      </c>
      <c r="R245">
        <f t="shared" si="24"/>
        <v>1399.98</v>
      </c>
      <c r="S245" t="str">
        <f t="shared" si="25"/>
        <v>Other</v>
      </c>
    </row>
    <row r="246" ht="15.75" customHeight="1" spans="1:19">
      <c r="A246" t="s">
        <v>415</v>
      </c>
      <c r="B246" s="2">
        <v>45749</v>
      </c>
      <c r="C246" t="str">
        <f t="shared" si="20"/>
        <v>Apr-2025</v>
      </c>
      <c r="D246" t="s">
        <v>145</v>
      </c>
      <c r="E246" t="s">
        <v>146</v>
      </c>
      <c r="F246" t="str">
        <f t="shared" si="21"/>
        <v>EM</v>
      </c>
      <c r="G246">
        <f t="shared" si="22"/>
        <v>6</v>
      </c>
      <c r="H246" t="s">
        <v>77</v>
      </c>
      <c r="I246" t="s">
        <v>78</v>
      </c>
      <c r="J246">
        <f t="shared" si="23"/>
        <v>24</v>
      </c>
      <c r="K246" t="s">
        <v>26</v>
      </c>
      <c r="L246">
        <v>3</v>
      </c>
      <c r="M246">
        <v>899.99</v>
      </c>
      <c r="N246" t="s">
        <v>27</v>
      </c>
      <c r="O246" t="s">
        <v>28</v>
      </c>
      <c r="P246" t="s">
        <v>43</v>
      </c>
      <c r="Q246" s="2">
        <v>44953</v>
      </c>
      <c r="R246">
        <f t="shared" si="24"/>
        <v>2699.97</v>
      </c>
      <c r="S246" t="str">
        <f t="shared" si="25"/>
        <v>High-Value Customer</v>
      </c>
    </row>
    <row r="247" ht="15.75" customHeight="1" spans="1:19">
      <c r="A247" t="s">
        <v>416</v>
      </c>
      <c r="B247" s="2">
        <v>45755</v>
      </c>
      <c r="C247" t="str">
        <f t="shared" si="20"/>
        <v>Apr-2025</v>
      </c>
      <c r="D247" t="s">
        <v>112</v>
      </c>
      <c r="E247" t="s">
        <v>113</v>
      </c>
      <c r="F247" t="str">
        <f t="shared" si="21"/>
        <v>VS</v>
      </c>
      <c r="G247">
        <f t="shared" si="22"/>
        <v>6</v>
      </c>
      <c r="H247" t="s">
        <v>136</v>
      </c>
      <c r="I247" t="s">
        <v>137</v>
      </c>
      <c r="J247">
        <f t="shared" si="23"/>
        <v>14</v>
      </c>
      <c r="K247" t="s">
        <v>40</v>
      </c>
      <c r="L247">
        <v>3</v>
      </c>
      <c r="M247">
        <v>79.99</v>
      </c>
      <c r="N247" t="s">
        <v>33</v>
      </c>
      <c r="O247" t="s">
        <v>47</v>
      </c>
      <c r="P247" t="s">
        <v>29</v>
      </c>
      <c r="Q247" s="2">
        <v>44511</v>
      </c>
      <c r="R247">
        <f t="shared" si="24"/>
        <v>239.97</v>
      </c>
      <c r="S247" t="str">
        <f t="shared" si="25"/>
        <v>Other</v>
      </c>
    </row>
    <row r="248" ht="15.75" customHeight="1" spans="1:19">
      <c r="A248" t="s">
        <v>417</v>
      </c>
      <c r="B248" s="2">
        <v>45756</v>
      </c>
      <c r="C248" t="str">
        <f t="shared" si="20"/>
        <v>Apr-2025</v>
      </c>
      <c r="D248" t="s">
        <v>75</v>
      </c>
      <c r="E248" t="s">
        <v>76</v>
      </c>
      <c r="F248" t="str">
        <f t="shared" si="21"/>
        <v>RT</v>
      </c>
      <c r="G248">
        <f t="shared" si="22"/>
        <v>5</v>
      </c>
      <c r="H248" t="s">
        <v>139</v>
      </c>
      <c r="I248" t="s">
        <v>140</v>
      </c>
      <c r="J248">
        <f t="shared" si="23"/>
        <v>34</v>
      </c>
      <c r="K248" t="s">
        <v>26</v>
      </c>
      <c r="L248">
        <v>1</v>
      </c>
      <c r="M248">
        <v>89.99</v>
      </c>
      <c r="N248" t="s">
        <v>69</v>
      </c>
      <c r="O248" t="s">
        <v>79</v>
      </c>
      <c r="P248" t="s">
        <v>29</v>
      </c>
      <c r="Q248" s="2">
        <v>45346</v>
      </c>
      <c r="R248">
        <f t="shared" si="24"/>
        <v>89.99</v>
      </c>
      <c r="S248" t="str">
        <f t="shared" si="25"/>
        <v>Other</v>
      </c>
    </row>
    <row r="249" ht="15.75" customHeight="1" spans="1:19">
      <c r="A249" t="s">
        <v>418</v>
      </c>
      <c r="B249" s="2">
        <v>45758</v>
      </c>
      <c r="C249" t="str">
        <f t="shared" si="20"/>
        <v>Apr-2025</v>
      </c>
      <c r="D249" t="s">
        <v>315</v>
      </c>
      <c r="E249" t="s">
        <v>316</v>
      </c>
      <c r="F249" t="str">
        <f t="shared" si="21"/>
        <v>DW</v>
      </c>
      <c r="G249">
        <f t="shared" si="22"/>
        <v>4</v>
      </c>
      <c r="H249" t="s">
        <v>98</v>
      </c>
      <c r="I249" t="s">
        <v>99</v>
      </c>
      <c r="J249">
        <f t="shared" si="23"/>
        <v>31</v>
      </c>
      <c r="K249" t="s">
        <v>26</v>
      </c>
      <c r="L249">
        <v>3</v>
      </c>
      <c r="M249">
        <v>699.99</v>
      </c>
      <c r="N249" t="s">
        <v>41</v>
      </c>
      <c r="O249" t="s">
        <v>47</v>
      </c>
      <c r="P249" t="s">
        <v>29</v>
      </c>
      <c r="Q249" s="2">
        <v>44909</v>
      </c>
      <c r="R249">
        <f t="shared" si="24"/>
        <v>2099.97</v>
      </c>
      <c r="S249" t="str">
        <f t="shared" si="25"/>
        <v>High-Value Customer</v>
      </c>
    </row>
    <row r="250" ht="15.75" customHeight="1" spans="1:19">
      <c r="A250" t="s">
        <v>419</v>
      </c>
      <c r="B250" s="2">
        <v>45758</v>
      </c>
      <c r="C250" t="str">
        <f t="shared" si="20"/>
        <v>Apr-2025</v>
      </c>
      <c r="D250" t="s">
        <v>248</v>
      </c>
      <c r="E250" t="s">
        <v>249</v>
      </c>
      <c r="F250" t="str">
        <f t="shared" si="21"/>
        <v>LR</v>
      </c>
      <c r="G250">
        <f t="shared" si="22"/>
        <v>8</v>
      </c>
      <c r="H250" t="s">
        <v>139</v>
      </c>
      <c r="I250" t="s">
        <v>140</v>
      </c>
      <c r="J250">
        <f t="shared" si="23"/>
        <v>34</v>
      </c>
      <c r="K250" t="s">
        <v>26</v>
      </c>
      <c r="L250">
        <v>2</v>
      </c>
      <c r="M250">
        <v>89.99</v>
      </c>
      <c r="N250" t="s">
        <v>69</v>
      </c>
      <c r="O250" t="s">
        <v>79</v>
      </c>
      <c r="P250" t="s">
        <v>29</v>
      </c>
      <c r="Q250" s="2">
        <v>45088</v>
      </c>
      <c r="R250">
        <f t="shared" si="24"/>
        <v>179.98</v>
      </c>
      <c r="S250" t="str">
        <f t="shared" si="25"/>
        <v>Other</v>
      </c>
    </row>
    <row r="251" ht="15.75" customHeight="1" spans="1:19">
      <c r="A251" t="s">
        <v>420</v>
      </c>
      <c r="B251" s="2">
        <v>45758</v>
      </c>
      <c r="C251" t="str">
        <f t="shared" si="20"/>
        <v>Apr-2025</v>
      </c>
      <c r="D251" t="s">
        <v>160</v>
      </c>
      <c r="E251" t="s">
        <v>161</v>
      </c>
      <c r="F251" t="str">
        <f t="shared" si="21"/>
        <v>ST</v>
      </c>
      <c r="G251">
        <f t="shared" si="22"/>
        <v>6</v>
      </c>
      <c r="H251" t="s">
        <v>139</v>
      </c>
      <c r="I251" t="s">
        <v>140</v>
      </c>
      <c r="J251">
        <f t="shared" si="23"/>
        <v>34</v>
      </c>
      <c r="K251" t="s">
        <v>26</v>
      </c>
      <c r="L251">
        <v>3</v>
      </c>
      <c r="M251">
        <v>89.99</v>
      </c>
      <c r="N251" t="s">
        <v>69</v>
      </c>
      <c r="O251" t="s">
        <v>47</v>
      </c>
      <c r="P251" t="s">
        <v>34</v>
      </c>
      <c r="Q251" s="2">
        <v>44878</v>
      </c>
      <c r="R251">
        <f t="shared" si="24"/>
        <v>269.97</v>
      </c>
      <c r="S251" t="str">
        <f t="shared" si="25"/>
        <v>Other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V6:X6"/>
    <mergeCell ref="AB8:AC8"/>
    <mergeCell ref="AE8:AF8"/>
    <mergeCell ref="V14:W14"/>
    <mergeCell ref="Z19:AC19"/>
    <mergeCell ref="AA26:AC26"/>
    <mergeCell ref="AA27:AB27"/>
  </mergeCells>
  <conditionalFormatting sqref="R2:R25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C21:AC2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" footer="0"/>
  <pageSetup paperSize="1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name="Check Box 58" r:id="rId3">
              <controlPr defaultSize="0">
                <anchor moveWithCells="1">
                  <from>
                    <xdr:col>27</xdr:col>
                    <xdr:colOff>160020</xdr:colOff>
                    <xdr:row>9</xdr:row>
                    <xdr:rowOff>5715</xdr:rowOff>
                  </from>
                  <to>
                    <xdr:col>27</xdr:col>
                    <xdr:colOff>874395</xdr:colOff>
                    <xdr:row>10</xdr:row>
                    <xdr:rowOff>20955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name="Check Box 59" r:id="rId4">
              <controlPr defaultSize="0">
                <anchor moveWithCells="1">
                  <from>
                    <xdr:col>27</xdr:col>
                    <xdr:colOff>160020</xdr:colOff>
                    <xdr:row>10</xdr:row>
                    <xdr:rowOff>5715</xdr:rowOff>
                  </from>
                  <to>
                    <xdr:col>27</xdr:col>
                    <xdr:colOff>874395</xdr:colOff>
                    <xdr:row>11</xdr:row>
                    <xdr:rowOff>20955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name="Check Box 60" r:id="rId5">
              <controlPr defaultSize="0">
                <anchor moveWithCells="1">
                  <from>
                    <xdr:col>27</xdr:col>
                    <xdr:colOff>160020</xdr:colOff>
                    <xdr:row>11</xdr:row>
                    <xdr:rowOff>5715</xdr:rowOff>
                  </from>
                  <to>
                    <xdr:col>27</xdr:col>
                    <xdr:colOff>874395</xdr:colOff>
                    <xdr:row>12</xdr:row>
                    <xdr:rowOff>20955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name="Check Box 61" r:id="rId6">
              <controlPr defaultSize="0">
                <anchor moveWithCells="1">
                  <from>
                    <xdr:col>27</xdr:col>
                    <xdr:colOff>160020</xdr:colOff>
                    <xdr:row>12</xdr:row>
                    <xdr:rowOff>5715</xdr:rowOff>
                  </from>
                  <to>
                    <xdr:col>27</xdr:col>
                    <xdr:colOff>874395</xdr:colOff>
                    <xdr:row>13</xdr:row>
                    <xdr:rowOff>20955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name="Check Box 62" r:id="rId7">
              <controlPr defaultSize="0">
                <anchor moveWithCells="1">
                  <from>
                    <xdr:col>27</xdr:col>
                    <xdr:colOff>160020</xdr:colOff>
                    <xdr:row>12</xdr:row>
                    <xdr:rowOff>5715</xdr:rowOff>
                  </from>
                  <to>
                    <xdr:col>27</xdr:col>
                    <xdr:colOff>874395</xdr:colOff>
                    <xdr:row>13</xdr:row>
                    <xdr:rowOff>20955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name="Check Box 63" r:id="rId8">
              <controlPr defaultSize="0">
                <anchor moveWithCells="1">
                  <from>
                    <xdr:col>27</xdr:col>
                    <xdr:colOff>160020</xdr:colOff>
                    <xdr:row>13</xdr:row>
                    <xdr:rowOff>5715</xdr:rowOff>
                  </from>
                  <to>
                    <xdr:col>27</xdr:col>
                    <xdr:colOff>874395</xdr:colOff>
                    <xdr:row>14</xdr:row>
                    <xdr:rowOff>20955</xdr:rowOff>
                  </to>
                </anchor>
              </controlPr>
            </control>
          </mc:Choice>
        </mc:AlternateContent>
      </controls>
    </mc:Choice>
  </mc:AlternateContent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A3" sqref="A3"/>
    </sheetView>
  </sheetViews>
  <sheetFormatPr defaultColWidth="8.88888888888889" defaultRowHeight="14.4" outlineLevelRow="4" outlineLevelCol="1"/>
  <cols>
    <col min="1" max="1" width="13.2222222222222"/>
    <col min="2" max="2" width="23.7777777777778"/>
  </cols>
  <sheetData>
    <row r="3" spans="1:2">
      <c r="A3" t="s">
        <v>16</v>
      </c>
      <c r="B3" t="s">
        <v>421</v>
      </c>
    </row>
    <row r="4" spans="1:2">
      <c r="A4" t="s">
        <v>47</v>
      </c>
      <c r="B4">
        <v>39239.04</v>
      </c>
    </row>
    <row r="5" spans="1:2">
      <c r="A5" t="s">
        <v>422</v>
      </c>
      <c r="B5">
        <v>39239.04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"/>
    </sheetView>
  </sheetViews>
  <sheetFormatPr defaultColWidth="8.88888888888889" defaultRowHeight="14.4" outlineLevelCol="1"/>
  <cols>
    <col min="1" max="1" width="17.8888888888889"/>
    <col min="2" max="2" width="23.7777777777778"/>
  </cols>
  <sheetData>
    <row r="3" spans="1:2">
      <c r="A3" t="s">
        <v>10</v>
      </c>
      <c r="B3" t="s">
        <v>421</v>
      </c>
    </row>
    <row r="4" spans="1:2">
      <c r="A4" t="s">
        <v>62</v>
      </c>
      <c r="B4">
        <v>1949.87</v>
      </c>
    </row>
    <row r="5" spans="1:2">
      <c r="A5" t="s">
        <v>140</v>
      </c>
      <c r="B5">
        <v>1889.79</v>
      </c>
    </row>
    <row r="6" spans="1:2">
      <c r="A6" t="s">
        <v>78</v>
      </c>
      <c r="B6">
        <v>12599.86</v>
      </c>
    </row>
    <row r="7" spans="1:2">
      <c r="A7" t="s">
        <v>25</v>
      </c>
      <c r="B7">
        <v>5999.76</v>
      </c>
    </row>
    <row r="8" spans="1:2">
      <c r="A8" t="s">
        <v>99</v>
      </c>
      <c r="B8">
        <v>16799.76</v>
      </c>
    </row>
    <row r="9" spans="1:2">
      <c r="A9" t="s">
        <v>422</v>
      </c>
      <c r="B9">
        <v>39239.04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A3" sqref="A3"/>
    </sheetView>
  </sheetViews>
  <sheetFormatPr defaultColWidth="8.88888888888889" defaultRowHeight="14.4" outlineLevelRow="6" outlineLevelCol="1"/>
  <cols>
    <col min="1" max="1" width="22.7777777777778"/>
    <col min="2" max="2" width="18"/>
  </cols>
  <sheetData>
    <row r="3" spans="1:2">
      <c r="A3" t="s">
        <v>17</v>
      </c>
      <c r="B3" t="s">
        <v>423</v>
      </c>
    </row>
    <row r="4" spans="1:2">
      <c r="A4" t="s">
        <v>29</v>
      </c>
      <c r="B4">
        <v>23</v>
      </c>
    </row>
    <row r="5" spans="1:2">
      <c r="A5" t="s">
        <v>34</v>
      </c>
      <c r="B5">
        <v>55</v>
      </c>
    </row>
    <row r="6" spans="1:2">
      <c r="A6" t="s">
        <v>43</v>
      </c>
      <c r="B6">
        <v>18</v>
      </c>
    </row>
    <row r="7" spans="1:2">
      <c r="A7" t="s">
        <v>422</v>
      </c>
      <c r="B7">
        <v>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A3" sqref="A3"/>
    </sheetView>
  </sheetViews>
  <sheetFormatPr defaultColWidth="8.88888888888889" defaultRowHeight="14.4" outlineLevelCol="1"/>
  <cols>
    <col min="1" max="1" width="15"/>
    <col min="2" max="2" width="23.7777777777778"/>
  </cols>
  <sheetData>
    <row r="3" spans="1:2">
      <c r="A3" t="s">
        <v>4</v>
      </c>
      <c r="B3" t="s">
        <v>421</v>
      </c>
    </row>
    <row r="4" spans="1:2">
      <c r="A4" t="s">
        <v>424</v>
      </c>
      <c r="B4">
        <v>20919.33</v>
      </c>
    </row>
    <row r="5" spans="1:2">
      <c r="A5" t="s">
        <v>425</v>
      </c>
      <c r="B5">
        <v>6979.83</v>
      </c>
    </row>
    <row r="6" spans="1:2">
      <c r="A6" t="s">
        <v>426</v>
      </c>
      <c r="B6">
        <v>15759.43</v>
      </c>
    </row>
    <row r="7" spans="1:2">
      <c r="A7" t="s">
        <v>427</v>
      </c>
      <c r="B7">
        <v>23039.3</v>
      </c>
    </row>
    <row r="8" spans="1:2">
      <c r="A8" t="s">
        <v>428</v>
      </c>
      <c r="B8">
        <v>16069.38</v>
      </c>
    </row>
    <row r="9" spans="1:2">
      <c r="A9" t="s">
        <v>429</v>
      </c>
      <c r="B9">
        <v>25799.15</v>
      </c>
    </row>
    <row r="10" spans="1:2">
      <c r="A10" t="s">
        <v>430</v>
      </c>
      <c r="B10">
        <v>18479.4</v>
      </c>
    </row>
    <row r="11" spans="1:2">
      <c r="A11" t="s">
        <v>431</v>
      </c>
      <c r="B11">
        <v>19299.45</v>
      </c>
    </row>
    <row r="12" spans="1:2">
      <c r="A12" t="s">
        <v>432</v>
      </c>
      <c r="B12">
        <v>19899.38</v>
      </c>
    </row>
    <row r="13" spans="1:2">
      <c r="A13" t="s">
        <v>433</v>
      </c>
      <c r="B13">
        <v>17039.35</v>
      </c>
    </row>
    <row r="14" spans="1:2">
      <c r="A14" t="s">
        <v>434</v>
      </c>
      <c r="B14">
        <v>12309.44</v>
      </c>
    </row>
    <row r="15" spans="1:2">
      <c r="A15" t="s">
        <v>435</v>
      </c>
      <c r="B15">
        <v>20609.52</v>
      </c>
    </row>
    <row r="16" spans="1:2">
      <c r="A16" t="s">
        <v>436</v>
      </c>
      <c r="B16">
        <v>12989.51</v>
      </c>
    </row>
    <row r="17" spans="1:2">
      <c r="A17" t="s">
        <v>422</v>
      </c>
      <c r="B17">
        <v>229192.47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 Instructions</vt:lpstr>
      <vt:lpstr>Dashboard</vt:lpstr>
      <vt:lpstr>Final Project Dataset</vt:lpstr>
      <vt:lpstr>Total Amount by Region.</vt:lpstr>
      <vt:lpstr> Total Amount by Product_Name.</vt:lpstr>
      <vt:lpstr>Quantity by Customer Segment</vt:lpstr>
      <vt:lpstr>Total Amount by 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2025-11-10T10:47:00Z</dcterms:created>
  <dcterms:modified xsi:type="dcterms:W3CDTF">2025-11-11T13:06:04Z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9EC2FF4DB3A04DD98A76CDEFE1B2CF32_12</vt:lpwstr>
  </property>
  <property fmtid="{D5CDD505-2E9C-101B-9397-08002B2CF9AE}" pid="3" name="KSOProductBuildVer">
    <vt:lpwstr>1033-12.2.0.23155</vt:lpwstr>
  </property>
</Properties>
</file>