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8675"/>
  </bookViews>
  <sheets>
    <sheet name="Text Formulas Exercises" sheetId="1" r:id="rId1"/>
    <sheet name="Sheet1" sheetId="2" r:id="rId2"/>
  </sheets>
  <externalReferences>
    <externalReference r:id="rId4"/>
    <externalReference r:id="rId5"/>
    <externalReference r:id="rId6"/>
  </externalReferences>
  <definedNames>
    <definedName name="_xlnm._FilterDatabase" localSheetId="0" hidden="1">'Text Formulas Exercises'!#REF!</definedName>
    <definedName name="a">#REF!</definedName>
    <definedName name="b">#REF!</definedName>
    <definedName name="chart109" localSheetId="0">#REF!</definedName>
    <definedName name="chart109">#REF!</definedName>
    <definedName name="dyn_budget">OFFSET('[1]Dynamic Ranges and Charts'!$B$5,1,2,COUNTA('[1]Dynamic Ranges and Charts'!$B$6:$B$17),1)</definedName>
    <definedName name="dyn_lastn_dates" localSheetId="0">OFFSET('[1]Dynamic Ranges and Charts'!$B$29,COUNTA('[1]Dynamic Ranges and Charts'!$B$29:$B$213)-_xleta.n,0,_xleta.n,1)</definedName>
    <definedName name="dyn_lastn_dates">OFFSET('[1]Dynamic Ranges and Charts'!$B$29,COUNTA('[1]Dynamic Ranges and Charts'!$B$29:$B$213)-_xleta.n,0,_xleta.n,1)</definedName>
    <definedName name="dyn_lastn_values" localSheetId="0">OFFSET('[1]Dynamic Ranges and Charts'!$B$29,COUNTA('[1]Dynamic Ranges and Charts'!$B$29:$B$213)-_xleta.n,1,_xleta.n,1)</definedName>
    <definedName name="dyn_lastn_values">OFFSET('[1]Dynamic Ranges and Charts'!$B$29,COUNTA('[1]Dynamic Ranges and Charts'!$B$29:$B$213)-_xleta.n,1,_xleta.n,1)</definedName>
    <definedName name="dyn_range">OFFSET('[1]Dynamic Ranges'!$B$5,0,0,COUNTA(!$B$5:$B$100),3)</definedName>
    <definedName name="dyn_salary">OFFSET('[1]Dynamic Ranges and Charts'!$B$5,1,1,COUNTA('[1]Dynamic Ranges and Charts'!$B$6:$B$17),1)</definedName>
    <definedName name="Expenses">[2]Iterate!$C$4</definedName>
    <definedName name="Finley_Sprocket">'[2]Break Even (Solver)'!$B$3:$B$12</definedName>
    <definedName name="Gross_Margin">[2]Iterate!$C$3</definedName>
    <definedName name="Gross_Profit">[2]Iterate!$C$5</definedName>
    <definedName name="Langstrom_Wrench">'[2]Break Even (Solver)'!$C$3:$C$12</definedName>
    <definedName name="n">'[1]Dynamic Ranges and Charts'!$D$30</definedName>
    <definedName name="name">#REF!</definedName>
    <definedName name="Price">'[2]Break Even (Solver)'!$B$3:$C$3</definedName>
    <definedName name="Profit">'[2]Break Even (Solver)'!$B$12:$C$12</definedName>
    <definedName name="Profit_Sharing">[2]Iterate!$C$6</definedName>
    <definedName name="Revenue">'[2]Break Even (Solver)'!$B$5:$C$5</definedName>
    <definedName name="Total_Costs">'[2]Break Even (Solver)'!$B$10:$C$10</definedName>
    <definedName name="Total_Revenue">[2]Margin!$C$7</definedName>
    <definedName name="Unit_Cost">'[2]Break Even (Solver)'!$B$7:$C$7</definedName>
    <definedName name="Units">'[2]Break Even (Solver)'!$B$4:$C$4</definedName>
    <definedName name="Variable_Costs">'[2]Break Even (Solver)'!$B$8:$C$8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<sst xmlns="http://schemas.openxmlformats.org/spreadsheetml/2006/main" count="236" uniqueCount="159">
  <si>
    <t>1.) Join the contents of these three cells by using the ampersand (&amp;).</t>
  </si>
  <si>
    <t xml:space="preserve">Hit equals, click on the first cell, hit &amp;, click on the second cell, hit &amp;, click on the third cell, and then hit Enter. </t>
  </si>
  <si>
    <t>Item1</t>
  </si>
  <si>
    <t>Item2</t>
  </si>
  <si>
    <t>Item3</t>
  </si>
  <si>
    <t>All together now!</t>
  </si>
  <si>
    <t>One</t>
  </si>
  <si>
    <t>Two</t>
  </si>
  <si>
    <t>Three</t>
  </si>
  <si>
    <t>Four</t>
  </si>
  <si>
    <t>Five</t>
  </si>
  <si>
    <t>Red</t>
  </si>
  <si>
    <t>Yellow</t>
  </si>
  <si>
    <t>Orange</t>
  </si>
  <si>
    <t>Hot</t>
  </si>
  <si>
    <t>Crossed</t>
  </si>
  <si>
    <t>Buns</t>
  </si>
  <si>
    <t>Etch</t>
  </si>
  <si>
    <t>A</t>
  </si>
  <si>
    <t>Sketch</t>
  </si>
  <si>
    <t>Flip</t>
  </si>
  <si>
    <t>the</t>
  </si>
  <si>
    <t>Burger</t>
  </si>
  <si>
    <t>Up</t>
  </si>
  <si>
    <t>And</t>
  </si>
  <si>
    <t>Down</t>
  </si>
  <si>
    <t>Left</t>
  </si>
  <si>
    <t>Right</t>
  </si>
  <si>
    <t>North</t>
  </si>
  <si>
    <t>then</t>
  </si>
  <si>
    <t>South</t>
  </si>
  <si>
    <t xml:space="preserve">Jane Doe (janedoe@gmail.com, 194 Walker St, Seattle, WA, 12345) </t>
  </si>
  <si>
    <t xml:space="preserve">2.) Join the first and the last names BUT include a space between them by using two quotes. </t>
  </si>
  <si>
    <t xml:space="preserve">This is your introduction to using the ampersand and the quotes together. You'll be doing that quite a lot. </t>
  </si>
  <si>
    <t xml:space="preserve">You'll need two &amp;s (one after the first cell and one before the last cell and one set of " " (with a space) between the ampersands. </t>
  </si>
  <si>
    <t xml:space="preserve">Since we're just starting formulas, we'll give you a help button in case you're stuck: </t>
  </si>
  <si>
    <t>=C71&amp;" "&amp;D71</t>
  </si>
  <si>
    <t>First</t>
  </si>
  <si>
    <t>Last</t>
  </si>
  <si>
    <t>Full Name</t>
  </si>
  <si>
    <t/>
  </si>
  <si>
    <t>John</t>
  </si>
  <si>
    <t>Smith</t>
  </si>
  <si>
    <t>Michael</t>
  </si>
  <si>
    <t>Moore</t>
  </si>
  <si>
    <t>William</t>
  </si>
  <si>
    <t>Burgers</t>
  </si>
  <si>
    <t>Nick</t>
  </si>
  <si>
    <t>Frist</t>
  </si>
  <si>
    <t>Walker</t>
  </si>
  <si>
    <t>Jones</t>
  </si>
  <si>
    <t>Pat</t>
  </si>
  <si>
    <t>Henny</t>
  </si>
  <si>
    <t>Wills</t>
  </si>
  <si>
    <t>Fred</t>
  </si>
  <si>
    <t>Flop</t>
  </si>
  <si>
    <t>Jonna</t>
  </si>
  <si>
    <t>Tosh</t>
  </si>
  <si>
    <t>1.) Join the name and the age in this example so that it says "John Smith is x years old".</t>
  </si>
  <si>
    <t xml:space="preserve">Again, you'll need both the quotes and the ampersand. Within the quotes you'll put the text additions you need to make. Don't forget to include spaces.  </t>
  </si>
  <si>
    <t>Name</t>
  </si>
  <si>
    <t>Age</t>
  </si>
  <si>
    <t>This person is x years old</t>
  </si>
  <si>
    <t>John Smith</t>
  </si>
  <si>
    <t>Michael Moore</t>
  </si>
  <si>
    <t>William Burgers</t>
  </si>
  <si>
    <t>Nick Frist</t>
  </si>
  <si>
    <t>Walker Jones</t>
  </si>
  <si>
    <t>Pat Henny</t>
  </si>
  <si>
    <t>John Wills</t>
  </si>
  <si>
    <t>Fred Flop</t>
  </si>
  <si>
    <t>Jonna Tosh</t>
  </si>
  <si>
    <t>2.) Use a simple formula with the &amp; and "" that builds the tree shown on the right out of the letters in the column.</t>
  </si>
  <si>
    <t xml:space="preserve">This is useful for when you find yourself in situations where you need to create a running list, with one cell that contains everything "so far" in a column. </t>
  </si>
  <si>
    <t>You'll really need two fomulas for this exercise. One that points to the first value (the letter A), and one that will join the letter to the left</t>
  </si>
  <si>
    <t>with the letters in the cell above the formula.</t>
  </si>
  <si>
    <t>Letter</t>
  </si>
  <si>
    <t>B</t>
  </si>
  <si>
    <t>B A</t>
  </si>
  <si>
    <t>C</t>
  </si>
  <si>
    <t>C B A</t>
  </si>
  <si>
    <t>D</t>
  </si>
  <si>
    <t>D C B A</t>
  </si>
  <si>
    <t>E</t>
  </si>
  <si>
    <t>E D C B A</t>
  </si>
  <si>
    <t>F</t>
  </si>
  <si>
    <t>F E D C B A</t>
  </si>
  <si>
    <t>G</t>
  </si>
  <si>
    <t>G F E D C B A</t>
  </si>
  <si>
    <t>H</t>
  </si>
  <si>
    <t>H G F E D C B A</t>
  </si>
  <si>
    <t>I</t>
  </si>
  <si>
    <t>I H G F E D C B A</t>
  </si>
  <si>
    <t xml:space="preserve">1.) Use &amp; and "" (as well as another formula called =Text() ) to combine the names and date of births so it reads like the goal. </t>
  </si>
  <si>
    <t xml:space="preserve">This one is especially tricky. You may need to do a online search on the text() formula to figure out how it works. </t>
  </si>
  <si>
    <t>Don’t forget the period at the end!</t>
  </si>
  <si>
    <t>DOB</t>
  </si>
  <si>
    <t>Name was born on …</t>
  </si>
  <si>
    <t>Goal:</t>
  </si>
  <si>
    <t>John Smith was born on Wednesday, January 4, 1984.</t>
  </si>
  <si>
    <t>Michael Moore was born on Saturday, April 21, 1962.</t>
  </si>
  <si>
    <t>William Burgers was born on Saturday, May 14, 1977.</t>
  </si>
  <si>
    <t>Nick Frist was born on Wednesday, December 5, 1945.</t>
  </si>
  <si>
    <t>Walker Jones was born on Friday, February 19, 1999.</t>
  </si>
  <si>
    <t>Pat Henny was born on Thursday, January 3, 1957.</t>
  </si>
  <si>
    <t>John Wills was born on Thursday, July 11, 1968.</t>
  </si>
  <si>
    <t>Fred Flop was born on Monday, March 5, 1984.</t>
  </si>
  <si>
    <t>Jonna Tosh was born on Sunday, June 19, 1988.</t>
  </si>
  <si>
    <t>1.) Use the right() function to cut off the job level (the number) from the job grade.</t>
  </si>
  <si>
    <t>You'll only need to pull off one character. To practice what you'd do in a real dataset, go ahead and convert this to values with paste special after you are done.</t>
  </si>
  <si>
    <t>Job grade</t>
  </si>
  <si>
    <t>Job level</t>
  </si>
  <si>
    <t>T3</t>
  </si>
  <si>
    <t>S7</t>
  </si>
  <si>
    <t>N2</t>
  </si>
  <si>
    <t>N4</t>
  </si>
  <si>
    <t>N6</t>
  </si>
  <si>
    <t>O8</t>
  </si>
  <si>
    <t>T4</t>
  </si>
  <si>
    <t>T6</t>
  </si>
  <si>
    <t>T9</t>
  </si>
  <si>
    <t>T2</t>
  </si>
  <si>
    <t>T1</t>
  </si>
  <si>
    <t>2.) Use the left() function to pull out the job category (the letter) from the job grade.</t>
  </si>
  <si>
    <t>You'll only need to pull off one character. To practice what you'd do in a real file, go ahead and convert this to values with paste special after you are done.</t>
  </si>
  <si>
    <t>Job Category</t>
  </si>
  <si>
    <t>3.) Use the trim function to rid this text of pesky spaces.</t>
  </si>
  <si>
    <t>Double click into the Text ID cell and you'll see the spaces that might cause problems later. Paste it as values when you're done for practice!</t>
  </si>
  <si>
    <t>Text ID</t>
  </si>
  <si>
    <t>Trimmed</t>
  </si>
  <si>
    <t xml:space="preserve">DJFDG   </t>
  </si>
  <si>
    <t xml:space="preserve">FDJDKL   </t>
  </si>
  <si>
    <t xml:space="preserve">FDJLKFD   </t>
  </si>
  <si>
    <t xml:space="preserve">GDD   </t>
  </si>
  <si>
    <t xml:space="preserve">FdKLFJD   </t>
  </si>
  <si>
    <t xml:space="preserve">FDDL   </t>
  </si>
  <si>
    <t xml:space="preserve">FDJKLD   </t>
  </si>
  <si>
    <t>1.) Use either the left or right function to pull the area code from these phone numbers.</t>
  </si>
  <si>
    <t xml:space="preserve">Again, to practice what you'd probably do in real life, go ahead and convert these to values when you're done. </t>
  </si>
  <si>
    <t>Numbers</t>
  </si>
  <si>
    <t>Area code</t>
  </si>
  <si>
    <t>617-243-3456</t>
  </si>
  <si>
    <t>543-645-7532</t>
  </si>
  <si>
    <t>545-646-2452</t>
  </si>
  <si>
    <t>454-453=6424</t>
  </si>
  <si>
    <t>572-457-2542</t>
  </si>
  <si>
    <t>257-452-4542</t>
  </si>
  <si>
    <t>745-789-2452</t>
  </si>
  <si>
    <t>452-764-2542</t>
  </si>
  <si>
    <t>1.) Cut off the unwanted character at the beginning of this text AND trim the unwanted space at the end. Do this all in one formula.</t>
  </si>
  <si>
    <t xml:space="preserve">You'll need to use both the trim() and the right() formulas all in one cell. </t>
  </si>
  <si>
    <t>Text</t>
  </si>
  <si>
    <t>Fixed</t>
  </si>
  <si>
    <t xml:space="preserve">*TEXT143 </t>
  </si>
  <si>
    <t xml:space="preserve">#TEXT954 </t>
  </si>
  <si>
    <t xml:space="preserve">$TEXT432 </t>
  </si>
  <si>
    <t xml:space="preserve">(TEXT573 </t>
  </si>
  <si>
    <t xml:space="preserve">)TEXT095 </t>
  </si>
  <si>
    <t xml:space="preserve">!TEXT542 </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</si>
</sst>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_(* #,##0.00_);_(* \(#,##0.00\);_(* &quot;-&quot;??_);_(@_)"/>
    <numFmt numFmtId="181" formatCode="\G\e\n\e\r\a\l"/>
    <numFmt numFmtId="182" formatCode="dd/mm/yyyy"/>
  </numFmts>
  <fonts count="34">
    <font>
      <sz val="11"/>
      <color theme="1"/>
      <name val="Calibri"/>
      <charset val="134"/>
      <scheme val="minor"/>
    </font>
    <font>
      <b/>
      <sz val="10"/>
      <name val="Calibri"/>
      <charset val="134"/>
    </font>
    <font>
      <sz val="10"/>
      <name val="Calibri"/>
      <charset val="134"/>
    </font>
    <font>
      <sz val="10"/>
      <name val="Arial"/>
      <charset val="134"/>
    </font>
    <font>
      <sz val="10"/>
      <color indexed="9"/>
      <name val="Arial"/>
      <charset val="134"/>
    </font>
    <font>
      <sz val="10"/>
      <color indexed="9"/>
      <name val="Calibri"/>
      <charset val="134"/>
    </font>
    <font>
      <b/>
      <sz val="12"/>
      <name val="Calibri"/>
      <charset val="134"/>
    </font>
    <font>
      <sz val="11"/>
      <name val="Calibri"/>
      <charset val="134"/>
    </font>
    <font>
      <b/>
      <u/>
      <sz val="12"/>
      <name val="Calibri"/>
      <charset val="134"/>
    </font>
    <font>
      <b/>
      <sz val="10"/>
      <color indexed="17"/>
      <name val="Calibri"/>
      <charset val="134"/>
    </font>
    <font>
      <b/>
      <sz val="10"/>
      <color indexed="10"/>
      <name val="Calibri"/>
      <charset val="134"/>
    </font>
    <font>
      <b/>
      <sz val="11"/>
      <color indexed="9"/>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theme="1"/>
      <name val="Arial"/>
      <charset val="134"/>
    </font>
    <font>
      <u/>
      <sz val="10"/>
      <color indexed="12"/>
      <name val="Arial"/>
      <charset val="134"/>
    </font>
    <font>
      <sz val="10"/>
      <name val="Times New Roman"/>
      <charset val="134"/>
    </font>
  </fonts>
  <fills count="35">
    <fill>
      <patternFill patternType="none"/>
    </fill>
    <fill>
      <patternFill patternType="gray125"/>
    </fill>
    <fill>
      <patternFill patternType="solid">
        <fgColor rgb="FFFFFF00"/>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4"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5" borderId="5" applyNumberFormat="0" applyAlignment="0" applyProtection="0">
      <alignment vertical="center"/>
    </xf>
    <xf numFmtId="0" fontId="21" fillId="6" borderId="6" applyNumberFormat="0" applyAlignment="0" applyProtection="0">
      <alignment vertical="center"/>
    </xf>
    <xf numFmtId="0" fontId="22" fillId="6" borderId="5" applyNumberFormat="0" applyAlignment="0" applyProtection="0">
      <alignment vertical="center"/>
    </xf>
    <xf numFmtId="0" fontId="23" fillId="7"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180" fontId="0" fillId="0" borderId="0" applyFont="0" applyFill="0" applyBorder="0" applyAlignment="0" applyProtection="0"/>
    <xf numFmtId="180" fontId="31" fillId="0" borderId="0" applyFont="0" applyFill="0" applyBorder="0" applyAlignment="0" applyProtection="0"/>
    <xf numFmtId="0" fontId="32" fillId="0" borderId="0" applyNumberFormat="0" applyFill="0" applyBorder="0" applyAlignment="0" applyProtection="0">
      <alignment vertical="top"/>
      <protection locked="0"/>
    </xf>
    <xf numFmtId="0" fontId="0" fillId="0" borderId="0"/>
    <xf numFmtId="0" fontId="33" fillId="0" borderId="0"/>
    <xf numFmtId="0" fontId="0" fillId="0" borderId="0"/>
    <xf numFmtId="181" fontId="3" fillId="0" borderId="0"/>
    <xf numFmtId="0" fontId="3" fillId="0" borderId="0"/>
    <xf numFmtId="0" fontId="31" fillId="0" borderId="0"/>
  </cellStyleXfs>
  <cellXfs count="29">
    <xf numFmtId="0" fontId="0" fillId="0" borderId="0" xfId="0"/>
    <xf numFmtId="0" fontId="1" fillId="0" borderId="0" xfId="56" applyFont="1"/>
    <xf numFmtId="0" fontId="2" fillId="0" borderId="0" xfId="56" applyFont="1"/>
    <xf numFmtId="0" fontId="3" fillId="0" borderId="0" xfId="56"/>
    <xf numFmtId="0" fontId="2" fillId="0" borderId="0" xfId="56" applyFont="1" applyFill="1"/>
    <xf numFmtId="0" fontId="3" fillId="0" borderId="0" xfId="56" applyFont="1"/>
    <xf numFmtId="0" fontId="4" fillId="0" borderId="0" xfId="56" applyFont="1" applyAlignment="1">
      <alignment horizontal="right"/>
    </xf>
    <xf numFmtId="0" fontId="4" fillId="0" borderId="0" xfId="56" applyFont="1"/>
    <xf numFmtId="0" fontId="5" fillId="0" borderId="0" xfId="56" applyFont="1"/>
    <xf numFmtId="0" fontId="6" fillId="0" borderId="0" xfId="56" applyFont="1"/>
    <xf numFmtId="0" fontId="7" fillId="0" borderId="0" xfId="56" applyFont="1"/>
    <xf numFmtId="0" fontId="2" fillId="2" borderId="1" xfId="56" applyFont="1" applyFill="1" applyBorder="1" applyAlignment="1" applyProtection="1">
      <alignment horizontal="left"/>
      <protection locked="0"/>
    </xf>
    <xf numFmtId="0" fontId="3" fillId="3" borderId="0" xfId="56" applyFill="1"/>
    <xf numFmtId="0" fontId="3" fillId="3" borderId="0" xfId="56" applyFill="1" applyAlignment="1">
      <alignment horizontal="right"/>
    </xf>
    <xf numFmtId="0" fontId="8" fillId="3" borderId="0" xfId="51" applyFont="1" applyFill="1" applyAlignment="1" applyProtection="1">
      <alignment horizontal="right"/>
    </xf>
    <xf numFmtId="0" fontId="9" fillId="0" borderId="0" xfId="56" applyFont="1"/>
    <xf numFmtId="0" fontId="10" fillId="0" borderId="0" xfId="56" applyFont="1"/>
    <xf numFmtId="0" fontId="2" fillId="3" borderId="0" xfId="56" applyFont="1" applyFill="1" applyAlignment="1">
      <alignment horizontal="right"/>
    </xf>
    <xf numFmtId="0" fontId="3" fillId="0" borderId="0" xfId="56" applyFill="1"/>
    <xf numFmtId="0" fontId="1" fillId="0" borderId="0" xfId="56" applyFont="1" applyAlignment="1">
      <alignment horizontal="right"/>
    </xf>
    <xf numFmtId="0" fontId="2" fillId="0" borderId="0" xfId="56" applyFont="1" applyAlignment="1"/>
    <xf numFmtId="0" fontId="11" fillId="0" borderId="0" xfId="56" applyFont="1"/>
    <xf numFmtId="0" fontId="3" fillId="0" borderId="0" xfId="56" applyNumberFormat="1" applyFont="1" applyFill="1"/>
    <xf numFmtId="182" fontId="2" fillId="0" borderId="0" xfId="56" applyNumberFormat="1" applyFont="1"/>
    <xf numFmtId="0" fontId="2" fillId="2" borderId="1" xfId="56" applyFont="1" applyFill="1" applyBorder="1" applyAlignment="1" applyProtection="1">
      <alignment horizontal="center"/>
      <protection locked="0"/>
    </xf>
    <xf numFmtId="0" fontId="2" fillId="2" borderId="1" xfId="56" applyFont="1" applyFill="1" applyBorder="1" applyProtection="1">
      <protection locked="0"/>
    </xf>
    <xf numFmtId="0" fontId="2" fillId="2" borderId="1" xfId="56" applyFont="1" applyFill="1" applyBorder="1" applyAlignment="1" applyProtection="1">
      <protection locked="0"/>
    </xf>
    <xf numFmtId="0" fontId="9" fillId="0" borderId="0" xfId="56" applyFont="1" applyBorder="1" applyAlignment="1"/>
    <xf numFmtId="0" fontId="2" fillId="0" borderId="0" xfId="56" applyFont="1" applyBorder="1" applyAlignment="1"/>
    <xf numFmtId="0" fontId="11" fillId="0" borderId="0" xfId="56" applyFont="1" quotePrefix="1"/>
  </cellXfs>
  <cellStyles count="58">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omma 3" xfId="50"/>
    <cellStyle name="Hyperlink 2" xfId="51"/>
    <cellStyle name="Normal 2" xfId="52"/>
    <cellStyle name="Normal 2 2" xfId="53"/>
    <cellStyle name="Normal 2 2 2" xfId="54"/>
    <cellStyle name="Normal 3" xfId="55"/>
    <cellStyle name="Normal 4" xfId="56"/>
    <cellStyle name="Normal 5" xfId="5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Button" val="0"/>
</file>

<file path=xl/ctrlProps/ctrlProp2.xml><?xml version="1.0" encoding="utf-8"?>
<formControlPr xmlns="http://schemas.microsoft.com/office/spreadsheetml/2009/9/main" objectType="Button" val="0"/>
</file>

<file path=xl/ctrlProps/ctrlProp3.xml><?xml version="1.0" encoding="utf-8"?>
<formControlPr xmlns="http://schemas.microsoft.com/office/spreadsheetml/2009/9/main" objectType="Button" val="0"/>
</file>

<file path=xl/ctrlProps/ctrlProp4.xml><?xml version="1.0" encoding="utf-8"?>
<formControlPr xmlns="http://schemas.microsoft.com/office/spreadsheetml/2009/9/main" objectType="Button" val="0"/>
</file>

<file path=xl/ctrlProps/ctrlProp5.xml><?xml version="1.0" encoding="utf-8"?>
<formControlPr xmlns="http://schemas.microsoft.com/office/spreadsheetml/2009/9/main" objectType="Button" val="0"/>
</file>

<file path=xl/ctrlProps/ctrlProp6.xml><?xml version="1.0" encoding="utf-8"?>
<formControlPr xmlns="http://schemas.microsoft.com/office/spreadsheetml/2009/9/main" objectType="Button" val="0"/>
</file>

<file path=xl/ctrlProps/ctrlProp7.xml><?xml version="1.0" encoding="utf-8"?>
<formControlPr xmlns="http://schemas.microsoft.com/office/spreadsheetml/2009/9/main" objectType="Button" val="0"/>
</file>

<file path=xl/ctrlProps/ctrlProp8.xml><?xml version="1.0" encoding="utf-8"?>
<formControlPr xmlns="http://schemas.microsoft.com/office/spreadsheetml/2009/9/main" objectType="Button" val="0"/>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0</xdr:col>
      <xdr:colOff>9525</xdr:colOff>
      <xdr:row>8</xdr:row>
      <xdr:rowOff>47625</xdr:rowOff>
    </xdr:from>
    <xdr:to>
      <xdr:col>18</xdr:col>
      <xdr:colOff>314325</xdr:colOff>
      <xdr:row>8</xdr:row>
      <xdr:rowOff>47625</xdr:rowOff>
    </xdr:to>
    <xdr:sp>
      <xdr:nvSpPr>
        <xdr:cNvPr id="2" name="Line 2"/>
        <xdr:cNvSpPr>
          <a:spLocks noChangeShapeType="1"/>
        </xdr:cNvSpPr>
      </xdr:nvSpPr>
      <xdr:spPr>
        <a:xfrm>
          <a:off x="9525" y="1449705"/>
          <a:ext cx="11157585" cy="0"/>
        </a:xfrm>
        <a:prstGeom prst="line">
          <a:avLst/>
        </a:prstGeom>
        <a:noFill/>
        <a:ln w="28575">
          <a:solidFill>
            <a:srgbClr val="000000"/>
          </a:solidFill>
          <a:round/>
          <a:tailEnd type="oval" w="med" len="med"/>
        </a:ln>
        <a:extLst>
          <a:ext uri="{909E8E84-426E-40DD-AFC4-6F175D3DCCD1}">
            <a14:hiddenFill xmlns:a14="http://schemas.microsoft.com/office/drawing/2010/main">
              <a:noFill/>
            </a14:hiddenFill>
          </a:ext>
        </a:extLst>
      </xdr:spPr>
    </xdr:sp>
    <xdr:clientData/>
  </xdr:twoCellAnchor>
  <xdr:twoCellAnchor editAs="absolute">
    <xdr:from>
      <xdr:col>0</xdr:col>
      <xdr:colOff>66675</xdr:colOff>
      <xdr:row>5</xdr:row>
      <xdr:rowOff>57150</xdr:rowOff>
    </xdr:from>
    <xdr:to>
      <xdr:col>10</xdr:col>
      <xdr:colOff>476250</xdr:colOff>
      <xdr:row>7</xdr:row>
      <xdr:rowOff>66675</xdr:rowOff>
    </xdr:to>
    <xdr:sp>
      <xdr:nvSpPr>
        <xdr:cNvPr id="3" name="Text Box 4"/>
        <xdr:cNvSpPr txBox="1">
          <a:spLocks noChangeArrowheads="1"/>
        </xdr:cNvSpPr>
      </xdr:nvSpPr>
      <xdr:spPr>
        <a:xfrm>
          <a:off x="66675" y="956310"/>
          <a:ext cx="6237605" cy="344805"/>
        </a:xfrm>
        <a:prstGeom prst="rect">
          <a:avLst/>
        </a:prstGeom>
        <a:noFill/>
        <a:ln w="9525">
          <a:noFill/>
          <a:miter lim="800000"/>
        </a:ln>
      </xdr:spPr>
      <xdr:txBody>
        <a:bodyPr vertOverflow="clip" wrap="square" lIns="45720" tIns="41148" rIns="0" bIns="0" anchor="t" upright="1"/>
        <a:lstStyle/>
        <a:p>
          <a:pPr algn="l" rtl="0">
            <a:defRPr sz="1000"/>
          </a:pPr>
          <a:r>
            <a:rPr lang="en-US" sz="2000" b="1" i="0" u="none" strike="noStrike" baseline="0">
              <a:solidFill>
                <a:srgbClr val="000000"/>
              </a:solidFill>
              <a:latin typeface="Calibri" panose="020F0502020204030204"/>
            </a:rPr>
            <a:t>Text formulas</a:t>
          </a:r>
          <a:endParaRPr lang="en-US" sz="2000" b="1" i="0" u="none" strike="noStrike" baseline="0">
            <a:solidFill>
              <a:srgbClr val="000000"/>
            </a:solidFill>
            <a:latin typeface="Calibri" panose="020F0502020204030204"/>
          </a:endParaRPr>
        </a:p>
      </xdr:txBody>
    </xdr:sp>
    <xdr:clientData/>
  </xdr:twoCellAnchor>
  <xdr:twoCellAnchor>
    <xdr:from>
      <xdr:col>1</xdr:col>
      <xdr:colOff>38100</xdr:colOff>
      <xdr:row>28</xdr:row>
      <xdr:rowOff>66675</xdr:rowOff>
    </xdr:from>
    <xdr:to>
      <xdr:col>14</xdr:col>
      <xdr:colOff>104775</xdr:colOff>
      <xdr:row>46</xdr:row>
      <xdr:rowOff>28575</xdr:rowOff>
    </xdr:to>
    <xdr:sp>
      <xdr:nvSpPr>
        <xdr:cNvPr id="4" name="Text Box 7"/>
        <xdr:cNvSpPr txBox="1">
          <a:spLocks noChangeArrowheads="1"/>
        </xdr:cNvSpPr>
      </xdr:nvSpPr>
      <xdr:spPr>
        <a:xfrm>
          <a:off x="184785" y="1636395"/>
          <a:ext cx="8716010" cy="3040380"/>
        </a:xfrm>
        <a:prstGeom prst="rect">
          <a:avLst/>
        </a:prstGeom>
        <a:noFill/>
        <a:ln w="9525">
          <a:noFill/>
          <a:miter lim="800000"/>
        </a:ln>
      </xdr:spPr>
      <xdr:txBody>
        <a:bodyPr vertOverflow="clip" wrap="square" lIns="36576" tIns="36576" rIns="0" bIns="0" anchor="t" upright="1"/>
        <a:lstStyle/>
        <a:p>
          <a:pPr algn="l" rtl="0">
            <a:defRPr sz="1000"/>
          </a:pPr>
          <a:r>
            <a:rPr lang="en-US" sz="1800" b="1" i="0" u="none" strike="noStrike" baseline="0">
              <a:solidFill>
                <a:srgbClr val="000000"/>
              </a:solidFill>
              <a:latin typeface="Calibri" panose="020F0502020204030204"/>
            </a:rPr>
            <a:t>1.) Quotes (" ") and ampersand (&amp;)</a:t>
          </a:r>
          <a:endParaRPr lang="en-US" sz="1400" b="1" i="0" u="none" strike="noStrike" baseline="0">
            <a:solidFill>
              <a:srgbClr val="000000"/>
            </a:solidFill>
            <a:latin typeface="Calibri" panose="020F0502020204030204"/>
          </a:endParaRPr>
        </a:p>
        <a:p>
          <a:pPr rtl="0" eaLnBrk="1" fontAlgn="auto" latinLnBrk="0" hangingPunct="1"/>
          <a:r>
            <a:rPr lang="en-US" sz="1100" b="0" i="0" baseline="0">
              <a:latin typeface="+mn-lt"/>
              <a:ea typeface="+mn-ea"/>
              <a:cs typeface="+mn-cs"/>
            </a:rPr>
            <a:t>These are so essential that once you know them well, you'll find yourself using them all the time. There's nothing excessively complicated about using either quotes or ampersands (either ampersands or the ampersand) and they make your life easier. Quotes allow you to work with text within a formula. Anytime Excel sees quotes, it thinks text. To indicate a blank: a "do nothing," or if you're using an IF statement (we'll soon learn this), you put two quotes together like this: "". </a:t>
          </a:r>
          <a:endParaRPr lang="en-US"/>
        </a:p>
        <a:p>
          <a:pPr rtl="0" eaLnBrk="1" fontAlgn="base" latinLnBrk="0" hangingPunct="1"/>
          <a:endParaRPr lang="en-US" sz="1100" b="0" i="0" baseline="0">
            <a:latin typeface="+mn-lt"/>
            <a:ea typeface="+mn-ea"/>
            <a:cs typeface="+mn-cs"/>
          </a:endParaRPr>
        </a:p>
        <a:p>
          <a:pPr rtl="0" eaLnBrk="1" fontAlgn="auto" latinLnBrk="0" hangingPunct="1"/>
          <a:r>
            <a:rPr lang="en-US" sz="1100" b="0" i="0" baseline="0">
              <a:latin typeface="+mn-lt"/>
              <a:ea typeface="+mn-ea"/>
              <a:cs typeface="+mn-cs"/>
            </a:rPr>
            <a:t>Ampersands allow you to join the contents of cells or bring the contents of cells into formulas. There is another formula called </a:t>
          </a:r>
          <a:r>
            <a:rPr lang="en-US" sz="1100" b="0" i="1" baseline="0">
              <a:latin typeface="+mn-lt"/>
              <a:ea typeface="+mn-ea"/>
              <a:cs typeface="+mn-cs"/>
            </a:rPr>
            <a:t>Concatenate() </a:t>
          </a:r>
          <a:r>
            <a:rPr lang="en-US" sz="1100" b="0" i="0" baseline="0">
              <a:latin typeface="+mn-lt"/>
              <a:ea typeface="+mn-ea"/>
              <a:cs typeface="+mn-cs"/>
            </a:rPr>
            <a:t>that is built to do this as well, but it is much longer to type out than a simple "&amp;." If you hear people talking about using </a:t>
          </a:r>
          <a:r>
            <a:rPr lang="en-US" sz="1100" b="0" i="1" baseline="0">
              <a:latin typeface="+mn-lt"/>
              <a:ea typeface="+mn-ea"/>
              <a:cs typeface="+mn-cs"/>
            </a:rPr>
            <a:t>Concatenate(),</a:t>
          </a:r>
          <a:r>
            <a:rPr lang="en-US" sz="1100" b="0" i="0" baseline="0">
              <a:latin typeface="+mn-lt"/>
              <a:ea typeface="+mn-ea"/>
              <a:cs typeface="+mn-cs"/>
            </a:rPr>
            <a:t> tap them on the shoulder and make sure they know about our simple friend, the ampersand.</a:t>
          </a:r>
          <a:endParaRPr lang="en-US"/>
        </a:p>
        <a:p>
          <a:pPr rtl="0" eaLnBrk="1" fontAlgn="base" latinLnBrk="0" hangingPunct="1"/>
          <a:endParaRPr lang="en-US" sz="1100" b="0" i="0" baseline="0">
            <a:latin typeface="+mn-lt"/>
            <a:ea typeface="+mn-ea"/>
            <a:cs typeface="+mn-cs"/>
          </a:endParaRPr>
        </a:p>
        <a:p>
          <a:pPr rtl="0" eaLnBrk="1" fontAlgn="auto" latinLnBrk="0" hangingPunct="1"/>
          <a:r>
            <a:rPr lang="en-US" sz="1100" b="0" i="0" baseline="0">
              <a:latin typeface="+mn-lt"/>
              <a:ea typeface="+mn-ea"/>
              <a:cs typeface="+mn-cs"/>
            </a:rPr>
            <a:t>Ok, let's put some of these to use!</a:t>
          </a:r>
          <a:endParaRPr lang="en-US"/>
        </a:p>
      </xdr:txBody>
    </xdr:sp>
    <xdr:clientData/>
  </xdr:twoCellAnchor>
  <xdr:twoCellAnchor>
    <xdr:from>
      <xdr:col>0</xdr:col>
      <xdr:colOff>76200</xdr:colOff>
      <xdr:row>39</xdr:row>
      <xdr:rowOff>0</xdr:rowOff>
    </xdr:from>
    <xdr:to>
      <xdr:col>17</xdr:col>
      <xdr:colOff>552450</xdr:colOff>
      <xdr:row>39</xdr:row>
      <xdr:rowOff>0</xdr:rowOff>
    </xdr:to>
    <xdr:sp>
      <xdr:nvSpPr>
        <xdr:cNvPr id="5" name="Text Box 8"/>
        <xdr:cNvSpPr txBox="1">
          <a:spLocks noChangeArrowheads="1"/>
        </xdr:cNvSpPr>
      </xdr:nvSpPr>
      <xdr:spPr>
        <a:xfrm>
          <a:off x="76200" y="3421380"/>
          <a:ext cx="10702290" cy="0"/>
        </a:xfrm>
        <a:prstGeom prst="rect">
          <a:avLst/>
        </a:prstGeom>
        <a:noFill/>
        <a:ln w="9525">
          <a:noFill/>
          <a:miter lim="800000"/>
        </a:ln>
      </xdr:spPr>
      <xdr:txBody>
        <a:bodyPr vertOverflow="clip" wrap="square" lIns="36576" tIns="36576" rIns="0" bIns="0" anchor="t" upright="1"/>
        <a:lstStyle/>
        <a:p>
          <a:pPr algn="l" rtl="0">
            <a:defRPr sz="1000"/>
          </a:pPr>
          <a:r>
            <a:rPr lang="en-US" sz="1800" b="1" i="0" u="none" strike="noStrike" baseline="0">
              <a:solidFill>
                <a:srgbClr val="000000"/>
              </a:solidFill>
              <a:latin typeface="Calibri" panose="020F0502020204030204"/>
            </a:rPr>
            <a:t>2.) How to move and autofill cells</a:t>
          </a:r>
          <a:endParaRPr lang="en-US" sz="1100" b="0" i="0" u="none" strike="noStrike" baseline="0">
            <a:solidFill>
              <a:srgbClr val="000000"/>
            </a:solidFill>
            <a:latin typeface="Calibri" panose="020F0502020204030204"/>
          </a:endParaRPr>
        </a:p>
        <a:p>
          <a:pPr algn="l" rtl="0">
            <a:defRPr sz="1000"/>
          </a:pPr>
          <a:r>
            <a:rPr lang="en-US" sz="1100" b="0" i="0" u="none" strike="noStrike" baseline="0">
              <a:solidFill>
                <a:srgbClr val="000000"/>
              </a:solidFill>
              <a:latin typeface="Calibri" panose="020F0502020204030204"/>
            </a:rPr>
            <a:t>You'll notice that the cursor has three modes when interacting with cells. When you select a cell, the large plus sign appears &amp; is used for highlighting. Then, when you move the cursor to the outside of the cell it changes to a pointer on top of some arrows. If you click and drag with this it moves the range you selected to a new place. It's the same as cut and paste. Lastly, at the bottom right of a selected cell or region, you'll see a black square. That's the autofill function. You click on that and drag to "automatically" fill in information. You'll see what I mean by this in the exercises, but it's most commonly used as a quicker method of dragging a formula down a data set. </a:t>
          </a:r>
          <a:endParaRPr lang="en-US" sz="1100" b="0" i="0" u="none" strike="noStrike" baseline="0">
            <a:solidFill>
              <a:srgbClr val="000000"/>
            </a:solidFill>
            <a:latin typeface="Calibri" panose="020F0502020204030204"/>
          </a:endParaRPr>
        </a:p>
        <a:p>
          <a:pPr algn="l" rtl="0">
            <a:defRPr sz="1000"/>
          </a:pPr>
          <a:endParaRPr lang="en-US" sz="1100" b="0" i="0" u="none" strike="noStrike" baseline="0">
            <a:solidFill>
              <a:srgbClr val="000000"/>
            </a:solidFill>
            <a:latin typeface="Calibri" panose="020F0502020204030204"/>
          </a:endParaRPr>
        </a:p>
      </xdr:txBody>
    </xdr:sp>
    <xdr:clientData/>
  </xdr:twoCellAnchor>
  <xdr:twoCellAnchor>
    <xdr:from>
      <xdr:col>1</xdr:col>
      <xdr:colOff>28575</xdr:colOff>
      <xdr:row>39</xdr:row>
      <xdr:rowOff>0</xdr:rowOff>
    </xdr:from>
    <xdr:to>
      <xdr:col>18</xdr:col>
      <xdr:colOff>228600</xdr:colOff>
      <xdr:row>39</xdr:row>
      <xdr:rowOff>0</xdr:rowOff>
    </xdr:to>
    <xdr:sp>
      <xdr:nvSpPr>
        <xdr:cNvPr id="6" name="Text Box 9"/>
        <xdr:cNvSpPr txBox="1">
          <a:spLocks noChangeArrowheads="1"/>
        </xdr:cNvSpPr>
      </xdr:nvSpPr>
      <xdr:spPr>
        <a:xfrm>
          <a:off x="175260" y="3421380"/>
          <a:ext cx="10906125" cy="0"/>
        </a:xfrm>
        <a:prstGeom prst="rect">
          <a:avLst/>
        </a:prstGeom>
        <a:noFill/>
        <a:ln w="9525">
          <a:noFill/>
          <a:miter lim="800000"/>
        </a:ln>
      </xdr:spPr>
      <xdr:txBody>
        <a:bodyPr vertOverflow="clip" wrap="square" lIns="36576" tIns="36576" rIns="0" bIns="0" anchor="t" upright="1"/>
        <a:lstStyle/>
        <a:p>
          <a:pPr algn="l" rtl="0">
            <a:defRPr sz="1000"/>
          </a:pPr>
          <a:r>
            <a:rPr lang="en-US" sz="1800" b="1" i="0" u="none" strike="noStrike" baseline="0">
              <a:solidFill>
                <a:srgbClr val="000000"/>
              </a:solidFill>
              <a:latin typeface="Calibri" panose="020F0502020204030204"/>
            </a:rPr>
            <a:t>3.) Absolute vs. relative references</a:t>
          </a:r>
          <a:endParaRPr lang="en-US" sz="1100" b="0" i="0" u="none" strike="noStrike" baseline="0">
            <a:solidFill>
              <a:srgbClr val="000000"/>
            </a:solidFill>
            <a:latin typeface="Calibri" panose="020F0502020204030204"/>
          </a:endParaRPr>
        </a:p>
        <a:p>
          <a:pPr algn="l" rtl="0">
            <a:defRPr sz="1000"/>
          </a:pPr>
          <a:r>
            <a:rPr lang="en-US" sz="1100" b="0" i="0" u="none" strike="noStrike" baseline="0">
              <a:solidFill>
                <a:srgbClr val="000000"/>
              </a:solidFill>
              <a:latin typeface="Calibri" panose="020F0502020204030204"/>
            </a:rPr>
            <a:t>Cells are linked together by the use of references. Whenever you use (or point to) the contents of a cell in a formula or in another cell, you're using a reference. There are two types of references that are important to get straight: absolute and relative. The difference between these two types has to do with their behavior as you copy and paste formulas with them included. Absolute references NEVER change when you copy and paste  a formula and relative references DO. This will become clear very soon with the exercises. </a:t>
          </a:r>
          <a:endParaRPr lang="en-US" sz="1100" b="0" i="0" u="none" strike="noStrike" baseline="0">
            <a:solidFill>
              <a:srgbClr val="000000"/>
            </a:solidFill>
            <a:latin typeface="Calibri" panose="020F0502020204030204"/>
          </a:endParaRPr>
        </a:p>
        <a:p>
          <a:pPr algn="l" rtl="0">
            <a:defRPr sz="1000"/>
          </a:pPr>
          <a:endParaRPr lang="en-US" sz="1100" b="0" i="0" u="none" strike="noStrike" baseline="0">
            <a:solidFill>
              <a:srgbClr val="000000"/>
            </a:solidFill>
            <a:latin typeface="Calibri" panose="020F0502020204030204"/>
          </a:endParaRPr>
        </a:p>
        <a:p>
          <a:pPr algn="l" rtl="0">
            <a:defRPr sz="1000"/>
          </a:pPr>
          <a:r>
            <a:rPr lang="en-US" sz="1100" b="0" i="0" u="none" strike="noStrike" baseline="0">
              <a:solidFill>
                <a:srgbClr val="000000"/>
              </a:solidFill>
              <a:latin typeface="Calibri" panose="020F0502020204030204"/>
            </a:rPr>
            <a:t>You indicate absolute vs. relative references by using the $ sign in the formula before the column references and row references. If I wanted to reference A1 from another cell, I'd input "=A1". With no $ signs, if I copy this formula down one row and right one column, it would now reference "=B2" instead. BUT, I can make either the column or the row an absolute (permanent) reference by putting a $ sign before it. For instance, if I input "=$A1" and copied one cell right and down, the new cell would reference "=$A2". I can make the entire thing absolute by using two $ signs. "=$A$1" would ALWAYS point to A1 no matter what! A time saving shortcut is to use the F4 key as you type a cell reference. This toggles between the referencing types. </a:t>
          </a:r>
          <a:endParaRPr lang="en-US" sz="1100" b="0" i="0" u="none" strike="noStrike" baseline="0">
            <a:solidFill>
              <a:srgbClr val="000000"/>
            </a:solidFill>
            <a:latin typeface="Calibri" panose="020F0502020204030204"/>
          </a:endParaRPr>
        </a:p>
        <a:p>
          <a:pPr algn="l" rtl="0">
            <a:defRPr sz="1000"/>
          </a:pPr>
          <a:endParaRPr lang="en-US" sz="1100" b="0" i="0" u="none" strike="noStrike" baseline="0">
            <a:solidFill>
              <a:srgbClr val="000000"/>
            </a:solidFill>
            <a:latin typeface="Calibri" panose="020F0502020204030204"/>
          </a:endParaRPr>
        </a:p>
        <a:p>
          <a:pPr algn="l" rtl="0">
            <a:defRPr sz="1000"/>
          </a:pPr>
          <a:r>
            <a:rPr lang="en-US" sz="1100" b="0" i="0" u="none" strike="noStrike" baseline="0">
              <a:solidFill>
                <a:srgbClr val="000000"/>
              </a:solidFill>
              <a:latin typeface="Calibri" panose="020F0502020204030204"/>
            </a:rPr>
            <a:t>If after trying these exercises you still find yourself confused, make sure to watch the last video in the "CV" tab. It'll make everything much more clear.</a:t>
          </a:r>
          <a:endParaRPr lang="en-US" sz="1100" b="0" i="0" u="none" strike="noStrike" baseline="0">
            <a:solidFill>
              <a:srgbClr val="000000"/>
            </a:solidFill>
            <a:latin typeface="Calibri" panose="020F0502020204030204"/>
          </a:endParaRPr>
        </a:p>
      </xdr:txBody>
    </xdr:sp>
    <xdr:clientData/>
  </xdr:twoCellAnchor>
  <xdr:twoCellAnchor editAs="oneCell">
    <xdr:from>
      <xdr:col>1</xdr:col>
      <xdr:colOff>57150</xdr:colOff>
      <xdr:row>43</xdr:row>
      <xdr:rowOff>152400</xdr:rowOff>
    </xdr:from>
    <xdr:to>
      <xdr:col>3</xdr:col>
      <xdr:colOff>361950</xdr:colOff>
      <xdr:row>45</xdr:row>
      <xdr:rowOff>142875</xdr:rowOff>
    </xdr:to>
    <xdr:grpSp>
      <xdr:nvGrpSpPr>
        <xdr:cNvPr id="7" name="Group 10"/>
        <xdr:cNvGrpSpPr/>
      </xdr:nvGrpSpPr>
      <xdr:grpSpPr>
        <a:xfrm>
          <a:off x="203835" y="4274820"/>
          <a:ext cx="1646555" cy="340995"/>
          <a:chOff x="0" y="549"/>
          <a:chExt cx="172" cy="35"/>
        </a:xfrm>
      </xdr:grpSpPr>
      <xdr:sp>
        <xdr:nvSpPr>
          <xdr:cNvPr id="8" name="Oval 11"/>
          <xdr:cNvSpPr>
            <a:spLocks noChangeArrowheads="1"/>
          </xdr:cNvSpPr>
        </xdr:nvSpPr>
        <xdr:spPr>
          <a:xfrm>
            <a:off x="7" y="553"/>
            <a:ext cx="22" cy="22"/>
          </a:xfrm>
          <a:prstGeom prst="ellipse">
            <a:avLst/>
          </a:prstGeom>
          <a:solidFill>
            <a:srgbClr val="006411"/>
          </a:solidFill>
          <a:ln w="9525">
            <a:solidFill>
              <a:srgbClr val="006411"/>
            </a:solidFill>
            <a:round/>
          </a:ln>
        </xdr:spPr>
      </xdr:sp>
      <xdr:sp>
        <xdr:nvSpPr>
          <xdr:cNvPr id="9" name="Text Box 12"/>
          <xdr:cNvSpPr txBox="1">
            <a:spLocks noChangeArrowheads="1"/>
          </xdr:cNvSpPr>
        </xdr:nvSpPr>
        <xdr:spPr>
          <a:xfrm>
            <a:off x="35" y="549"/>
            <a:ext cx="58" cy="28"/>
          </a:xfrm>
          <a:prstGeom prst="rect">
            <a:avLst/>
          </a:prstGeom>
          <a:noFill/>
          <a:ln w="9525">
            <a:noFill/>
            <a:miter lim="800000"/>
          </a:ln>
        </xdr:spPr>
        <xdr:txBody>
          <a:bodyPr vertOverflow="clip" wrap="square" lIns="36576" tIns="32004" rIns="0" bIns="0" anchor="t" upright="1"/>
          <a:lstStyle/>
          <a:p>
            <a:pPr algn="l" rtl="0">
              <a:defRPr sz="1000"/>
            </a:pPr>
            <a:r>
              <a:rPr lang="en-US" sz="1500" b="1" i="0" u="none" strike="noStrike" baseline="0">
                <a:solidFill>
                  <a:srgbClr val="000000"/>
                </a:solidFill>
                <a:latin typeface="Calibri" panose="020F0502020204030204"/>
              </a:rPr>
              <a:t>Easy</a:t>
            </a:r>
            <a:endParaRPr lang="en-US" sz="1500" b="1" i="0" u="none" strike="noStrike" baseline="0">
              <a:solidFill>
                <a:srgbClr val="000000"/>
              </a:solidFill>
              <a:latin typeface="Calibri" panose="020F0502020204030204"/>
            </a:endParaRPr>
          </a:p>
        </xdr:txBody>
      </xdr:sp>
      <xdr:sp>
        <xdr:nvSpPr>
          <xdr:cNvPr id="10" name="Line 13"/>
          <xdr:cNvSpPr>
            <a:spLocks noChangeShapeType="1"/>
          </xdr:cNvSpPr>
        </xdr:nvSpPr>
        <xdr:spPr>
          <a:xfrm>
            <a:off x="0" y="584"/>
            <a:ext cx="172" cy="0"/>
          </a:xfrm>
          <a:prstGeom prst="line">
            <a:avLst/>
          </a:prstGeom>
          <a:noFill/>
          <a:ln w="28575">
            <a:solidFill>
              <a:srgbClr val="000000"/>
            </a:solidFill>
            <a:round/>
            <a:tailEnd type="oval" w="med" len="med"/>
          </a:ln>
          <a:extLst>
            <a:ext uri="{909E8E84-426E-40DD-AFC4-6F175D3DCCD1}">
              <a14:hiddenFill xmlns:a14="http://schemas.microsoft.com/office/drawing/2010/main">
                <a:noFill/>
              </a14:hiddenFill>
            </a:ext>
          </a:extLst>
        </xdr:spPr>
      </xdr:sp>
    </xdr:grpSp>
    <xdr:clientData/>
  </xdr:twoCellAnchor>
  <xdr:twoCellAnchor editAs="oneCell">
    <xdr:from>
      <xdr:col>1</xdr:col>
      <xdr:colOff>47625</xdr:colOff>
      <xdr:row>81</xdr:row>
      <xdr:rowOff>123825</xdr:rowOff>
    </xdr:from>
    <xdr:to>
      <xdr:col>3</xdr:col>
      <xdr:colOff>361950</xdr:colOff>
      <xdr:row>83</xdr:row>
      <xdr:rowOff>95250</xdr:rowOff>
    </xdr:to>
    <xdr:grpSp>
      <xdr:nvGrpSpPr>
        <xdr:cNvPr id="11" name="Group 14"/>
        <xdr:cNvGrpSpPr/>
      </xdr:nvGrpSpPr>
      <xdr:grpSpPr>
        <a:xfrm>
          <a:off x="194310" y="11018520"/>
          <a:ext cx="1656080" cy="321945"/>
          <a:chOff x="0" y="663"/>
          <a:chExt cx="172" cy="32"/>
        </a:xfrm>
      </xdr:grpSpPr>
      <xdr:sp>
        <xdr:nvSpPr>
          <xdr:cNvPr id="12" name="Oval 15"/>
          <xdr:cNvSpPr>
            <a:spLocks noChangeArrowheads="1"/>
          </xdr:cNvSpPr>
        </xdr:nvSpPr>
        <xdr:spPr>
          <a:xfrm>
            <a:off x="6" y="666"/>
            <a:ext cx="22" cy="22"/>
          </a:xfrm>
          <a:prstGeom prst="ellipse">
            <a:avLst/>
          </a:prstGeom>
          <a:solidFill>
            <a:srgbClr val="0000D4"/>
          </a:solidFill>
          <a:ln w="9525">
            <a:solidFill>
              <a:srgbClr val="0000D4"/>
            </a:solidFill>
            <a:round/>
          </a:ln>
        </xdr:spPr>
      </xdr:sp>
      <xdr:sp>
        <xdr:nvSpPr>
          <xdr:cNvPr id="13" name="Text Box 16"/>
          <xdr:cNvSpPr txBox="1">
            <a:spLocks noChangeArrowheads="1"/>
          </xdr:cNvSpPr>
        </xdr:nvSpPr>
        <xdr:spPr>
          <a:xfrm>
            <a:off x="33" y="663"/>
            <a:ext cx="82" cy="28"/>
          </a:xfrm>
          <a:prstGeom prst="rect">
            <a:avLst/>
          </a:prstGeom>
          <a:noFill/>
          <a:ln w="9525">
            <a:noFill/>
            <a:miter lim="800000"/>
          </a:ln>
        </xdr:spPr>
        <xdr:txBody>
          <a:bodyPr vertOverflow="clip" wrap="square" lIns="36576" tIns="32004" rIns="0" bIns="0" anchor="t" upright="1"/>
          <a:lstStyle/>
          <a:p>
            <a:pPr algn="l" rtl="0">
              <a:defRPr sz="1000"/>
            </a:pPr>
            <a:r>
              <a:rPr lang="en-US" sz="1500" b="1" i="0" u="none" strike="noStrike" baseline="0">
                <a:solidFill>
                  <a:srgbClr val="000000"/>
                </a:solidFill>
                <a:latin typeface="Calibri" panose="020F0502020204030204"/>
              </a:rPr>
              <a:t>Medium</a:t>
            </a:r>
            <a:endParaRPr lang="en-US" sz="1500" b="1" i="0" u="none" strike="noStrike" baseline="0">
              <a:solidFill>
                <a:srgbClr val="000000"/>
              </a:solidFill>
              <a:latin typeface="Calibri" panose="020F0502020204030204"/>
            </a:endParaRPr>
          </a:p>
        </xdr:txBody>
      </xdr:sp>
      <xdr:sp>
        <xdr:nvSpPr>
          <xdr:cNvPr id="14" name="Line 17"/>
          <xdr:cNvSpPr>
            <a:spLocks noChangeShapeType="1"/>
          </xdr:cNvSpPr>
        </xdr:nvSpPr>
        <xdr:spPr>
          <a:xfrm>
            <a:off x="0" y="695"/>
            <a:ext cx="172" cy="0"/>
          </a:xfrm>
          <a:prstGeom prst="line">
            <a:avLst/>
          </a:prstGeom>
          <a:noFill/>
          <a:ln w="28575">
            <a:solidFill>
              <a:srgbClr val="000000"/>
            </a:solidFill>
            <a:round/>
            <a:tailEnd type="oval" w="med" len="med"/>
          </a:ln>
          <a:extLst>
            <a:ext uri="{909E8E84-426E-40DD-AFC4-6F175D3DCCD1}">
              <a14:hiddenFill xmlns:a14="http://schemas.microsoft.com/office/drawing/2010/main">
                <a:noFill/>
              </a14:hiddenFill>
            </a:ext>
          </a:extLst>
        </xdr:spPr>
      </xdr:sp>
    </xdr:grpSp>
    <xdr:clientData/>
  </xdr:twoCellAnchor>
  <xdr:twoCellAnchor>
    <xdr:from>
      <xdr:col>1</xdr:col>
      <xdr:colOff>57150</xdr:colOff>
      <xdr:row>120</xdr:row>
      <xdr:rowOff>152400</xdr:rowOff>
    </xdr:from>
    <xdr:to>
      <xdr:col>3</xdr:col>
      <xdr:colOff>361950</xdr:colOff>
      <xdr:row>123</xdr:row>
      <xdr:rowOff>95250</xdr:rowOff>
    </xdr:to>
    <xdr:grpSp>
      <xdr:nvGrpSpPr>
        <xdr:cNvPr id="15" name="Group 18"/>
        <xdr:cNvGrpSpPr/>
      </xdr:nvGrpSpPr>
      <xdr:grpSpPr>
        <a:xfrm>
          <a:off x="203835" y="17958435"/>
          <a:ext cx="1646555" cy="468630"/>
          <a:chOff x="15" y="1109"/>
          <a:chExt cx="212" cy="46"/>
        </a:xfrm>
      </xdr:grpSpPr>
      <xdr:sp>
        <xdr:nvSpPr>
          <xdr:cNvPr id="16" name="AutoShape 19"/>
          <xdr:cNvSpPr>
            <a:spLocks noChangeArrowheads="1"/>
          </xdr:cNvSpPr>
        </xdr:nvSpPr>
        <xdr:spPr>
          <a:xfrm>
            <a:off x="21" y="1109"/>
            <a:ext cx="22" cy="41"/>
          </a:xfrm>
          <a:prstGeom prst="diamond">
            <a:avLst/>
          </a:prstGeom>
          <a:solidFill>
            <a:srgbClr val="000000"/>
          </a:solidFill>
          <a:ln w="9525">
            <a:solidFill>
              <a:srgbClr val="000000"/>
            </a:solidFill>
            <a:miter lim="800000"/>
          </a:ln>
        </xdr:spPr>
      </xdr:sp>
      <xdr:sp>
        <xdr:nvSpPr>
          <xdr:cNvPr id="17" name="Text Box 20"/>
          <xdr:cNvSpPr txBox="1">
            <a:spLocks noChangeArrowheads="1"/>
          </xdr:cNvSpPr>
        </xdr:nvSpPr>
        <xdr:spPr>
          <a:xfrm>
            <a:off x="51" y="1119"/>
            <a:ext cx="99" cy="27"/>
          </a:xfrm>
          <a:prstGeom prst="rect">
            <a:avLst/>
          </a:prstGeom>
          <a:noFill/>
          <a:ln w="9525">
            <a:noFill/>
            <a:miter lim="800000"/>
          </a:ln>
        </xdr:spPr>
        <xdr:txBody>
          <a:bodyPr vertOverflow="clip" wrap="square" lIns="36576" tIns="32004" rIns="0" bIns="0" anchor="t" upright="1"/>
          <a:lstStyle/>
          <a:p>
            <a:pPr algn="l" rtl="0">
              <a:defRPr sz="1000"/>
            </a:pPr>
            <a:r>
              <a:rPr lang="en-US" sz="1500" b="1" i="0" u="none" strike="noStrike" baseline="0">
                <a:solidFill>
                  <a:srgbClr val="000000"/>
                </a:solidFill>
                <a:latin typeface="Calibri" panose="020F0502020204030204"/>
              </a:rPr>
              <a:t>Hard</a:t>
            </a:r>
            <a:endParaRPr lang="en-US" sz="1500" b="1" i="0" u="none" strike="noStrike" baseline="0">
              <a:solidFill>
                <a:srgbClr val="000000"/>
              </a:solidFill>
              <a:latin typeface="Calibri" panose="020F0502020204030204"/>
            </a:endParaRPr>
          </a:p>
        </xdr:txBody>
      </xdr:sp>
      <xdr:sp>
        <xdr:nvSpPr>
          <xdr:cNvPr id="18" name="Line 21"/>
          <xdr:cNvSpPr>
            <a:spLocks noChangeShapeType="1"/>
          </xdr:cNvSpPr>
        </xdr:nvSpPr>
        <xdr:spPr>
          <a:xfrm>
            <a:off x="15" y="1155"/>
            <a:ext cx="212" cy="0"/>
          </a:xfrm>
          <a:prstGeom prst="line">
            <a:avLst/>
          </a:prstGeom>
          <a:noFill/>
          <a:ln w="28575">
            <a:solidFill>
              <a:srgbClr val="000000"/>
            </a:solidFill>
            <a:round/>
            <a:tailEnd type="oval" w="med" len="med"/>
          </a:ln>
          <a:extLst>
            <a:ext uri="{909E8E84-426E-40DD-AFC4-6F175D3DCCD1}">
              <a14:hiddenFill xmlns:a14="http://schemas.microsoft.com/office/drawing/2010/main">
                <a:noFill/>
              </a14:hiddenFill>
            </a:ext>
          </a:extLst>
        </xdr:spPr>
      </xdr:sp>
    </xdr:grpSp>
    <xdr:clientData/>
  </xdr:twoCellAnchor>
  <xdr:twoCellAnchor>
    <xdr:from>
      <xdr:col>1</xdr:col>
      <xdr:colOff>47625</xdr:colOff>
      <xdr:row>143</xdr:row>
      <xdr:rowOff>104775</xdr:rowOff>
    </xdr:from>
    <xdr:to>
      <xdr:col>18</xdr:col>
      <xdr:colOff>257175</xdr:colOff>
      <xdr:row>156</xdr:row>
      <xdr:rowOff>66675</xdr:rowOff>
    </xdr:to>
    <xdr:sp>
      <xdr:nvSpPr>
        <xdr:cNvPr id="19" name="Text Box 27"/>
        <xdr:cNvSpPr txBox="1">
          <a:spLocks noChangeArrowheads="1"/>
        </xdr:cNvSpPr>
      </xdr:nvSpPr>
      <xdr:spPr>
        <a:xfrm>
          <a:off x="194310" y="22002750"/>
          <a:ext cx="10915650" cy="2247900"/>
        </a:xfrm>
        <a:prstGeom prst="rect">
          <a:avLst/>
        </a:prstGeom>
        <a:noFill/>
        <a:ln w="9525">
          <a:noFill/>
          <a:miter lim="800000"/>
        </a:ln>
      </xdr:spPr>
      <xdr:txBody>
        <a:bodyPr vertOverflow="clip" wrap="square" lIns="36576" tIns="36576" rIns="0" bIns="0" anchor="t" upright="1"/>
        <a:lstStyle/>
        <a:p>
          <a:pPr algn="l" rtl="0">
            <a:defRPr sz="1000"/>
          </a:pPr>
          <a:r>
            <a:rPr lang="en-US" sz="1800" b="1" i="0" u="none" strike="noStrike" baseline="0">
              <a:solidFill>
                <a:srgbClr val="000000"/>
              </a:solidFill>
              <a:latin typeface="Calibri" panose="020F0502020204030204"/>
            </a:rPr>
            <a:t>2.) Right, Left, and Trim</a:t>
          </a:r>
          <a:endParaRPr lang="en-US" sz="1400" b="1" i="0" u="none" strike="noStrike" baseline="0">
            <a:solidFill>
              <a:srgbClr val="000000"/>
            </a:solidFill>
            <a:latin typeface="Calibri" panose="020F0502020204030204"/>
          </a:endParaRPr>
        </a:p>
        <a:p>
          <a:pPr rtl="0" eaLnBrk="1" fontAlgn="auto" latinLnBrk="0" hangingPunct="1"/>
          <a:r>
            <a:rPr lang="en-US" sz="1100" b="0" i="0" baseline="0">
              <a:latin typeface="+mn-lt"/>
              <a:ea typeface="+mn-ea"/>
              <a:cs typeface="+mn-cs"/>
            </a:rPr>
            <a:t>The </a:t>
          </a:r>
          <a:r>
            <a:rPr lang="en-US" sz="1100" b="0" i="1" baseline="0">
              <a:latin typeface="+mn-lt"/>
              <a:ea typeface="+mn-ea"/>
              <a:cs typeface="+mn-cs"/>
            </a:rPr>
            <a:t>right() </a:t>
          </a:r>
          <a:r>
            <a:rPr lang="en-US" sz="1100" b="0" i="0" baseline="0">
              <a:latin typeface="+mn-lt"/>
              <a:ea typeface="+mn-ea"/>
              <a:cs typeface="+mn-cs"/>
            </a:rPr>
            <a:t>and </a:t>
          </a:r>
          <a:r>
            <a:rPr lang="en-US" sz="1100" b="0" i="1" baseline="0">
              <a:latin typeface="+mn-lt"/>
              <a:ea typeface="+mn-ea"/>
              <a:cs typeface="+mn-cs"/>
            </a:rPr>
            <a:t>left() </a:t>
          </a:r>
          <a:r>
            <a:rPr lang="en-US" sz="1100" b="0" i="0" baseline="0">
              <a:latin typeface="+mn-lt"/>
              <a:ea typeface="+mn-ea"/>
              <a:cs typeface="+mn-cs"/>
            </a:rPr>
            <a:t>formulas allow you to chop pieces of text off a cell from the direction of your choosing. You simply pick the number of characters that you want to cut off from either the right or the left. To do so, you simply enter </a:t>
          </a:r>
          <a:r>
            <a:rPr lang="en-US" sz="1100" b="0" i="1" baseline="0">
              <a:latin typeface="+mn-lt"/>
              <a:ea typeface="+mn-ea"/>
              <a:cs typeface="+mn-cs"/>
            </a:rPr>
            <a:t>"=right(", </a:t>
          </a:r>
          <a:r>
            <a:rPr lang="en-US" sz="1100" b="0" i="0" baseline="0">
              <a:latin typeface="+mn-lt"/>
              <a:ea typeface="+mn-ea"/>
              <a:cs typeface="+mn-cs"/>
            </a:rPr>
            <a:t>then point to the cell that contains the text you want, hit comma, then enter the number of characters that you would like to cut off. Note that spaces count as characters. Also, don't worry, it leaves your original text completely intact. </a:t>
          </a:r>
          <a:endParaRPr lang="en-US"/>
        </a:p>
        <a:p>
          <a:pPr rtl="0" eaLnBrk="1" fontAlgn="base" latinLnBrk="0" hangingPunct="1"/>
          <a:endParaRPr lang="en-US" sz="1100" b="0" i="0" baseline="0">
            <a:latin typeface="+mn-lt"/>
            <a:ea typeface="+mn-ea"/>
            <a:cs typeface="+mn-cs"/>
          </a:endParaRPr>
        </a:p>
        <a:p>
          <a:pPr rtl="0" eaLnBrk="1" fontAlgn="auto" latinLnBrk="0" hangingPunct="1"/>
          <a:r>
            <a:rPr lang="en-US" sz="1100" b="0" i="0" baseline="0">
              <a:latin typeface="+mn-lt"/>
              <a:ea typeface="+mn-ea"/>
              <a:cs typeface="+mn-cs"/>
            </a:rPr>
            <a:t>Trim takes away ANY and ALL spaces from the outside of text (before and after). Sometimes when you're doing a vlookup, you'll notice that it will give you an error and you'll have no idea what's going on. Many times it's because there's an extra space in the text you're either trying to look up from or look up on. Trim is the best solution to get rid of those rogue spaces. </a:t>
          </a:r>
          <a:endParaRPr lang="en-US"/>
        </a:p>
        <a:p>
          <a:pPr rtl="0" eaLnBrk="1" fontAlgn="base" latinLnBrk="0" hangingPunct="1"/>
          <a:endParaRPr lang="en-US" sz="1100" b="0" i="0" baseline="0">
            <a:latin typeface="+mn-lt"/>
            <a:ea typeface="+mn-ea"/>
            <a:cs typeface="+mn-cs"/>
          </a:endParaRPr>
        </a:p>
        <a:p>
          <a:pPr rtl="0" eaLnBrk="1" fontAlgn="auto" latinLnBrk="0" hangingPunct="1"/>
          <a:r>
            <a:rPr lang="en-US" sz="1100" b="0" i="0" baseline="0">
              <a:latin typeface="+mn-lt"/>
              <a:ea typeface="+mn-ea"/>
              <a:cs typeface="+mn-cs"/>
            </a:rPr>
            <a:t>Neither of these formulas is too difficult, so let's dive into some examples!</a:t>
          </a:r>
          <a:endParaRPr lang="en-US"/>
        </a:p>
      </xdr:txBody>
    </xdr:sp>
    <xdr:clientData/>
  </xdr:twoCellAnchor>
  <xdr:twoCellAnchor editAs="oneCell">
    <xdr:from>
      <xdr:col>1</xdr:col>
      <xdr:colOff>28575</xdr:colOff>
      <xdr:row>156</xdr:row>
      <xdr:rowOff>95250</xdr:rowOff>
    </xdr:from>
    <xdr:to>
      <xdr:col>3</xdr:col>
      <xdr:colOff>342900</xdr:colOff>
      <xdr:row>158</xdr:row>
      <xdr:rowOff>95250</xdr:rowOff>
    </xdr:to>
    <xdr:grpSp>
      <xdr:nvGrpSpPr>
        <xdr:cNvPr id="20" name="Group 29"/>
        <xdr:cNvGrpSpPr/>
      </xdr:nvGrpSpPr>
      <xdr:grpSpPr>
        <a:xfrm>
          <a:off x="175260" y="24279225"/>
          <a:ext cx="1656080" cy="350520"/>
          <a:chOff x="0" y="549"/>
          <a:chExt cx="172" cy="35"/>
        </a:xfrm>
      </xdr:grpSpPr>
      <xdr:sp>
        <xdr:nvSpPr>
          <xdr:cNvPr id="21" name="Oval 30"/>
          <xdr:cNvSpPr>
            <a:spLocks noChangeArrowheads="1"/>
          </xdr:cNvSpPr>
        </xdr:nvSpPr>
        <xdr:spPr>
          <a:xfrm>
            <a:off x="7" y="553"/>
            <a:ext cx="22" cy="22"/>
          </a:xfrm>
          <a:prstGeom prst="ellipse">
            <a:avLst/>
          </a:prstGeom>
          <a:solidFill>
            <a:srgbClr val="006411"/>
          </a:solidFill>
          <a:ln w="9525">
            <a:solidFill>
              <a:srgbClr val="006411"/>
            </a:solidFill>
            <a:round/>
          </a:ln>
        </xdr:spPr>
      </xdr:sp>
      <xdr:sp>
        <xdr:nvSpPr>
          <xdr:cNvPr id="22" name="Text Box 31"/>
          <xdr:cNvSpPr txBox="1">
            <a:spLocks noChangeArrowheads="1"/>
          </xdr:cNvSpPr>
        </xdr:nvSpPr>
        <xdr:spPr>
          <a:xfrm>
            <a:off x="35" y="549"/>
            <a:ext cx="58" cy="28"/>
          </a:xfrm>
          <a:prstGeom prst="rect">
            <a:avLst/>
          </a:prstGeom>
          <a:noFill/>
          <a:ln w="9525">
            <a:noFill/>
            <a:miter lim="800000"/>
          </a:ln>
        </xdr:spPr>
        <xdr:txBody>
          <a:bodyPr vertOverflow="clip" wrap="square" lIns="36576" tIns="32004" rIns="0" bIns="0" anchor="t" upright="1"/>
          <a:lstStyle/>
          <a:p>
            <a:pPr algn="l" rtl="0">
              <a:defRPr sz="1000"/>
            </a:pPr>
            <a:r>
              <a:rPr lang="en-US" sz="1500" b="1" i="0" u="none" strike="noStrike" baseline="0">
                <a:solidFill>
                  <a:srgbClr val="000000"/>
                </a:solidFill>
                <a:latin typeface="Calibri" panose="020F0502020204030204"/>
              </a:rPr>
              <a:t>Easy</a:t>
            </a:r>
            <a:endParaRPr lang="en-US" sz="1500" b="1" i="0" u="none" strike="noStrike" baseline="0">
              <a:solidFill>
                <a:srgbClr val="000000"/>
              </a:solidFill>
              <a:latin typeface="Calibri" panose="020F0502020204030204"/>
            </a:endParaRPr>
          </a:p>
        </xdr:txBody>
      </xdr:sp>
      <xdr:sp>
        <xdr:nvSpPr>
          <xdr:cNvPr id="23" name="Line 32"/>
          <xdr:cNvSpPr>
            <a:spLocks noChangeShapeType="1"/>
          </xdr:cNvSpPr>
        </xdr:nvSpPr>
        <xdr:spPr>
          <a:xfrm>
            <a:off x="0" y="584"/>
            <a:ext cx="172" cy="0"/>
          </a:xfrm>
          <a:prstGeom prst="line">
            <a:avLst/>
          </a:prstGeom>
          <a:noFill/>
          <a:ln w="28575">
            <a:solidFill>
              <a:srgbClr val="000000"/>
            </a:solidFill>
            <a:round/>
            <a:tailEnd type="oval" w="med" len="med"/>
          </a:ln>
          <a:extLst>
            <a:ext uri="{909E8E84-426E-40DD-AFC4-6F175D3DCCD1}">
              <a14:hiddenFill xmlns:a14="http://schemas.microsoft.com/office/drawing/2010/main">
                <a:noFill/>
              </a14:hiddenFill>
            </a:ext>
          </a:extLst>
        </xdr:spPr>
      </xdr:sp>
    </xdr:grpSp>
    <xdr:clientData/>
  </xdr:twoCellAnchor>
  <xdr:twoCellAnchor editAs="oneCell">
    <xdr:from>
      <xdr:col>1</xdr:col>
      <xdr:colOff>28575</xdr:colOff>
      <xdr:row>214</xdr:row>
      <xdr:rowOff>66675</xdr:rowOff>
    </xdr:from>
    <xdr:to>
      <xdr:col>3</xdr:col>
      <xdr:colOff>352425</xdr:colOff>
      <xdr:row>216</xdr:row>
      <xdr:rowOff>57150</xdr:rowOff>
    </xdr:to>
    <xdr:grpSp>
      <xdr:nvGrpSpPr>
        <xdr:cNvPr id="24" name="Group 33"/>
        <xdr:cNvGrpSpPr/>
      </xdr:nvGrpSpPr>
      <xdr:grpSpPr>
        <a:xfrm>
          <a:off x="175260" y="34507170"/>
          <a:ext cx="1665605" cy="340995"/>
          <a:chOff x="0" y="663"/>
          <a:chExt cx="172" cy="32"/>
        </a:xfrm>
      </xdr:grpSpPr>
      <xdr:sp>
        <xdr:nvSpPr>
          <xdr:cNvPr id="25" name="Oval 34"/>
          <xdr:cNvSpPr>
            <a:spLocks noChangeArrowheads="1"/>
          </xdr:cNvSpPr>
        </xdr:nvSpPr>
        <xdr:spPr>
          <a:xfrm>
            <a:off x="6" y="666"/>
            <a:ext cx="22" cy="22"/>
          </a:xfrm>
          <a:prstGeom prst="ellipse">
            <a:avLst/>
          </a:prstGeom>
          <a:solidFill>
            <a:srgbClr val="0000D4"/>
          </a:solidFill>
          <a:ln w="9525">
            <a:solidFill>
              <a:srgbClr val="0000D4"/>
            </a:solidFill>
            <a:round/>
          </a:ln>
        </xdr:spPr>
      </xdr:sp>
      <xdr:sp>
        <xdr:nvSpPr>
          <xdr:cNvPr id="26" name="Text Box 35"/>
          <xdr:cNvSpPr txBox="1">
            <a:spLocks noChangeArrowheads="1"/>
          </xdr:cNvSpPr>
        </xdr:nvSpPr>
        <xdr:spPr>
          <a:xfrm>
            <a:off x="33" y="663"/>
            <a:ext cx="80" cy="28"/>
          </a:xfrm>
          <a:prstGeom prst="rect">
            <a:avLst/>
          </a:prstGeom>
          <a:noFill/>
          <a:ln w="9525">
            <a:noFill/>
            <a:miter lim="800000"/>
          </a:ln>
        </xdr:spPr>
        <xdr:txBody>
          <a:bodyPr vertOverflow="clip" wrap="square" lIns="36576" tIns="32004" rIns="0" bIns="0" anchor="t" upright="1"/>
          <a:lstStyle/>
          <a:p>
            <a:pPr algn="l" rtl="0">
              <a:defRPr sz="1000"/>
            </a:pPr>
            <a:r>
              <a:rPr lang="en-US" sz="1500" b="1" i="0" u="none" strike="noStrike" baseline="0">
                <a:solidFill>
                  <a:srgbClr val="000000"/>
                </a:solidFill>
                <a:latin typeface="Calibri" panose="020F0502020204030204"/>
              </a:rPr>
              <a:t>Medium</a:t>
            </a:r>
            <a:endParaRPr lang="en-US" sz="1500" b="1" i="0" u="none" strike="noStrike" baseline="0">
              <a:solidFill>
                <a:srgbClr val="000000"/>
              </a:solidFill>
              <a:latin typeface="Calibri" panose="020F0502020204030204"/>
            </a:endParaRPr>
          </a:p>
        </xdr:txBody>
      </xdr:sp>
      <xdr:sp>
        <xdr:nvSpPr>
          <xdr:cNvPr id="27" name="Line 36"/>
          <xdr:cNvSpPr>
            <a:spLocks noChangeShapeType="1"/>
          </xdr:cNvSpPr>
        </xdr:nvSpPr>
        <xdr:spPr>
          <a:xfrm>
            <a:off x="0" y="695"/>
            <a:ext cx="172" cy="0"/>
          </a:xfrm>
          <a:prstGeom prst="line">
            <a:avLst/>
          </a:prstGeom>
          <a:noFill/>
          <a:ln w="28575">
            <a:solidFill>
              <a:srgbClr val="000000"/>
            </a:solidFill>
            <a:round/>
            <a:tailEnd type="oval" w="med" len="med"/>
          </a:ln>
          <a:extLst>
            <a:ext uri="{909E8E84-426E-40DD-AFC4-6F175D3DCCD1}">
              <a14:hiddenFill xmlns:a14="http://schemas.microsoft.com/office/drawing/2010/main">
                <a:noFill/>
              </a14:hiddenFill>
            </a:ext>
          </a:extLst>
        </xdr:spPr>
      </xdr:sp>
    </xdr:grpSp>
    <xdr:clientData/>
  </xdr:twoCellAnchor>
  <xdr:twoCellAnchor>
    <xdr:from>
      <xdr:col>1</xdr:col>
      <xdr:colOff>57150</xdr:colOff>
      <xdr:row>234</xdr:row>
      <xdr:rowOff>133350</xdr:rowOff>
    </xdr:from>
    <xdr:to>
      <xdr:col>3</xdr:col>
      <xdr:colOff>361950</xdr:colOff>
      <xdr:row>237</xdr:row>
      <xdr:rowOff>85725</xdr:rowOff>
    </xdr:to>
    <xdr:grpSp>
      <xdr:nvGrpSpPr>
        <xdr:cNvPr id="28" name="Group 37"/>
        <xdr:cNvGrpSpPr/>
      </xdr:nvGrpSpPr>
      <xdr:grpSpPr>
        <a:xfrm>
          <a:off x="203835" y="38117145"/>
          <a:ext cx="1646555" cy="478155"/>
          <a:chOff x="15" y="1109"/>
          <a:chExt cx="212" cy="46"/>
        </a:xfrm>
      </xdr:grpSpPr>
      <xdr:sp>
        <xdr:nvSpPr>
          <xdr:cNvPr id="29" name="AutoShape 38"/>
          <xdr:cNvSpPr>
            <a:spLocks noChangeArrowheads="1"/>
          </xdr:cNvSpPr>
        </xdr:nvSpPr>
        <xdr:spPr>
          <a:xfrm>
            <a:off x="21" y="1109"/>
            <a:ext cx="22" cy="41"/>
          </a:xfrm>
          <a:prstGeom prst="diamond">
            <a:avLst/>
          </a:prstGeom>
          <a:solidFill>
            <a:srgbClr val="000000"/>
          </a:solidFill>
          <a:ln w="9525">
            <a:solidFill>
              <a:srgbClr val="000000"/>
            </a:solidFill>
            <a:miter lim="800000"/>
          </a:ln>
        </xdr:spPr>
      </xdr:sp>
      <xdr:sp>
        <xdr:nvSpPr>
          <xdr:cNvPr id="30" name="Text Box 39"/>
          <xdr:cNvSpPr txBox="1">
            <a:spLocks noChangeArrowheads="1"/>
          </xdr:cNvSpPr>
        </xdr:nvSpPr>
        <xdr:spPr>
          <a:xfrm>
            <a:off x="51" y="1119"/>
            <a:ext cx="99" cy="27"/>
          </a:xfrm>
          <a:prstGeom prst="rect">
            <a:avLst/>
          </a:prstGeom>
          <a:noFill/>
          <a:ln w="9525">
            <a:noFill/>
            <a:miter lim="800000"/>
          </a:ln>
        </xdr:spPr>
        <xdr:txBody>
          <a:bodyPr vertOverflow="clip" wrap="square" lIns="36576" tIns="32004" rIns="0" bIns="0" anchor="t" upright="1"/>
          <a:lstStyle/>
          <a:p>
            <a:pPr algn="l" rtl="0">
              <a:defRPr sz="1000"/>
            </a:pPr>
            <a:r>
              <a:rPr lang="en-US" sz="1500" b="1" i="0" u="none" strike="noStrike" baseline="0">
                <a:solidFill>
                  <a:srgbClr val="000000"/>
                </a:solidFill>
                <a:latin typeface="Calibri" panose="020F0502020204030204"/>
              </a:rPr>
              <a:t>Hard</a:t>
            </a:r>
            <a:endParaRPr lang="en-US" sz="1500" b="1" i="0" u="none" strike="noStrike" baseline="0">
              <a:solidFill>
                <a:srgbClr val="000000"/>
              </a:solidFill>
              <a:latin typeface="Calibri" panose="020F0502020204030204"/>
            </a:endParaRPr>
          </a:p>
        </xdr:txBody>
      </xdr:sp>
      <xdr:sp>
        <xdr:nvSpPr>
          <xdr:cNvPr id="31" name="Line 40"/>
          <xdr:cNvSpPr>
            <a:spLocks noChangeShapeType="1"/>
          </xdr:cNvSpPr>
        </xdr:nvSpPr>
        <xdr:spPr>
          <a:xfrm>
            <a:off x="15" y="1155"/>
            <a:ext cx="212" cy="0"/>
          </a:xfrm>
          <a:prstGeom prst="line">
            <a:avLst/>
          </a:prstGeom>
          <a:noFill/>
          <a:ln w="28575">
            <a:solidFill>
              <a:srgbClr val="000000"/>
            </a:solidFill>
            <a:round/>
            <a:tailEnd type="oval" w="med" len="med"/>
          </a:ln>
          <a:extLst>
            <a:ext uri="{909E8E84-426E-40DD-AFC4-6F175D3DCCD1}">
              <a14:hiddenFill xmlns:a14="http://schemas.microsoft.com/office/drawing/2010/main">
                <a:noFill/>
              </a14:hiddenFill>
            </a:ext>
          </a:extLst>
        </xdr:spPr>
      </xdr:sp>
    </xdr:grpSp>
    <xdr:clientData/>
  </xdr:twoCellAnchor>
  <mc:AlternateContent xmlns:mc="http://schemas.openxmlformats.org/markup-compatibility/2006">
    <mc:Choice xmlns:a14="http://schemas.microsoft.com/office/drawing/2010/main" Requires="a14">
      <xdr:twoCellAnchor>
        <xdr:from>
          <xdr:col>0</xdr:col>
          <xdr:colOff>19050</xdr:colOff>
          <xdr:row>55</xdr:row>
          <xdr:rowOff>66675</xdr:rowOff>
        </xdr:from>
        <xdr:to>
          <xdr:col>1</xdr:col>
          <xdr:colOff>9525</xdr:colOff>
          <xdr:row>56</xdr:row>
          <xdr:rowOff>95250</xdr:rowOff>
        </xdr:to>
        <xdr:sp macro="[3]!jumpup">
          <xdr:nvSpPr>
            <xdr:cNvPr id="1025" name="Button 1" hidden="1">
              <a:extLst>
                <a:ext uri="{63B3BB69-23CF-44E3-9099-C40C66FF867C}">
                  <a14:compatExt spid="_x0000_s1025"/>
                </a:ext>
              </a:extLst>
            </xdr:cNvPr>
            <xdr:cNvSpPr/>
          </xdr:nvSpPr>
          <xdr:spPr>
            <a:xfrm>
              <a:off x="19050" y="6322695"/>
              <a:ext cx="137160" cy="203835"/>
            </a:xfrm>
            <a:prstGeom prst="rect">
              <a:avLst/>
            </a:prstGeom>
          </xdr:spPr>
          <xdr:txBody>
            <a:bodyPr vertOverflow="clip" wrap="square" lIns="27432" tIns="22860" rIns="0" bIns="0" anchor="t" upright="1"/>
            <a:lstStyle/>
            <a:p>
              <a:pPr algn="l" rtl="0">
                <a:defRPr sz="1000"/>
              </a:pPr>
              <a:r>
                <a:rPr lang="en-US" sz="1000" b="1" i="0" u="none" strike="noStrike" baseline="0">
                  <a:solidFill>
                    <a:srgbClr val="000000"/>
                  </a:solidFill>
                  <a:latin typeface="Calibri" panose="020F0502020204030204"/>
                  <a:cs typeface="Calibri" panose="020F0502020204030204"/>
                </a:rPr>
                <a:t>↑</a:t>
              </a:r>
              <a:endParaRPr lang="en-US" sz="1000" b="1" i="0" u="none" strike="noStrike" baseline="0">
                <a:solidFill>
                  <a:srgbClr val="000000"/>
                </a:solidFill>
                <a:latin typeface="Calibri" panose="020F0502020204030204"/>
                <a:cs typeface="Calibri" panose="020F0502020204030204"/>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19050</xdr:colOff>
          <xdr:row>90</xdr:row>
          <xdr:rowOff>66675</xdr:rowOff>
        </xdr:from>
        <xdr:to>
          <xdr:col>1</xdr:col>
          <xdr:colOff>9525</xdr:colOff>
          <xdr:row>91</xdr:row>
          <xdr:rowOff>95250</xdr:rowOff>
        </xdr:to>
        <xdr:sp macro="[3]!jumpup">
          <xdr:nvSpPr>
            <xdr:cNvPr id="1026" name="Button 2" hidden="1">
              <a:extLst>
                <a:ext uri="{63B3BB69-23CF-44E3-9099-C40C66FF867C}">
                  <a14:compatExt spid="_x0000_s1026"/>
                </a:ext>
              </a:extLst>
            </xdr:cNvPr>
            <xdr:cNvSpPr/>
          </xdr:nvSpPr>
          <xdr:spPr>
            <a:xfrm>
              <a:off x="19050" y="12569190"/>
              <a:ext cx="137160" cy="203835"/>
            </a:xfrm>
            <a:prstGeom prst="rect">
              <a:avLst/>
            </a:prstGeom>
          </xdr:spPr>
          <xdr:txBody>
            <a:bodyPr vertOverflow="clip" wrap="square" lIns="27432" tIns="22860" rIns="0" bIns="0" anchor="t" upright="1"/>
            <a:lstStyle/>
            <a:p>
              <a:pPr algn="l" rtl="0">
                <a:defRPr sz="1000"/>
              </a:pPr>
              <a:r>
                <a:rPr lang="en-US" sz="1000" b="1" i="0" u="none" strike="noStrike" baseline="0">
                  <a:solidFill>
                    <a:srgbClr val="000000"/>
                  </a:solidFill>
                  <a:latin typeface="Calibri" panose="020F0502020204030204"/>
                  <a:cs typeface="Calibri" panose="020F0502020204030204"/>
                </a:rPr>
                <a:t>↑</a:t>
              </a:r>
              <a:endParaRPr lang="en-US" sz="1000" b="1" i="0" u="none" strike="noStrike" baseline="0">
                <a:solidFill>
                  <a:srgbClr val="000000"/>
                </a:solidFill>
                <a:latin typeface="Calibri" panose="020F0502020204030204"/>
                <a:cs typeface="Calibri" panose="020F0502020204030204"/>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19050</xdr:colOff>
          <xdr:row>117</xdr:row>
          <xdr:rowOff>66675</xdr:rowOff>
        </xdr:from>
        <xdr:to>
          <xdr:col>1</xdr:col>
          <xdr:colOff>9525</xdr:colOff>
          <xdr:row>118</xdr:row>
          <xdr:rowOff>95250</xdr:rowOff>
        </xdr:to>
        <xdr:sp macro="[3]!jumpup">
          <xdr:nvSpPr>
            <xdr:cNvPr id="1027" name="Button 3" hidden="1">
              <a:extLst>
                <a:ext uri="{63B3BB69-23CF-44E3-9099-C40C66FF867C}">
                  <a14:compatExt spid="_x0000_s1027"/>
                </a:ext>
              </a:extLst>
            </xdr:cNvPr>
            <xdr:cNvSpPr/>
          </xdr:nvSpPr>
          <xdr:spPr>
            <a:xfrm>
              <a:off x="19050" y="17346930"/>
              <a:ext cx="137160" cy="203835"/>
            </a:xfrm>
            <a:prstGeom prst="rect">
              <a:avLst/>
            </a:prstGeom>
          </xdr:spPr>
          <xdr:txBody>
            <a:bodyPr vertOverflow="clip" wrap="square" lIns="27432" tIns="22860" rIns="0" bIns="0" anchor="t" upright="1"/>
            <a:lstStyle/>
            <a:p>
              <a:pPr algn="l" rtl="0">
                <a:defRPr sz="1000"/>
              </a:pPr>
              <a:r>
                <a:rPr lang="en-US" sz="1000" b="1" i="0" u="none" strike="noStrike" baseline="0">
                  <a:solidFill>
                    <a:srgbClr val="000000"/>
                  </a:solidFill>
                  <a:latin typeface="Calibri" panose="020F0502020204030204"/>
                  <a:cs typeface="Calibri" panose="020F0502020204030204"/>
                </a:rPr>
                <a:t>↑</a:t>
              </a:r>
              <a:endParaRPr lang="en-US" sz="1000" b="1" i="0" u="none" strike="noStrike" baseline="0">
                <a:solidFill>
                  <a:srgbClr val="000000"/>
                </a:solidFill>
                <a:latin typeface="Calibri" panose="020F0502020204030204"/>
                <a:cs typeface="Calibri" panose="020F0502020204030204"/>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138</xdr:row>
          <xdr:rowOff>114300</xdr:rowOff>
        </xdr:from>
        <xdr:to>
          <xdr:col>0</xdr:col>
          <xdr:colOff>133350</xdr:colOff>
          <xdr:row>139</xdr:row>
          <xdr:rowOff>152400</xdr:rowOff>
        </xdr:to>
        <xdr:sp macro="[3]!jumpup">
          <xdr:nvSpPr>
            <xdr:cNvPr id="1028" name="Button 4" hidden="1">
              <a:extLst>
                <a:ext uri="{63B3BB69-23CF-44E3-9099-C40C66FF867C}">
                  <a14:compatExt spid="_x0000_s1028"/>
                </a:ext>
              </a:extLst>
            </xdr:cNvPr>
            <xdr:cNvSpPr/>
          </xdr:nvSpPr>
          <xdr:spPr>
            <a:xfrm>
              <a:off x="0" y="21113115"/>
              <a:ext cx="133350" cy="213360"/>
            </a:xfrm>
            <a:prstGeom prst="rect">
              <a:avLst/>
            </a:prstGeom>
          </xdr:spPr>
          <xdr:txBody>
            <a:bodyPr vertOverflow="clip" wrap="square" lIns="27432" tIns="22860" rIns="0" bIns="0" anchor="t" upright="1"/>
            <a:lstStyle/>
            <a:p>
              <a:pPr algn="l" rtl="0">
                <a:defRPr sz="1000"/>
              </a:pPr>
              <a:r>
                <a:rPr lang="en-US" sz="1000" b="1" i="0" u="none" strike="noStrike" baseline="0">
                  <a:solidFill>
                    <a:srgbClr val="000000"/>
                  </a:solidFill>
                  <a:latin typeface="Calibri" panose="020F0502020204030204"/>
                  <a:cs typeface="Calibri" panose="020F0502020204030204"/>
                </a:rPr>
                <a:t>↑</a:t>
              </a:r>
              <a:endParaRPr lang="en-US" sz="1000" b="1" i="0" u="none" strike="noStrike" baseline="0">
                <a:solidFill>
                  <a:srgbClr val="000000"/>
                </a:solidFill>
                <a:latin typeface="Calibri" panose="020F0502020204030204"/>
                <a:cs typeface="Calibri" panose="020F0502020204030204"/>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19050</xdr:colOff>
          <xdr:row>170</xdr:row>
          <xdr:rowOff>66675</xdr:rowOff>
        </xdr:from>
        <xdr:to>
          <xdr:col>1</xdr:col>
          <xdr:colOff>9525</xdr:colOff>
          <xdr:row>171</xdr:row>
          <xdr:rowOff>95250</xdr:rowOff>
        </xdr:to>
        <xdr:sp macro="[3]!jumpup">
          <xdr:nvSpPr>
            <xdr:cNvPr id="1029" name="Button 5" hidden="1">
              <a:extLst>
                <a:ext uri="{63B3BB69-23CF-44E3-9099-C40C66FF867C}">
                  <a14:compatExt spid="_x0000_s1029"/>
                </a:ext>
              </a:extLst>
            </xdr:cNvPr>
            <xdr:cNvSpPr/>
          </xdr:nvSpPr>
          <xdr:spPr>
            <a:xfrm>
              <a:off x="19050" y="26734770"/>
              <a:ext cx="137160" cy="203835"/>
            </a:xfrm>
            <a:prstGeom prst="rect">
              <a:avLst/>
            </a:prstGeom>
          </xdr:spPr>
          <xdr:txBody>
            <a:bodyPr vertOverflow="clip" wrap="square" lIns="27432" tIns="22860" rIns="0" bIns="0" anchor="t" upright="1"/>
            <a:lstStyle/>
            <a:p>
              <a:pPr algn="l" rtl="0">
                <a:defRPr sz="1000"/>
              </a:pPr>
              <a:r>
                <a:rPr lang="en-US" sz="1000" b="1" i="0" u="none" strike="noStrike" baseline="0">
                  <a:solidFill>
                    <a:srgbClr val="000000"/>
                  </a:solidFill>
                  <a:latin typeface="Calibri" panose="020F0502020204030204"/>
                  <a:cs typeface="Calibri" panose="020F0502020204030204"/>
                </a:rPr>
                <a:t>↑</a:t>
              </a:r>
              <a:endParaRPr lang="en-US" sz="1000" b="1" i="0" u="none" strike="noStrike" baseline="0">
                <a:solidFill>
                  <a:srgbClr val="000000"/>
                </a:solidFill>
                <a:latin typeface="Calibri" panose="020F0502020204030204"/>
                <a:cs typeface="Calibri" panose="020F0502020204030204"/>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199</xdr:row>
          <xdr:rowOff>123825</xdr:rowOff>
        </xdr:from>
        <xdr:to>
          <xdr:col>0</xdr:col>
          <xdr:colOff>133350</xdr:colOff>
          <xdr:row>201</xdr:row>
          <xdr:rowOff>0</xdr:rowOff>
        </xdr:to>
        <xdr:sp macro="[3]!jumpup">
          <xdr:nvSpPr>
            <xdr:cNvPr id="1030" name="Button 6" hidden="1">
              <a:extLst>
                <a:ext uri="{63B3BB69-23CF-44E3-9099-C40C66FF867C}">
                  <a14:compatExt spid="_x0000_s1030"/>
                </a:ext>
              </a:extLst>
            </xdr:cNvPr>
            <xdr:cNvSpPr/>
          </xdr:nvSpPr>
          <xdr:spPr>
            <a:xfrm>
              <a:off x="0" y="31935420"/>
              <a:ext cx="133350" cy="226695"/>
            </a:xfrm>
            <a:prstGeom prst="rect">
              <a:avLst/>
            </a:prstGeom>
          </xdr:spPr>
          <xdr:txBody>
            <a:bodyPr vertOverflow="clip" wrap="square" lIns="27432" tIns="22860" rIns="0" bIns="0" anchor="t" upright="1"/>
            <a:lstStyle/>
            <a:p>
              <a:pPr algn="l" rtl="0">
                <a:defRPr sz="1000"/>
              </a:pPr>
              <a:r>
                <a:rPr lang="en-US" sz="1000" b="1" i="0" u="none" strike="noStrike" baseline="0">
                  <a:solidFill>
                    <a:srgbClr val="000000"/>
                  </a:solidFill>
                  <a:latin typeface="Calibri" panose="020F0502020204030204"/>
                  <a:cs typeface="Calibri" panose="020F0502020204030204"/>
                </a:rPr>
                <a:t>↑</a:t>
              </a:r>
              <a:endParaRPr lang="en-US" sz="1000" b="1" i="0" u="none" strike="noStrike" baseline="0">
                <a:solidFill>
                  <a:srgbClr val="000000"/>
                </a:solidFill>
                <a:latin typeface="Calibri" panose="020F0502020204030204"/>
                <a:cs typeface="Calibri" panose="020F0502020204030204"/>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19050</xdr:colOff>
          <xdr:row>223</xdr:row>
          <xdr:rowOff>66675</xdr:rowOff>
        </xdr:from>
        <xdr:to>
          <xdr:col>1</xdr:col>
          <xdr:colOff>9525</xdr:colOff>
          <xdr:row>224</xdr:row>
          <xdr:rowOff>95250</xdr:rowOff>
        </xdr:to>
        <xdr:sp macro="[3]!jumpup">
          <xdr:nvSpPr>
            <xdr:cNvPr id="1031" name="Button 7" hidden="1">
              <a:extLst>
                <a:ext uri="{63B3BB69-23CF-44E3-9099-C40C66FF867C}">
                  <a14:compatExt spid="_x0000_s1031"/>
                </a:ext>
              </a:extLst>
            </xdr:cNvPr>
            <xdr:cNvSpPr/>
          </xdr:nvSpPr>
          <xdr:spPr>
            <a:xfrm>
              <a:off x="19050" y="36122610"/>
              <a:ext cx="137160" cy="203835"/>
            </a:xfrm>
            <a:prstGeom prst="rect">
              <a:avLst/>
            </a:prstGeom>
          </xdr:spPr>
          <xdr:txBody>
            <a:bodyPr vertOverflow="clip" wrap="square" lIns="27432" tIns="22860" rIns="0" bIns="0" anchor="t" upright="1"/>
            <a:lstStyle/>
            <a:p>
              <a:pPr algn="l" rtl="0">
                <a:defRPr sz="1000"/>
              </a:pPr>
              <a:r>
                <a:rPr lang="en-US" sz="1000" b="1" i="0" u="none" strike="noStrike" baseline="0">
                  <a:solidFill>
                    <a:srgbClr val="000000"/>
                  </a:solidFill>
                  <a:latin typeface="Calibri" panose="020F0502020204030204"/>
                  <a:cs typeface="Calibri" panose="020F0502020204030204"/>
                </a:rPr>
                <a:t>↑</a:t>
              </a:r>
              <a:endParaRPr lang="en-US" sz="1000" b="1" i="0" u="none" strike="noStrike" baseline="0">
                <a:solidFill>
                  <a:srgbClr val="000000"/>
                </a:solidFill>
                <a:latin typeface="Calibri" panose="020F0502020204030204"/>
                <a:cs typeface="Calibri" panose="020F0502020204030204"/>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0</xdr:colOff>
          <xdr:row>247</xdr:row>
          <xdr:rowOff>0</xdr:rowOff>
        </xdr:from>
        <xdr:to>
          <xdr:col>0</xdr:col>
          <xdr:colOff>133350</xdr:colOff>
          <xdr:row>248</xdr:row>
          <xdr:rowOff>28575</xdr:rowOff>
        </xdr:to>
        <xdr:sp macro="[3]!jumpup">
          <xdr:nvSpPr>
            <xdr:cNvPr id="1032" name="Button 8" hidden="1">
              <a:extLst>
                <a:ext uri="{63B3BB69-23CF-44E3-9099-C40C66FF867C}">
                  <a14:compatExt spid="_x0000_s1032"/>
                </a:ext>
              </a:extLst>
            </xdr:cNvPr>
            <xdr:cNvSpPr/>
          </xdr:nvSpPr>
          <xdr:spPr>
            <a:xfrm>
              <a:off x="0" y="40300275"/>
              <a:ext cx="133350" cy="203835"/>
            </a:xfrm>
            <a:prstGeom prst="rect">
              <a:avLst/>
            </a:prstGeom>
          </xdr:spPr>
          <xdr:txBody>
            <a:bodyPr vertOverflow="clip" wrap="square" lIns="27432" tIns="22860" rIns="0" bIns="0" anchor="t" upright="1"/>
            <a:lstStyle/>
            <a:p>
              <a:pPr algn="l" rtl="0">
                <a:defRPr sz="1000"/>
              </a:pPr>
              <a:r>
                <a:rPr lang="en-US" sz="1000" b="1" i="0" u="none" strike="noStrike" baseline="0">
                  <a:solidFill>
                    <a:srgbClr val="000000"/>
                  </a:solidFill>
                  <a:latin typeface="Calibri" panose="020F0502020204030204"/>
                  <a:cs typeface="Calibri" panose="020F0502020204030204"/>
                </a:rPr>
                <a:t>↑</a:t>
              </a:r>
              <a:endParaRPr lang="en-US" sz="1000" b="1" i="0" u="none" strike="noStrike" baseline="0">
                <a:solidFill>
                  <a:srgbClr val="000000"/>
                </a:solidFill>
                <a:latin typeface="Calibri" panose="020F0502020204030204"/>
                <a:cs typeface="Calibri" panose="020F0502020204030204"/>
              </a:endParaRP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1\ZACHGE~1\LOCALS~1\Temp\Excel%20Tips%20from%20Chris%20G%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Noor\Excel%20-%20Trainings\Advanced%20Excel%202007%20CD%20-%2009-12-2009\What%20if\Samples\Analysi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The%20Aman%20Foundation\Resources\Microsoft%20Excel%20Tutorial\Alhamd%20-%20Excel%20Training%20Course\Excel_Everest_for_Excel_2007_Demo.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2"/>
      <sheetName val="Did you know"/>
      <sheetName val="Fixing Annoyances Full Menus"/>
      <sheetName val="Fixing Annoyances PT Formulas"/>
      <sheetName val="Custom Numeric Formatting"/>
      <sheetName val="Conditional Formatting Tricks"/>
      <sheetName val="Dynamic Ranges"/>
      <sheetName val="Dynamic Ranges and Charts"/>
      <sheetName val="Charts with Custom Symbols"/>
      <sheetName val="Creating Simple UI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uture Value"/>
      <sheetName val="Future Value (Data Table)"/>
      <sheetName val="Future Value (2-Inputs)"/>
      <sheetName val="Trend"/>
      <sheetName val="Iterate"/>
      <sheetName val="Correlation"/>
      <sheetName val="Descriptive"/>
      <sheetName val="Histogram"/>
      <sheetName val="Random (Dice Roll)"/>
      <sheetName val="Rank &amp; Percentile"/>
      <sheetName val="Goal Seek"/>
      <sheetName val="Margin"/>
      <sheetName val="Break Even"/>
      <sheetName val="Equations"/>
      <sheetName val="Chart Goal Seek"/>
      <sheetName val="Break Even (Goal Seek)"/>
      <sheetName val="Break Even (Sol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Welcome"/>
      <sheetName val="Intro"/>
      <sheetName val="TX"/>
      <sheetName val="TXV"/>
      <sheetName val="2007"/>
      <sheetName val="2007V"/>
      <sheetName val="D"/>
      <sheetName val="DV"/>
      <sheetName val="T"/>
      <sheetName val="TV"/>
      <sheetName val="K"/>
      <sheetName val="KV"/>
      <sheetName val="LIB"/>
      <sheetName val="Progress"/>
      <sheetName val="Excel_Everest_for_Excel_2007_De"/>
    </sheetNames>
    <definedNames>
      <definedName name="jumpup"/>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0" Type="http://schemas.openxmlformats.org/officeDocument/2006/relationships/ctrlProp" Target="../ctrlProps/ctrlProp8.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Y250"/>
  <sheetViews>
    <sheetView showGridLines="0" tabSelected="1" zoomScale="85" zoomScaleNormal="85" topLeftCell="A219" workbookViewId="0">
      <selection activeCell="D244" sqref="D244"/>
    </sheetView>
  </sheetViews>
  <sheetFormatPr defaultColWidth="0" defaultRowHeight="13.8" zeroHeight="1"/>
  <cols>
    <col min="1" max="1" width="2.13888888888889" style="2" customWidth="1"/>
    <col min="2" max="2" width="10.4259259259259" style="2" customWidth="1"/>
    <col min="3" max="3" width="9.13888888888889" style="2" customWidth="1"/>
    <col min="4" max="4" width="10.5740740740741" style="2" customWidth="1"/>
    <col min="5" max="5" width="13.4259259259259" style="2" customWidth="1"/>
    <col min="6" max="6" width="9.13888888888889" style="2" customWidth="1"/>
    <col min="7" max="7" width="6.28703703703704" style="2" customWidth="1"/>
    <col min="8" max="8" width="5.42592592592593" style="2" customWidth="1"/>
    <col min="9" max="9" width="9.13888888888889" style="2" customWidth="1"/>
    <col min="10" max="10" width="9.28703703703704" style="2" customWidth="1"/>
    <col min="11" max="11" width="10.4259259259259" style="2" customWidth="1"/>
    <col min="12" max="12" width="9.13888888888889" style="2" customWidth="1"/>
    <col min="13" max="13" width="10.287037037037" style="2" customWidth="1"/>
    <col min="14" max="14" width="13.4259259259259" style="2" customWidth="1"/>
    <col min="15" max="15" width="9.13888888888889" style="2" customWidth="1"/>
    <col min="16" max="16" width="6.28703703703704" style="2" customWidth="1"/>
    <col min="17" max="17" width="5.42592592592593" style="4" customWidth="1"/>
    <col min="18" max="19" width="9.13888888888889" style="2" customWidth="1"/>
    <col min="20" max="20" width="9.42592592592593" style="2" hidden="1" customWidth="1"/>
    <col min="21" max="25" width="0" style="2" hidden="1" customWidth="1"/>
    <col min="26" max="16384" width="9.13888888888889" style="2" hidden="1"/>
  </cols>
  <sheetData>
    <row r="1" s="3" customFormat="1" spans="1:22">
      <c r="A1" s="5"/>
      <c r="N1" s="2"/>
      <c r="O1" s="2"/>
      <c r="P1" s="2"/>
      <c r="Q1" s="4"/>
      <c r="R1" s="2"/>
      <c r="S1" s="2"/>
      <c r="T1" s="2"/>
      <c r="U1" s="2"/>
      <c r="V1" s="2"/>
    </row>
    <row r="2" s="3" customFormat="1" spans="1:20">
      <c r="A2" s="5"/>
      <c r="N2" s="12"/>
      <c r="O2" s="13"/>
      <c r="P2" s="13"/>
      <c r="Q2" s="13"/>
      <c r="R2" s="17"/>
      <c r="S2" s="12"/>
      <c r="T2" s="12"/>
    </row>
    <row r="3" s="3" customFormat="1" spans="1:20">
      <c r="A3" s="5"/>
      <c r="N3" s="12"/>
      <c r="O3" s="13"/>
      <c r="P3" s="13"/>
      <c r="Q3" s="13"/>
      <c r="R3" s="17"/>
      <c r="S3" s="12"/>
      <c r="T3" s="12"/>
    </row>
    <row r="4" s="3" customFormat="1" spans="1:20">
      <c r="A4" s="5"/>
      <c r="N4" s="12"/>
      <c r="O4" s="13"/>
      <c r="P4" s="13"/>
      <c r="Q4" s="13"/>
      <c r="R4" s="17"/>
      <c r="S4" s="12"/>
      <c r="T4" s="12"/>
    </row>
    <row r="5" s="3" customFormat="1" ht="15.6" spans="1:20">
      <c r="A5" s="5"/>
      <c r="N5" s="12"/>
      <c r="O5" s="14"/>
      <c r="P5" s="14"/>
      <c r="Q5" s="14"/>
      <c r="R5" s="14"/>
      <c r="S5" s="12"/>
      <c r="T5" s="12"/>
    </row>
    <row r="6" s="3" customFormat="1" ht="13.2" spans="1:17">
      <c r="A6" s="5"/>
      <c r="Q6" s="18"/>
    </row>
    <row r="7" s="3" customFormat="1" ht="13.2" spans="1:17">
      <c r="A7" s="5"/>
      <c r="C7" s="6"/>
      <c r="Q7" s="18"/>
    </row>
    <row r="8" s="3" customFormat="1" ht="13.2" spans="1:17">
      <c r="A8" s="5"/>
      <c r="Q8" s="18"/>
    </row>
    <row r="9" s="3" customFormat="1" ht="13.2" spans="1:17">
      <c r="A9" s="5"/>
      <c r="Q9" s="18"/>
    </row>
    <row r="10" s="3" customFormat="1" ht="13.2" hidden="1" spans="1:17">
      <c r="A10" s="5"/>
      <c r="Q10" s="18"/>
    </row>
    <row r="11" s="3" customFormat="1" ht="13.2" hidden="1" spans="1:17">
      <c r="A11" s="5"/>
      <c r="Q11" s="18"/>
    </row>
    <row r="12" s="3" customFormat="1" ht="13.2" hidden="1" spans="1:17">
      <c r="A12" s="5"/>
      <c r="Q12" s="18"/>
    </row>
    <row r="13" s="3" customFormat="1" hidden="1" spans="1:18">
      <c r="A13" s="5"/>
      <c r="O13" s="2"/>
      <c r="P13" s="2"/>
      <c r="Q13" s="18"/>
      <c r="R13" s="2"/>
    </row>
    <row r="14" s="3" customFormat="1" hidden="1" spans="1:18">
      <c r="A14" s="5"/>
      <c r="P14" s="2"/>
      <c r="Q14" s="18"/>
      <c r="R14" s="2"/>
    </row>
    <row r="15" s="3" customFormat="1" hidden="1" spans="1:18">
      <c r="A15" s="5"/>
      <c r="O15" s="2"/>
      <c r="P15" s="2"/>
      <c r="Q15" s="18"/>
      <c r="R15" s="2"/>
    </row>
    <row r="16" s="3" customFormat="1" hidden="1" spans="1:18">
      <c r="A16" s="5"/>
      <c r="Q16" s="18"/>
      <c r="R16" s="2"/>
    </row>
    <row r="17" s="3" customFormat="1" hidden="1" spans="1:18">
      <c r="A17" s="5"/>
      <c r="P17" s="2"/>
      <c r="Q17" s="18"/>
      <c r="R17" s="2"/>
    </row>
    <row r="18" s="3" customFormat="1" hidden="1" spans="1:18">
      <c r="A18" s="5"/>
      <c r="Q18" s="18"/>
      <c r="R18" s="2"/>
    </row>
    <row r="19" s="3" customFormat="1" hidden="1" spans="1:18">
      <c r="A19" s="5"/>
      <c r="Q19" s="18"/>
      <c r="R19" s="2"/>
    </row>
    <row r="20" s="3" customFormat="1" ht="13.2" hidden="1" spans="1:17">
      <c r="A20" s="5"/>
      <c r="Q20" s="18"/>
    </row>
    <row r="21" s="3" customFormat="1" ht="13.2" hidden="1" spans="1:17">
      <c r="A21" s="7"/>
      <c r="Q21" s="18"/>
    </row>
    <row r="22" s="3" customFormat="1" ht="13.2" hidden="1" spans="1:17">
      <c r="A22" s="7"/>
      <c r="Q22" s="18"/>
    </row>
    <row r="23" s="3" customFormat="1" ht="13.2" hidden="1" spans="1:17">
      <c r="A23" s="7"/>
      <c r="Q23" s="18"/>
    </row>
    <row r="24" s="3" customFormat="1" ht="13.2" hidden="1" spans="1:17">
      <c r="A24" s="7"/>
      <c r="Q24" s="18"/>
    </row>
    <row r="25" s="3" customFormat="1" ht="13.2" hidden="1" spans="1:17">
      <c r="A25" s="7"/>
      <c r="Q25" s="18"/>
    </row>
    <row r="26" s="3" customFormat="1" ht="13.2" hidden="1" spans="1:17">
      <c r="A26" s="7"/>
      <c r="Q26" s="18"/>
    </row>
    <row r="27" s="3" customFormat="1" ht="13.2" hidden="1" spans="1:17">
      <c r="A27" s="7"/>
      <c r="Q27" s="18"/>
    </row>
    <row r="28" s="3" customFormat="1" ht="13.2" hidden="1" spans="1:17">
      <c r="A28" s="7"/>
      <c r="Q28" s="18"/>
    </row>
    <row r="29" s="3" customFormat="1" ht="13.2" spans="1:17">
      <c r="A29" s="7"/>
      <c r="Q29" s="18"/>
    </row>
    <row r="30" s="3" customFormat="1" ht="13.2" spans="1:17">
      <c r="A30" s="7"/>
      <c r="Q30" s="18"/>
    </row>
    <row r="31" s="3" customFormat="1" ht="13.2" spans="1:17">
      <c r="A31" s="7"/>
      <c r="Q31" s="18"/>
    </row>
    <row r="32" s="3" customFormat="1" ht="13.2" spans="1:17">
      <c r="A32" s="7"/>
      <c r="Q32" s="18"/>
    </row>
    <row r="33" s="3" customFormat="1" ht="13.2" spans="1:17">
      <c r="A33" s="7"/>
      <c r="Q33" s="18"/>
    </row>
    <row r="34" s="3" customFormat="1" ht="13.2" spans="1:17">
      <c r="A34" s="7"/>
      <c r="Q34" s="18"/>
    </row>
    <row r="35" s="3" customFormat="1" ht="13.2" spans="1:17">
      <c r="A35" s="7"/>
      <c r="Q35" s="18"/>
    </row>
    <row r="36" s="3" customFormat="1" ht="13.2" spans="1:17">
      <c r="A36" s="7"/>
      <c r="Q36" s="18"/>
    </row>
    <row r="37" s="3" customFormat="1" ht="13.2" spans="1:17">
      <c r="A37" s="7"/>
      <c r="Q37" s="18"/>
    </row>
    <row r="38" s="3" customFormat="1" spans="1:25">
      <c r="A38" s="7"/>
      <c r="Q38" s="18"/>
      <c r="Y38" s="2"/>
    </row>
    <row r="39" s="3" customFormat="1" ht="13.2" spans="1:17">
      <c r="A39" s="7"/>
      <c r="Q39" s="18"/>
    </row>
    <row r="40" spans="1:1">
      <c r="A40" s="8"/>
    </row>
    <row r="41" spans="1:1">
      <c r="A41" s="8"/>
    </row>
    <row r="42" spans="1:1">
      <c r="A42" s="8"/>
    </row>
    <row r="43" spans="1:1">
      <c r="A43" s="8"/>
    </row>
    <row r="44" spans="1:1">
      <c r="A44" s="8"/>
    </row>
    <row r="45" spans="1:1">
      <c r="A45" s="8"/>
    </row>
    <row r="46" spans="1:1">
      <c r="A46" s="8"/>
    </row>
    <row r="47" ht="15.6" spans="1:2">
      <c r="A47" s="8"/>
      <c r="B47" s="9" t="s">
        <v>0</v>
      </c>
    </row>
    <row r="48" ht="14.4" spans="1:2">
      <c r="A48" s="8"/>
      <c r="B48" s="10" t="s">
        <v>1</v>
      </c>
    </row>
    <row r="49" spans="1:1">
      <c r="A49" s="8"/>
    </row>
    <row r="50" spans="1:1">
      <c r="A50" s="8"/>
    </row>
    <row r="51" spans="1:10">
      <c r="A51" s="8"/>
      <c r="C51" s="1" t="s">
        <v>2</v>
      </c>
      <c r="D51" s="1" t="s">
        <v>3</v>
      </c>
      <c r="E51" s="1" t="s">
        <v>4</v>
      </c>
      <c r="F51" s="1" t="s">
        <v>5</v>
      </c>
      <c r="J51" s="8" t="str">
        <f>IF(J53&amp;J54&amp;J55&amp;J56&amp;J59="GOOD!GOOD!GOOD!GOOD!GOOD!","TRUE","FALSE")</f>
        <v>TRUE</v>
      </c>
    </row>
    <row r="52" spans="1:11">
      <c r="A52" s="8"/>
      <c r="C52" s="2" t="s">
        <v>6</v>
      </c>
      <c r="D52" s="2" t="s">
        <v>7</v>
      </c>
      <c r="E52" s="2" t="s">
        <v>8</v>
      </c>
      <c r="F52" s="11" t="str">
        <f>C52&amp;D52&amp;E52</f>
        <v>OneTwoThree</v>
      </c>
      <c r="G52" s="11"/>
      <c r="H52" s="11"/>
      <c r="I52" s="11"/>
      <c r="J52" s="15" t="str">
        <f>IF(F52=C52&amp;D52&amp;E52,"GOOD!","")</f>
        <v>GOOD!</v>
      </c>
      <c r="K52" s="16" t="str">
        <f>IF(J52="GOOD!","",IF(F52="","","Try Again"))</f>
        <v/>
      </c>
    </row>
    <row r="53" spans="1:11">
      <c r="A53" s="8"/>
      <c r="C53" s="2" t="s">
        <v>8</v>
      </c>
      <c r="D53" s="2" t="s">
        <v>9</v>
      </c>
      <c r="E53" s="2" t="s">
        <v>10</v>
      </c>
      <c r="F53" s="11" t="str">
        <f t="shared" ref="F53:F60" si="0">C53&amp;D53&amp;E53</f>
        <v>ThreeFourFive</v>
      </c>
      <c r="G53" s="11"/>
      <c r="H53" s="11"/>
      <c r="I53" s="11"/>
      <c r="J53" s="15" t="str">
        <f>IF(F53=C53&amp;D53&amp;E53,"GOOD!","")</f>
        <v>GOOD!</v>
      </c>
      <c r="K53" s="16" t="str">
        <f t="shared" ref="K53:K60" si="1">IF(J53="GOOD!","",IF(F53="","","Try Again"))</f>
        <v/>
      </c>
    </row>
    <row r="54" spans="1:11">
      <c r="A54" s="8"/>
      <c r="C54" s="2" t="s">
        <v>11</v>
      </c>
      <c r="D54" s="2" t="s">
        <v>12</v>
      </c>
      <c r="E54" s="2" t="s">
        <v>13</v>
      </c>
      <c r="F54" s="11" t="str">
        <f t="shared" si="0"/>
        <v>RedYellowOrange</v>
      </c>
      <c r="G54" s="11"/>
      <c r="H54" s="11"/>
      <c r="I54" s="11"/>
      <c r="J54" s="15" t="str">
        <f t="shared" ref="J54:J60" si="2">IF(F54=C54&amp;D54&amp;E54,"GOOD!","")</f>
        <v>GOOD!</v>
      </c>
      <c r="K54" s="16" t="str">
        <f t="shared" si="1"/>
        <v/>
      </c>
    </row>
    <row r="55" spans="1:11">
      <c r="A55" s="8"/>
      <c r="C55" s="2" t="s">
        <v>14</v>
      </c>
      <c r="D55" s="2" t="s">
        <v>15</v>
      </c>
      <c r="E55" s="2" t="s">
        <v>16</v>
      </c>
      <c r="F55" s="11" t="str">
        <f t="shared" si="0"/>
        <v>HotCrossedBuns</v>
      </c>
      <c r="G55" s="11"/>
      <c r="H55" s="11"/>
      <c r="I55" s="11"/>
      <c r="J55" s="15" t="str">
        <f t="shared" si="2"/>
        <v>GOOD!</v>
      </c>
      <c r="K55" s="16" t="str">
        <f t="shared" si="1"/>
        <v/>
      </c>
    </row>
    <row r="56" spans="1:11">
      <c r="A56" s="8"/>
      <c r="C56" s="2" t="s">
        <v>17</v>
      </c>
      <c r="D56" s="2" t="s">
        <v>18</v>
      </c>
      <c r="E56" s="2" t="s">
        <v>19</v>
      </c>
      <c r="F56" s="11" t="str">
        <f t="shared" si="0"/>
        <v>EtchASketch</v>
      </c>
      <c r="G56" s="11"/>
      <c r="H56" s="11"/>
      <c r="I56" s="11"/>
      <c r="J56" s="15" t="str">
        <f t="shared" si="2"/>
        <v>GOOD!</v>
      </c>
      <c r="K56" s="16" t="str">
        <f t="shared" si="1"/>
        <v/>
      </c>
    </row>
    <row r="57" spans="1:11">
      <c r="A57" s="8"/>
      <c r="C57" s="2" t="s">
        <v>20</v>
      </c>
      <c r="D57" s="2" t="s">
        <v>21</v>
      </c>
      <c r="E57" s="2" t="s">
        <v>22</v>
      </c>
      <c r="F57" s="11" t="str">
        <f t="shared" si="0"/>
        <v>FliptheBurger</v>
      </c>
      <c r="G57" s="11"/>
      <c r="H57" s="11"/>
      <c r="I57" s="11"/>
      <c r="J57" s="15" t="str">
        <f t="shared" si="2"/>
        <v>GOOD!</v>
      </c>
      <c r="K57" s="16" t="str">
        <f t="shared" si="1"/>
        <v/>
      </c>
    </row>
    <row r="58" spans="1:11">
      <c r="A58" s="8"/>
      <c r="C58" s="2" t="s">
        <v>23</v>
      </c>
      <c r="D58" s="2" t="s">
        <v>24</v>
      </c>
      <c r="E58" s="2" t="s">
        <v>25</v>
      </c>
      <c r="F58" s="11" t="str">
        <f t="shared" si="0"/>
        <v>UpAndDown</v>
      </c>
      <c r="G58" s="11"/>
      <c r="H58" s="11"/>
      <c r="I58" s="11"/>
      <c r="J58" s="15" t="str">
        <f t="shared" si="2"/>
        <v>GOOD!</v>
      </c>
      <c r="K58" s="16" t="str">
        <f t="shared" si="1"/>
        <v/>
      </c>
    </row>
    <row r="59" spans="1:11">
      <c r="A59" s="8"/>
      <c r="C59" s="2" t="s">
        <v>26</v>
      </c>
      <c r="D59" s="2" t="s">
        <v>24</v>
      </c>
      <c r="E59" s="2" t="s">
        <v>27</v>
      </c>
      <c r="F59" s="11" t="str">
        <f t="shared" si="0"/>
        <v>LeftAndRight</v>
      </c>
      <c r="G59" s="11"/>
      <c r="H59" s="11"/>
      <c r="I59" s="11"/>
      <c r="J59" s="15" t="str">
        <f t="shared" si="2"/>
        <v>GOOD!</v>
      </c>
      <c r="K59" s="16" t="str">
        <f t="shared" si="1"/>
        <v/>
      </c>
    </row>
    <row r="60" spans="1:11">
      <c r="A60" s="8"/>
      <c r="C60" s="2" t="s">
        <v>28</v>
      </c>
      <c r="D60" s="2" t="s">
        <v>29</v>
      </c>
      <c r="E60" s="2" t="s">
        <v>30</v>
      </c>
      <c r="F60" s="11" t="str">
        <f t="shared" si="0"/>
        <v>NorththenSouth</v>
      </c>
      <c r="G60" s="11"/>
      <c r="H60" s="11"/>
      <c r="I60" s="11"/>
      <c r="J60" s="15" t="str">
        <f t="shared" si="2"/>
        <v>GOOD!</v>
      </c>
      <c r="K60" s="16" t="str">
        <f t="shared" si="1"/>
        <v/>
      </c>
    </row>
    <row r="61" spans="1:1">
      <c r="A61" s="8" t="s">
        <v>31</v>
      </c>
    </row>
    <row r="62" spans="1:1">
      <c r="A62" s="8"/>
    </row>
    <row r="63" spans="1:1">
      <c r="A63" s="8"/>
    </row>
    <row r="64" spans="1:1">
      <c r="A64" s="8"/>
    </row>
    <row r="65" ht="15.6" spans="1:2">
      <c r="A65" s="8"/>
      <c r="B65" s="9" t="s">
        <v>32</v>
      </c>
    </row>
    <row r="66" ht="14.4" spans="1:2">
      <c r="A66" s="8"/>
      <c r="B66" s="10" t="s">
        <v>33</v>
      </c>
    </row>
    <row r="67" ht="14.4" spans="1:2">
      <c r="A67" s="8"/>
      <c r="B67" s="10" t="s">
        <v>34</v>
      </c>
    </row>
    <row r="68" ht="17.25" customHeight="1" spans="1:11">
      <c r="A68" s="8"/>
      <c r="B68" s="10" t="s">
        <v>35</v>
      </c>
      <c r="K68" s="29" t="s">
        <v>36</v>
      </c>
    </row>
    <row r="69" spans="1:1">
      <c r="A69" s="8"/>
    </row>
    <row r="70" spans="1:17">
      <c r="A70" s="8"/>
      <c r="C70" s="1" t="s">
        <v>37</v>
      </c>
      <c r="D70" s="1" t="s">
        <v>38</v>
      </c>
      <c r="E70" s="1" t="s">
        <v>39</v>
      </c>
      <c r="I70" s="8" t="str">
        <f>IF(I72&amp;I73&amp;I74&amp;I75&amp;I78="GOOD!GOOD!GOOD!GOOD!GOOD!","TRUE","FALSE")</f>
        <v>TRUE</v>
      </c>
      <c r="Q70" s="22" t="s">
        <v>40</v>
      </c>
    </row>
    <row r="71" spans="1:10">
      <c r="A71" s="8"/>
      <c r="C71" s="2" t="s">
        <v>41</v>
      </c>
      <c r="D71" s="2" t="s">
        <v>42</v>
      </c>
      <c r="E71" s="11" t="str">
        <f>C71&amp;" "&amp;D71</f>
        <v>John Smith</v>
      </c>
      <c r="F71" s="11"/>
      <c r="G71" s="11"/>
      <c r="H71" s="11"/>
      <c r="I71" s="15" t="str">
        <f t="shared" ref="I71:I79" si="3">IF(E71=C71&amp;" "&amp;D71,"GOOD!","")</f>
        <v>GOOD!</v>
      </c>
      <c r="J71" s="16" t="str">
        <f>IF(I71="GOOD!","",IF(E71="","","Try Again"))</f>
        <v/>
      </c>
    </row>
    <row r="72" spans="1:10">
      <c r="A72" s="8"/>
      <c r="C72" s="2" t="s">
        <v>43</v>
      </c>
      <c r="D72" s="2" t="s">
        <v>44</v>
      </c>
      <c r="E72" s="11" t="str">
        <f t="shared" ref="E72:E79" si="4">C72&amp;" "&amp;D72</f>
        <v>Michael Moore</v>
      </c>
      <c r="F72" s="11"/>
      <c r="G72" s="11"/>
      <c r="H72" s="11"/>
      <c r="I72" s="15" t="str">
        <f t="shared" si="3"/>
        <v>GOOD!</v>
      </c>
      <c r="J72" s="16" t="str">
        <f t="shared" ref="J72:J79" si="5">IF(I72="GOOD!","",IF(E72="","","Try Again"))</f>
        <v/>
      </c>
    </row>
    <row r="73" spans="1:10">
      <c r="A73" s="8"/>
      <c r="C73" s="2" t="s">
        <v>45</v>
      </c>
      <c r="D73" s="2" t="s">
        <v>46</v>
      </c>
      <c r="E73" s="11" t="str">
        <f t="shared" si="4"/>
        <v>William Burgers</v>
      </c>
      <c r="F73" s="11"/>
      <c r="G73" s="11"/>
      <c r="H73" s="11"/>
      <c r="I73" s="15" t="str">
        <f t="shared" si="3"/>
        <v>GOOD!</v>
      </c>
      <c r="J73" s="16" t="str">
        <f t="shared" si="5"/>
        <v/>
      </c>
    </row>
    <row r="74" spans="1:10">
      <c r="A74" s="8"/>
      <c r="C74" s="2" t="s">
        <v>47</v>
      </c>
      <c r="D74" s="2" t="s">
        <v>48</v>
      </c>
      <c r="E74" s="11" t="str">
        <f t="shared" si="4"/>
        <v>Nick Frist</v>
      </c>
      <c r="F74" s="11"/>
      <c r="G74" s="11"/>
      <c r="H74" s="11"/>
      <c r="I74" s="15" t="str">
        <f t="shared" si="3"/>
        <v>GOOD!</v>
      </c>
      <c r="J74" s="16" t="str">
        <f t="shared" si="5"/>
        <v/>
      </c>
    </row>
    <row r="75" spans="1:10">
      <c r="A75" s="8"/>
      <c r="C75" s="2" t="s">
        <v>49</v>
      </c>
      <c r="D75" s="2" t="s">
        <v>50</v>
      </c>
      <c r="E75" s="11" t="str">
        <f t="shared" si="4"/>
        <v>Walker Jones</v>
      </c>
      <c r="F75" s="11"/>
      <c r="G75" s="11"/>
      <c r="H75" s="11"/>
      <c r="I75" s="15" t="str">
        <f t="shared" si="3"/>
        <v>GOOD!</v>
      </c>
      <c r="J75" s="16" t="str">
        <f t="shared" si="5"/>
        <v/>
      </c>
    </row>
    <row r="76" spans="1:10">
      <c r="A76" s="8"/>
      <c r="C76" s="2" t="s">
        <v>51</v>
      </c>
      <c r="D76" s="2" t="s">
        <v>52</v>
      </c>
      <c r="E76" s="11" t="str">
        <f t="shared" si="4"/>
        <v>Pat Henny</v>
      </c>
      <c r="F76" s="11"/>
      <c r="G76" s="11"/>
      <c r="H76" s="11"/>
      <c r="I76" s="15" t="str">
        <f t="shared" si="3"/>
        <v>GOOD!</v>
      </c>
      <c r="J76" s="16" t="str">
        <f t="shared" si="5"/>
        <v/>
      </c>
    </row>
    <row r="77" spans="1:10">
      <c r="A77" s="8"/>
      <c r="C77" s="2" t="s">
        <v>41</v>
      </c>
      <c r="D77" s="2" t="s">
        <v>53</v>
      </c>
      <c r="E77" s="11" t="str">
        <f t="shared" si="4"/>
        <v>John Wills</v>
      </c>
      <c r="F77" s="11"/>
      <c r="G77" s="11"/>
      <c r="H77" s="11"/>
      <c r="I77" s="15" t="str">
        <f t="shared" si="3"/>
        <v>GOOD!</v>
      </c>
      <c r="J77" s="16" t="str">
        <f t="shared" si="5"/>
        <v/>
      </c>
    </row>
    <row r="78" spans="1:10">
      <c r="A78" s="8"/>
      <c r="C78" s="2" t="s">
        <v>54</v>
      </c>
      <c r="D78" s="2" t="s">
        <v>55</v>
      </c>
      <c r="E78" s="11" t="str">
        <f t="shared" si="4"/>
        <v>Fred Flop</v>
      </c>
      <c r="F78" s="11"/>
      <c r="G78" s="11"/>
      <c r="H78" s="11"/>
      <c r="I78" s="15" t="str">
        <f t="shared" si="3"/>
        <v>GOOD!</v>
      </c>
      <c r="J78" s="16" t="str">
        <f t="shared" si="5"/>
        <v/>
      </c>
    </row>
    <row r="79" spans="1:10">
      <c r="A79" s="8"/>
      <c r="C79" s="2" t="s">
        <v>56</v>
      </c>
      <c r="D79" s="2" t="s">
        <v>57</v>
      </c>
      <c r="E79" s="11" t="str">
        <f t="shared" si="4"/>
        <v>Jonna Tosh</v>
      </c>
      <c r="F79" s="11"/>
      <c r="G79" s="11"/>
      <c r="H79" s="11"/>
      <c r="I79" s="15" t="str">
        <f t="shared" si="3"/>
        <v>GOOD!</v>
      </c>
      <c r="J79" s="16" t="str">
        <f t="shared" si="5"/>
        <v/>
      </c>
    </row>
    <row r="80" spans="1:1">
      <c r="A80" s="8"/>
    </row>
    <row r="81" spans="1:1">
      <c r="A81" s="8"/>
    </row>
    <row r="82" spans="1:1">
      <c r="A82" s="8"/>
    </row>
    <row r="83" spans="1:1">
      <c r="A83" s="8"/>
    </row>
    <row r="84" spans="1:1">
      <c r="A84" s="8"/>
    </row>
    <row r="85" ht="15.6" spans="1:2">
      <c r="A85" s="8"/>
      <c r="B85" s="9" t="s">
        <v>58</v>
      </c>
    </row>
    <row r="86" ht="14.4" spans="1:2">
      <c r="A86" s="8"/>
      <c r="B86" s="10" t="s">
        <v>59</v>
      </c>
    </row>
    <row r="87"/>
    <row r="88"/>
    <row r="89" spans="3:11">
      <c r="C89" s="1" t="s">
        <v>60</v>
      </c>
      <c r="D89" s="1"/>
      <c r="E89" s="19" t="s">
        <v>61</v>
      </c>
      <c r="G89" s="1" t="s">
        <v>62</v>
      </c>
      <c r="K89" s="8" t="str">
        <f>IF(K91&amp;K92&amp;K93&amp;K94&amp;K97="GOOD!GOOD!GOOD!GOOD!GOOD!","TRUE","FALSE")</f>
        <v>TRUE</v>
      </c>
    </row>
    <row r="90" spans="3:12">
      <c r="C90" s="2" t="s">
        <v>63</v>
      </c>
      <c r="D90" s="20"/>
      <c r="E90" s="2">
        <v>45</v>
      </c>
      <c r="G90" s="11" t="str">
        <f>C90&amp;" is "&amp;E90&amp;" years old"</f>
        <v>John Smith is 45 years old</v>
      </c>
      <c r="H90" s="11"/>
      <c r="I90" s="11"/>
      <c r="J90" s="11"/>
      <c r="K90" s="15" t="str">
        <f t="shared" ref="K90:K98" si="6">IF(G90=C90&amp;" is "&amp;E90&amp;" years old","GOOD!","")</f>
        <v>GOOD!</v>
      </c>
      <c r="L90" s="16" t="str">
        <f>IF(K90="GOOD!","",IF(G90="","","Try Again"))</f>
        <v/>
      </c>
    </row>
    <row r="91" spans="3:12">
      <c r="C91" s="2" t="s">
        <v>64</v>
      </c>
      <c r="D91" s="20"/>
      <c r="E91" s="2">
        <v>34</v>
      </c>
      <c r="G91" s="11" t="str">
        <f t="shared" ref="G91:G98" si="7">C91&amp;" is "&amp;E91&amp;" years old"</f>
        <v>Michael Moore is 34 years old</v>
      </c>
      <c r="H91" s="11"/>
      <c r="I91" s="11"/>
      <c r="J91" s="11"/>
      <c r="K91" s="15" t="str">
        <f t="shared" si="6"/>
        <v>GOOD!</v>
      </c>
      <c r="L91" s="16" t="str">
        <f t="shared" ref="L91:L98" si="8">IF(K91="GOOD!","",IF(G91="","","Try Again"))</f>
        <v/>
      </c>
    </row>
    <row r="92" spans="3:12">
      <c r="C92" s="2" t="s">
        <v>65</v>
      </c>
      <c r="D92" s="20"/>
      <c r="E92" s="2">
        <v>24</v>
      </c>
      <c r="G92" s="11" t="str">
        <f t="shared" si="7"/>
        <v>William Burgers is 24 years old</v>
      </c>
      <c r="H92" s="11"/>
      <c r="I92" s="11"/>
      <c r="J92" s="11"/>
      <c r="K92" s="15" t="str">
        <f t="shared" si="6"/>
        <v>GOOD!</v>
      </c>
      <c r="L92" s="16" t="str">
        <f t="shared" si="8"/>
        <v/>
      </c>
    </row>
    <row r="93" spans="3:12">
      <c r="C93" s="2" t="s">
        <v>66</v>
      </c>
      <c r="D93" s="20"/>
      <c r="E93" s="2">
        <v>64</v>
      </c>
      <c r="G93" s="11" t="str">
        <f t="shared" si="7"/>
        <v>Nick Frist is 64 years old</v>
      </c>
      <c r="H93" s="11"/>
      <c r="I93" s="11"/>
      <c r="J93" s="11"/>
      <c r="K93" s="15" t="str">
        <f t="shared" si="6"/>
        <v>GOOD!</v>
      </c>
      <c r="L93" s="16" t="str">
        <f t="shared" si="8"/>
        <v/>
      </c>
    </row>
    <row r="94" spans="3:12">
      <c r="C94" s="2" t="s">
        <v>67</v>
      </c>
      <c r="D94" s="20"/>
      <c r="E94" s="2">
        <v>21</v>
      </c>
      <c r="G94" s="11" t="str">
        <f t="shared" si="7"/>
        <v>Walker Jones is 21 years old</v>
      </c>
      <c r="H94" s="11"/>
      <c r="I94" s="11"/>
      <c r="J94" s="11"/>
      <c r="K94" s="15" t="str">
        <f t="shared" si="6"/>
        <v>GOOD!</v>
      </c>
      <c r="L94" s="16" t="str">
        <f t="shared" si="8"/>
        <v/>
      </c>
    </row>
    <row r="95" spans="3:12">
      <c r="C95" s="2" t="s">
        <v>68</v>
      </c>
      <c r="D95" s="20"/>
      <c r="E95" s="2">
        <v>34</v>
      </c>
      <c r="G95" s="11" t="str">
        <f t="shared" si="7"/>
        <v>Pat Henny is 34 years old</v>
      </c>
      <c r="H95" s="11"/>
      <c r="I95" s="11"/>
      <c r="J95" s="11"/>
      <c r="K95" s="15" t="str">
        <f t="shared" si="6"/>
        <v>GOOD!</v>
      </c>
      <c r="L95" s="16" t="str">
        <f t="shared" si="8"/>
        <v/>
      </c>
    </row>
    <row r="96" spans="3:12">
      <c r="C96" s="2" t="s">
        <v>69</v>
      </c>
      <c r="D96" s="20"/>
      <c r="E96" s="2">
        <v>54</v>
      </c>
      <c r="G96" s="11" t="str">
        <f t="shared" si="7"/>
        <v>John Wills is 54 years old</v>
      </c>
      <c r="H96" s="11"/>
      <c r="I96" s="11"/>
      <c r="J96" s="11"/>
      <c r="K96" s="15" t="str">
        <f t="shared" si="6"/>
        <v>GOOD!</v>
      </c>
      <c r="L96" s="16" t="str">
        <f t="shared" si="8"/>
        <v/>
      </c>
    </row>
    <row r="97" spans="3:12">
      <c r="C97" s="2" t="s">
        <v>70</v>
      </c>
      <c r="D97" s="20"/>
      <c r="E97" s="2">
        <v>23</v>
      </c>
      <c r="G97" s="11" t="str">
        <f t="shared" si="7"/>
        <v>Fred Flop is 23 years old</v>
      </c>
      <c r="H97" s="11"/>
      <c r="I97" s="11"/>
      <c r="J97" s="11"/>
      <c r="K97" s="15" t="str">
        <f t="shared" si="6"/>
        <v>GOOD!</v>
      </c>
      <c r="L97" s="16" t="str">
        <f t="shared" si="8"/>
        <v/>
      </c>
    </row>
    <row r="98" spans="3:12">
      <c r="C98" s="2" t="s">
        <v>71</v>
      </c>
      <c r="D98" s="20"/>
      <c r="E98" s="2">
        <v>44</v>
      </c>
      <c r="G98" s="11" t="str">
        <f t="shared" si="7"/>
        <v>Jonna Tosh is 44 years old</v>
      </c>
      <c r="H98" s="11"/>
      <c r="I98" s="11"/>
      <c r="J98" s="11"/>
      <c r="K98" s="15" t="str">
        <f t="shared" si="6"/>
        <v>GOOD!</v>
      </c>
      <c r="L98" s="16" t="str">
        <f t="shared" si="8"/>
        <v/>
      </c>
    </row>
    <row r="99" spans="3:4">
      <c r="C99" s="20"/>
      <c r="D99" s="20"/>
    </row>
    <row r="100" spans="3:4">
      <c r="C100" s="20"/>
      <c r="D100" s="20"/>
    </row>
    <row r="101" spans="3:4">
      <c r="C101" s="20"/>
      <c r="D101" s="20"/>
    </row>
    <row r="102"/>
    <row r="103" ht="15.6" spans="2:2">
      <c r="B103" s="9" t="s">
        <v>72</v>
      </c>
    </row>
    <row r="104" ht="14.4" spans="2:2">
      <c r="B104" s="10" t="s">
        <v>73</v>
      </c>
    </row>
    <row r="105" ht="14.4" spans="2:2">
      <c r="B105" s="10" t="s">
        <v>74</v>
      </c>
    </row>
    <row r="106" ht="14.4" spans="2:2">
      <c r="B106" s="10" t="s">
        <v>75</v>
      </c>
    </row>
    <row r="107"/>
    <row r="108" spans="3:10">
      <c r="C108" s="2" t="s">
        <v>76</v>
      </c>
      <c r="F108" s="8" t="str">
        <f>IF(F110&amp;F111&amp;F112&amp;F113&amp;F116="GOOD!GOOD!GOOD!GOOD!GOOD!","TRUE","FALSE")</f>
        <v>TRUE</v>
      </c>
      <c r="J108" s="2" t="s">
        <v>76</v>
      </c>
    </row>
    <row r="109" spans="3:11">
      <c r="C109" s="2" t="s">
        <v>18</v>
      </c>
      <c r="D109" s="11" t="str">
        <f>C109</f>
        <v>A</v>
      </c>
      <c r="E109" s="11"/>
      <c r="F109" s="15" t="str">
        <f t="shared" ref="F109:F117" si="9">IF(D109=K109,"GOOD!","")</f>
        <v>GOOD!</v>
      </c>
      <c r="G109" s="16" t="str">
        <f>IF(F109="GOOD!","",IF(D109="","","Try Again"))</f>
        <v/>
      </c>
      <c r="J109" s="2" t="s">
        <v>18</v>
      </c>
      <c r="K109" s="2" t="s">
        <v>18</v>
      </c>
    </row>
    <row r="110" spans="3:11">
      <c r="C110" s="2" t="s">
        <v>77</v>
      </c>
      <c r="D110" s="11" t="str">
        <f>C110&amp;" "&amp;D109</f>
        <v>B A</v>
      </c>
      <c r="E110" s="11"/>
      <c r="F110" s="15" t="str">
        <f t="shared" si="9"/>
        <v>GOOD!</v>
      </c>
      <c r="G110" s="16" t="str">
        <f t="shared" ref="G110:G117" si="10">IF(F110="GOOD!","",IF(D110="","","Try Again"))</f>
        <v/>
      </c>
      <c r="J110" s="2" t="s">
        <v>77</v>
      </c>
      <c r="K110" s="2" t="s">
        <v>78</v>
      </c>
    </row>
    <row r="111" spans="3:11">
      <c r="C111" s="2" t="s">
        <v>79</v>
      </c>
      <c r="D111" s="11" t="str">
        <f t="shared" ref="D111:D117" si="11">C111&amp;" "&amp;D110</f>
        <v>C B A</v>
      </c>
      <c r="E111" s="11"/>
      <c r="F111" s="15" t="str">
        <f t="shared" si="9"/>
        <v>GOOD!</v>
      </c>
      <c r="G111" s="16" t="str">
        <f t="shared" si="10"/>
        <v/>
      </c>
      <c r="J111" s="2" t="s">
        <v>79</v>
      </c>
      <c r="K111" s="2" t="s">
        <v>80</v>
      </c>
    </row>
    <row r="112" spans="3:11">
      <c r="C112" s="2" t="s">
        <v>81</v>
      </c>
      <c r="D112" s="11" t="str">
        <f t="shared" si="11"/>
        <v>D C B A</v>
      </c>
      <c r="E112" s="11"/>
      <c r="F112" s="15" t="str">
        <f t="shared" si="9"/>
        <v>GOOD!</v>
      </c>
      <c r="G112" s="16" t="str">
        <f t="shared" si="10"/>
        <v/>
      </c>
      <c r="J112" s="2" t="s">
        <v>81</v>
      </c>
      <c r="K112" s="2" t="s">
        <v>82</v>
      </c>
    </row>
    <row r="113" spans="3:11">
      <c r="C113" s="2" t="s">
        <v>83</v>
      </c>
      <c r="D113" s="11" t="str">
        <f t="shared" si="11"/>
        <v>E D C B A</v>
      </c>
      <c r="E113" s="11"/>
      <c r="F113" s="15" t="str">
        <f t="shared" si="9"/>
        <v>GOOD!</v>
      </c>
      <c r="G113" s="16" t="str">
        <f t="shared" si="10"/>
        <v/>
      </c>
      <c r="J113" s="2" t="s">
        <v>83</v>
      </c>
      <c r="K113" s="2" t="s">
        <v>84</v>
      </c>
    </row>
    <row r="114" spans="3:11">
      <c r="C114" s="2" t="s">
        <v>85</v>
      </c>
      <c r="D114" s="11" t="str">
        <f t="shared" si="11"/>
        <v>F E D C B A</v>
      </c>
      <c r="E114" s="11"/>
      <c r="F114" s="15" t="str">
        <f t="shared" si="9"/>
        <v>GOOD!</v>
      </c>
      <c r="G114" s="16" t="str">
        <f t="shared" si="10"/>
        <v/>
      </c>
      <c r="J114" s="2" t="s">
        <v>85</v>
      </c>
      <c r="K114" s="2" t="s">
        <v>86</v>
      </c>
    </row>
    <row r="115" spans="3:11">
      <c r="C115" s="2" t="s">
        <v>87</v>
      </c>
      <c r="D115" s="11" t="str">
        <f t="shared" si="11"/>
        <v>G F E D C B A</v>
      </c>
      <c r="E115" s="11"/>
      <c r="F115" s="15" t="str">
        <f t="shared" si="9"/>
        <v>GOOD!</v>
      </c>
      <c r="G115" s="16" t="str">
        <f t="shared" si="10"/>
        <v/>
      </c>
      <c r="J115" s="2" t="s">
        <v>87</v>
      </c>
      <c r="K115" s="2" t="s">
        <v>88</v>
      </c>
    </row>
    <row r="116" spans="3:11">
      <c r="C116" s="2" t="s">
        <v>89</v>
      </c>
      <c r="D116" s="11" t="str">
        <f t="shared" si="11"/>
        <v>H G F E D C B A</v>
      </c>
      <c r="E116" s="11"/>
      <c r="F116" s="15" t="str">
        <f t="shared" si="9"/>
        <v>GOOD!</v>
      </c>
      <c r="G116" s="16" t="str">
        <f t="shared" si="10"/>
        <v/>
      </c>
      <c r="J116" s="2" t="s">
        <v>89</v>
      </c>
      <c r="K116" s="2" t="s">
        <v>90</v>
      </c>
    </row>
    <row r="117" spans="3:11">
      <c r="C117" s="2" t="s">
        <v>91</v>
      </c>
      <c r="D117" s="11" t="str">
        <f t="shared" si="11"/>
        <v>I H G F E D C B A</v>
      </c>
      <c r="E117" s="11"/>
      <c r="F117" s="15" t="str">
        <f t="shared" si="9"/>
        <v>GOOD!</v>
      </c>
      <c r="G117" s="16" t="str">
        <f t="shared" si="10"/>
        <v/>
      </c>
      <c r="J117" s="2" t="s">
        <v>91</v>
      </c>
      <c r="K117" s="2" t="s">
        <v>92</v>
      </c>
    </row>
    <row r="118"/>
    <row r="119"/>
    <row r="120"/>
    <row r="121"/>
    <row r="122"/>
    <row r="123"/>
    <row r="124"/>
    <row r="125" ht="15.6" spans="2:2">
      <c r="B125" s="9" t="s">
        <v>93</v>
      </c>
    </row>
    <row r="126" ht="14.4" spans="2:2">
      <c r="B126" s="10" t="s">
        <v>94</v>
      </c>
    </row>
    <row r="127" ht="14.4" spans="2:2">
      <c r="B127" s="10" t="s">
        <v>95</v>
      </c>
    </row>
    <row r="128"/>
    <row r="129"/>
    <row r="130" spans="3:19">
      <c r="C130" s="1" t="s">
        <v>60</v>
      </c>
      <c r="E130" s="1" t="s">
        <v>96</v>
      </c>
      <c r="G130" s="1" t="s">
        <v>97</v>
      </c>
      <c r="M130" s="1" t="s">
        <v>98</v>
      </c>
      <c r="S130" s="8" t="str">
        <f>IF(S132&amp;S133&amp;S134&amp;S135&amp;S138="GOOD!GOOD!GOOD!GOOD!GOOD!","TRUE","FALSE")</f>
        <v>TRUE</v>
      </c>
    </row>
    <row r="131" spans="3:20">
      <c r="C131" s="2" t="s">
        <v>63</v>
      </c>
      <c r="D131" s="20"/>
      <c r="E131" s="23">
        <v>30685</v>
      </c>
      <c r="G131" s="24" t="str">
        <f>C131&amp;" was born on "&amp;TEXT(E131,"dddd, mmmm d, yyyy.")</f>
        <v>John Smith was born on Wednesday, January 4, 1984.</v>
      </c>
      <c r="H131" s="24"/>
      <c r="I131" s="24"/>
      <c r="J131" s="24"/>
      <c r="K131" s="24"/>
      <c r="M131" s="2" t="s">
        <v>99</v>
      </c>
      <c r="S131" s="15" t="str">
        <f>IF(G131=M131,"GOOD!","")</f>
        <v>GOOD!</v>
      </c>
      <c r="T131" s="16" t="str">
        <f>IF(S131="GOOD!","",IF(G131="","","Try Again"))</f>
        <v/>
      </c>
    </row>
    <row r="132" spans="3:20">
      <c r="C132" s="2" t="s">
        <v>64</v>
      </c>
      <c r="D132" s="20"/>
      <c r="E132" s="23">
        <v>22757</v>
      </c>
      <c r="G132" s="24" t="str">
        <f t="shared" ref="G132:G139" si="12">C132&amp;" was born on "&amp;TEXT(E132,"dddd, mmmm d, yyyy.")</f>
        <v>Michael Moore was born on Saturday, April 21, 1962.</v>
      </c>
      <c r="H132" s="24"/>
      <c r="I132" s="24"/>
      <c r="J132" s="24"/>
      <c r="K132" s="24"/>
      <c r="M132" s="2" t="s">
        <v>100</v>
      </c>
      <c r="S132" s="15" t="str">
        <f t="shared" ref="S132:S139" si="13">IF(G132=M132,"GOOD!","")</f>
        <v>GOOD!</v>
      </c>
      <c r="T132" s="16" t="str">
        <f t="shared" ref="T132:T139" si="14">IF(S132="GOOD!","",IF(G132="","","Try Again"))</f>
        <v/>
      </c>
    </row>
    <row r="133" spans="3:20">
      <c r="C133" s="2" t="s">
        <v>65</v>
      </c>
      <c r="D133" s="20"/>
      <c r="E133" s="23">
        <v>28259</v>
      </c>
      <c r="G133" s="24" t="str">
        <f t="shared" si="12"/>
        <v>William Burgers was born on Saturday, May 14, 1977.</v>
      </c>
      <c r="H133" s="24"/>
      <c r="I133" s="24"/>
      <c r="J133" s="24"/>
      <c r="K133" s="24"/>
      <c r="M133" s="2" t="s">
        <v>101</v>
      </c>
      <c r="S133" s="15" t="str">
        <f t="shared" si="13"/>
        <v>GOOD!</v>
      </c>
      <c r="T133" s="16" t="str">
        <f t="shared" si="14"/>
        <v/>
      </c>
    </row>
    <row r="134" spans="3:20">
      <c r="C134" s="2" t="s">
        <v>66</v>
      </c>
      <c r="D134" s="20"/>
      <c r="E134" s="23">
        <v>16776</v>
      </c>
      <c r="G134" s="24" t="str">
        <f t="shared" si="12"/>
        <v>Nick Frist was born on Wednesday, December 5, 1945.</v>
      </c>
      <c r="H134" s="24"/>
      <c r="I134" s="24"/>
      <c r="J134" s="24"/>
      <c r="K134" s="24"/>
      <c r="M134" s="2" t="s">
        <v>102</v>
      </c>
      <c r="S134" s="15" t="str">
        <f t="shared" si="13"/>
        <v>GOOD!</v>
      </c>
      <c r="T134" s="16" t="str">
        <f t="shared" si="14"/>
        <v/>
      </c>
    </row>
    <row r="135" spans="3:20">
      <c r="C135" s="2" t="s">
        <v>67</v>
      </c>
      <c r="D135" s="20"/>
      <c r="E135" s="23">
        <v>36210</v>
      </c>
      <c r="G135" s="24" t="str">
        <f t="shared" si="12"/>
        <v>Walker Jones was born on Friday, February 19, 1999.</v>
      </c>
      <c r="H135" s="24"/>
      <c r="I135" s="24"/>
      <c r="J135" s="24"/>
      <c r="K135" s="24"/>
      <c r="M135" s="2" t="s">
        <v>103</v>
      </c>
      <c r="S135" s="15" t="str">
        <f t="shared" si="13"/>
        <v>GOOD!</v>
      </c>
      <c r="T135" s="16" t="str">
        <f t="shared" si="14"/>
        <v/>
      </c>
    </row>
    <row r="136" spans="3:20">
      <c r="C136" s="2" t="s">
        <v>68</v>
      </c>
      <c r="D136" s="20"/>
      <c r="E136" s="23">
        <v>20823</v>
      </c>
      <c r="G136" s="24" t="str">
        <f t="shared" si="12"/>
        <v>Pat Henny was born on Thursday, January 3, 1957.</v>
      </c>
      <c r="H136" s="24"/>
      <c r="I136" s="24"/>
      <c r="J136" s="24"/>
      <c r="K136" s="24"/>
      <c r="M136" s="2" t="s">
        <v>104</v>
      </c>
      <c r="S136" s="15" t="str">
        <f t="shared" si="13"/>
        <v>GOOD!</v>
      </c>
      <c r="T136" s="16" t="str">
        <f t="shared" si="14"/>
        <v/>
      </c>
    </row>
    <row r="137" spans="3:20">
      <c r="C137" s="2" t="s">
        <v>69</v>
      </c>
      <c r="D137" s="20"/>
      <c r="E137" s="23">
        <v>25030</v>
      </c>
      <c r="G137" s="24" t="str">
        <f t="shared" si="12"/>
        <v>John Wills was born on Thursday, July 11, 1968.</v>
      </c>
      <c r="H137" s="24"/>
      <c r="I137" s="24"/>
      <c r="J137" s="24"/>
      <c r="K137" s="24"/>
      <c r="M137" s="2" t="s">
        <v>105</v>
      </c>
      <c r="S137" s="15" t="str">
        <f t="shared" si="13"/>
        <v>GOOD!</v>
      </c>
      <c r="T137" s="16" t="str">
        <f t="shared" si="14"/>
        <v/>
      </c>
    </row>
    <row r="138" spans="3:20">
      <c r="C138" s="2" t="s">
        <v>70</v>
      </c>
      <c r="D138" s="20"/>
      <c r="E138" s="23">
        <v>30746</v>
      </c>
      <c r="G138" s="24" t="str">
        <f t="shared" si="12"/>
        <v>Fred Flop was born on Monday, March 5, 1984.</v>
      </c>
      <c r="H138" s="24"/>
      <c r="I138" s="24"/>
      <c r="J138" s="24"/>
      <c r="K138" s="24"/>
      <c r="M138" s="2" t="s">
        <v>106</v>
      </c>
      <c r="S138" s="15" t="str">
        <f t="shared" si="13"/>
        <v>GOOD!</v>
      </c>
      <c r="T138" s="16" t="str">
        <f t="shared" si="14"/>
        <v/>
      </c>
    </row>
    <row r="139" spans="3:20">
      <c r="C139" s="2" t="s">
        <v>71</v>
      </c>
      <c r="D139" s="20"/>
      <c r="E139" s="23">
        <v>32313</v>
      </c>
      <c r="G139" s="24" t="str">
        <f t="shared" si="12"/>
        <v>Jonna Tosh was born on Sunday, June 19, 1988.</v>
      </c>
      <c r="H139" s="24"/>
      <c r="I139" s="24"/>
      <c r="J139" s="24"/>
      <c r="K139" s="24"/>
      <c r="M139" s="2" t="s">
        <v>107</v>
      </c>
      <c r="S139" s="15" t="str">
        <f t="shared" si="13"/>
        <v>GOOD!</v>
      </c>
      <c r="T139" s="16" t="str">
        <f t="shared" si="14"/>
        <v/>
      </c>
    </row>
    <row r="140"/>
    <row r="141"/>
    <row r="142"/>
    <row r="143" ht="15.6" spans="2:2">
      <c r="B143" s="9"/>
    </row>
    <row r="144" ht="14.4" spans="2:2">
      <c r="B144" s="10"/>
    </row>
    <row r="145"/>
    <row r="146"/>
    <row r="147" spans="4:4">
      <c r="D147" s="2" t="str">
        <f>""</f>
        <v/>
      </c>
    </row>
    <row r="148"/>
    <row r="149"/>
    <row r="150"/>
    <row r="151"/>
    <row r="152"/>
    <row r="153"/>
    <row r="154"/>
    <row r="155"/>
    <row r="156"/>
    <row r="157"/>
    <row r="158"/>
    <row r="159"/>
    <row r="160" ht="15.6" spans="2:2">
      <c r="B160" s="9" t="s">
        <v>108</v>
      </c>
    </row>
    <row r="161" ht="14.4" spans="2:2">
      <c r="B161" s="10" t="s">
        <v>109</v>
      </c>
    </row>
    <row r="162"/>
    <row r="163"/>
    <row r="164" spans="3:5">
      <c r="C164" s="1" t="s">
        <v>110</v>
      </c>
      <c r="D164" s="1" t="s">
        <v>111</v>
      </c>
      <c r="E164" s="8" t="str">
        <f>IF(E166&amp;E167&amp;E168&amp;E169&amp;E172="GOOD!GOOD!GOOD!GOOD!GOOD!","TRUE","FALSE")</f>
        <v>TRUE</v>
      </c>
    </row>
    <row r="165" spans="3:6">
      <c r="C165" s="2" t="s">
        <v>112</v>
      </c>
      <c r="D165" s="25" t="str">
        <f>RIGHT(C165,1)</f>
        <v>3</v>
      </c>
      <c r="E165" s="15" t="str">
        <f>IF(D165=RIGHT(C165,1),"GOOD!","")</f>
        <v>GOOD!</v>
      </c>
      <c r="F165" s="16" t="str">
        <f>IF(E165="GOOD!","",IF(D165="","","Try Again"))</f>
        <v/>
      </c>
    </row>
    <row r="166" spans="3:6">
      <c r="C166" s="2" t="s">
        <v>113</v>
      </c>
      <c r="D166" s="25" t="str">
        <f t="shared" ref="D166:D175" si="15">RIGHT(C166,1)</f>
        <v>7</v>
      </c>
      <c r="E166" s="15" t="str">
        <f t="shared" ref="E166:E175" si="16">IF(D166=RIGHT(C166,1),"GOOD!","")</f>
        <v>GOOD!</v>
      </c>
      <c r="F166" s="16" t="str">
        <f t="shared" ref="F166:F175" si="17">IF(E166="GOOD!","",IF(D166="","","Try Again"))</f>
        <v/>
      </c>
    </row>
    <row r="167" spans="3:6">
      <c r="C167" s="2" t="s">
        <v>114</v>
      </c>
      <c r="D167" s="25" t="str">
        <f t="shared" si="15"/>
        <v>2</v>
      </c>
      <c r="E167" s="15" t="str">
        <f t="shared" si="16"/>
        <v>GOOD!</v>
      </c>
      <c r="F167" s="16" t="str">
        <f t="shared" si="17"/>
        <v/>
      </c>
    </row>
    <row r="168" spans="3:6">
      <c r="C168" s="2" t="s">
        <v>115</v>
      </c>
      <c r="D168" s="25" t="str">
        <f t="shared" si="15"/>
        <v>4</v>
      </c>
      <c r="E168" s="15" t="str">
        <f t="shared" si="16"/>
        <v>GOOD!</v>
      </c>
      <c r="F168" s="16" t="str">
        <f t="shared" si="17"/>
        <v/>
      </c>
    </row>
    <row r="169" spans="3:6">
      <c r="C169" s="2" t="s">
        <v>116</v>
      </c>
      <c r="D169" s="25" t="str">
        <f t="shared" si="15"/>
        <v>6</v>
      </c>
      <c r="E169" s="15" t="str">
        <f t="shared" si="16"/>
        <v>GOOD!</v>
      </c>
      <c r="F169" s="16" t="str">
        <f t="shared" si="17"/>
        <v/>
      </c>
    </row>
    <row r="170" spans="3:6">
      <c r="C170" s="2" t="s">
        <v>117</v>
      </c>
      <c r="D170" s="25" t="str">
        <f t="shared" si="15"/>
        <v>8</v>
      </c>
      <c r="E170" s="15" t="str">
        <f t="shared" si="16"/>
        <v>GOOD!</v>
      </c>
      <c r="F170" s="16" t="str">
        <f t="shared" si="17"/>
        <v/>
      </c>
    </row>
    <row r="171" spans="3:6">
      <c r="C171" s="2" t="s">
        <v>118</v>
      </c>
      <c r="D171" s="25" t="str">
        <f t="shared" si="15"/>
        <v>4</v>
      </c>
      <c r="E171" s="15" t="str">
        <f t="shared" si="16"/>
        <v>GOOD!</v>
      </c>
      <c r="F171" s="16" t="str">
        <f t="shared" si="17"/>
        <v/>
      </c>
    </row>
    <row r="172" spans="3:6">
      <c r="C172" s="2" t="s">
        <v>119</v>
      </c>
      <c r="D172" s="25" t="str">
        <f t="shared" si="15"/>
        <v>6</v>
      </c>
      <c r="E172" s="15" t="str">
        <f t="shared" si="16"/>
        <v>GOOD!</v>
      </c>
      <c r="F172" s="16" t="str">
        <f t="shared" si="17"/>
        <v/>
      </c>
    </row>
    <row r="173" spans="3:6">
      <c r="C173" s="2" t="s">
        <v>120</v>
      </c>
      <c r="D173" s="25" t="str">
        <f t="shared" si="15"/>
        <v>9</v>
      </c>
      <c r="E173" s="15" t="str">
        <f t="shared" si="16"/>
        <v>GOOD!</v>
      </c>
      <c r="F173" s="16" t="str">
        <f t="shared" si="17"/>
        <v/>
      </c>
    </row>
    <row r="174" spans="3:6">
      <c r="C174" s="2" t="s">
        <v>121</v>
      </c>
      <c r="D174" s="25" t="str">
        <f t="shared" si="15"/>
        <v>2</v>
      </c>
      <c r="E174" s="15" t="str">
        <f t="shared" si="16"/>
        <v>GOOD!</v>
      </c>
      <c r="F174" s="16" t="str">
        <f t="shared" si="17"/>
        <v/>
      </c>
    </row>
    <row r="175" spans="3:6">
      <c r="C175" s="2" t="s">
        <v>122</v>
      </c>
      <c r="D175" s="25" t="str">
        <f t="shared" si="15"/>
        <v>1</v>
      </c>
      <c r="E175" s="15" t="str">
        <f t="shared" si="16"/>
        <v>GOOD!</v>
      </c>
      <c r="F175" s="16" t="str">
        <f t="shared" si="17"/>
        <v/>
      </c>
    </row>
    <row r="176"/>
    <row r="177"/>
    <row r="178"/>
    <row r="179" ht="15.6" spans="2:2">
      <c r="B179" s="9" t="s">
        <v>123</v>
      </c>
    </row>
    <row r="180" ht="14.4" spans="2:2">
      <c r="B180" s="10" t="s">
        <v>124</v>
      </c>
    </row>
    <row r="181"/>
    <row r="182"/>
    <row r="183" spans="3:5">
      <c r="C183" s="1" t="s">
        <v>110</v>
      </c>
      <c r="D183" s="1" t="s">
        <v>125</v>
      </c>
      <c r="E183" s="8" t="str">
        <f>IF(E185&amp;E186&amp;E187&amp;E188&amp;E191="GOOD!GOOD!GOOD!GOOD!GOOD!","TRUE","FALSE")</f>
        <v>TRUE</v>
      </c>
    </row>
    <row r="184" spans="3:6">
      <c r="C184" s="2" t="s">
        <v>112</v>
      </c>
      <c r="D184" s="25" t="str">
        <f>LEFT(C184,1)</f>
        <v>T</v>
      </c>
      <c r="E184" s="15" t="str">
        <f>IF(D184=LEFT(C184,1),"GOOD!","")</f>
        <v>GOOD!</v>
      </c>
      <c r="F184" s="16" t="str">
        <f>IF(E184="GOOD!","",IF(D184="","","Try Again"))</f>
        <v/>
      </c>
    </row>
    <row r="185" spans="3:6">
      <c r="C185" s="2" t="s">
        <v>113</v>
      </c>
      <c r="D185" s="25" t="str">
        <f t="shared" ref="D185:D194" si="18">LEFT(C185,1)</f>
        <v>S</v>
      </c>
      <c r="E185" s="15" t="str">
        <f t="shared" ref="E185:E194" si="19">IF(D185=LEFT(C185,1),"GOOD!","")</f>
        <v>GOOD!</v>
      </c>
      <c r="F185" s="16" t="str">
        <f t="shared" ref="F185:F194" si="20">IF(E185="GOOD!","",IF(D185="","","Try Again"))</f>
        <v/>
      </c>
    </row>
    <row r="186" spans="3:6">
      <c r="C186" s="2" t="s">
        <v>114</v>
      </c>
      <c r="D186" s="25" t="str">
        <f t="shared" si="18"/>
        <v>N</v>
      </c>
      <c r="E186" s="15" t="str">
        <f t="shared" si="19"/>
        <v>GOOD!</v>
      </c>
      <c r="F186" s="16" t="str">
        <f t="shared" si="20"/>
        <v/>
      </c>
    </row>
    <row r="187" spans="3:6">
      <c r="C187" s="2" t="s">
        <v>115</v>
      </c>
      <c r="D187" s="25" t="str">
        <f t="shared" si="18"/>
        <v>N</v>
      </c>
      <c r="E187" s="15" t="str">
        <f t="shared" si="19"/>
        <v>GOOD!</v>
      </c>
      <c r="F187" s="16" t="str">
        <f t="shared" si="20"/>
        <v/>
      </c>
    </row>
    <row r="188" spans="3:6">
      <c r="C188" s="2" t="s">
        <v>116</v>
      </c>
      <c r="D188" s="25" t="str">
        <f t="shared" si="18"/>
        <v>N</v>
      </c>
      <c r="E188" s="15" t="str">
        <f t="shared" si="19"/>
        <v>GOOD!</v>
      </c>
      <c r="F188" s="16" t="str">
        <f t="shared" si="20"/>
        <v/>
      </c>
    </row>
    <row r="189" spans="3:6">
      <c r="C189" s="2" t="s">
        <v>117</v>
      </c>
      <c r="D189" s="25" t="str">
        <f t="shared" si="18"/>
        <v>O</v>
      </c>
      <c r="E189" s="15" t="str">
        <f t="shared" si="19"/>
        <v>GOOD!</v>
      </c>
      <c r="F189" s="16" t="str">
        <f t="shared" si="20"/>
        <v/>
      </c>
    </row>
    <row r="190" spans="3:6">
      <c r="C190" s="2" t="s">
        <v>118</v>
      </c>
      <c r="D190" s="25" t="str">
        <f t="shared" si="18"/>
        <v>T</v>
      </c>
      <c r="E190" s="15" t="str">
        <f t="shared" si="19"/>
        <v>GOOD!</v>
      </c>
      <c r="F190" s="16" t="str">
        <f t="shared" si="20"/>
        <v/>
      </c>
    </row>
    <row r="191" spans="3:6">
      <c r="C191" s="2" t="s">
        <v>119</v>
      </c>
      <c r="D191" s="25" t="str">
        <f t="shared" si="18"/>
        <v>T</v>
      </c>
      <c r="E191" s="15" t="str">
        <f t="shared" si="19"/>
        <v>GOOD!</v>
      </c>
      <c r="F191" s="16" t="str">
        <f t="shared" si="20"/>
        <v/>
      </c>
    </row>
    <row r="192" spans="3:6">
      <c r="C192" s="2" t="s">
        <v>120</v>
      </c>
      <c r="D192" s="25" t="str">
        <f t="shared" si="18"/>
        <v>T</v>
      </c>
      <c r="E192" s="15" t="str">
        <f t="shared" si="19"/>
        <v>GOOD!</v>
      </c>
      <c r="F192" s="16" t="str">
        <f t="shared" si="20"/>
        <v/>
      </c>
    </row>
    <row r="193" spans="3:6">
      <c r="C193" s="2" t="s">
        <v>121</v>
      </c>
      <c r="D193" s="25" t="str">
        <f t="shared" si="18"/>
        <v>T</v>
      </c>
      <c r="E193" s="15" t="str">
        <f t="shared" si="19"/>
        <v>GOOD!</v>
      </c>
      <c r="F193" s="16" t="str">
        <f t="shared" si="20"/>
        <v/>
      </c>
    </row>
    <row r="194" spans="3:6">
      <c r="C194" s="2" t="s">
        <v>122</v>
      </c>
      <c r="D194" s="25" t="str">
        <f t="shared" si="18"/>
        <v>T</v>
      </c>
      <c r="E194" s="15" t="str">
        <f t="shared" si="19"/>
        <v>GOOD!</v>
      </c>
      <c r="F194" s="16" t="str">
        <f t="shared" si="20"/>
        <v/>
      </c>
    </row>
    <row r="195"/>
    <row r="196"/>
    <row r="197" ht="15.6" spans="2:2">
      <c r="B197" s="9" t="s">
        <v>126</v>
      </c>
    </row>
    <row r="198" ht="14.4" spans="2:2">
      <c r="B198" s="10" t="s">
        <v>127</v>
      </c>
    </row>
    <row r="199"/>
    <row r="200"/>
    <row r="201"/>
    <row r="202"/>
    <row r="203" spans="3:5">
      <c r="C203" s="1" t="s">
        <v>128</v>
      </c>
      <c r="D203" s="1" t="s">
        <v>129</v>
      </c>
      <c r="E203" s="8" t="str">
        <f>IF(E205&amp;E206&amp;E207&amp;E208&amp;E211="GOOD!GOOD!GOOD!GOOD!GOOD!","TRUE","FALSE")</f>
        <v>TRUE</v>
      </c>
    </row>
    <row r="204" spans="3:6">
      <c r="C204" s="2" t="s">
        <v>130</v>
      </c>
      <c r="D204" s="25" t="str">
        <f>TRIM(C204)</f>
        <v>DJFDG</v>
      </c>
      <c r="E204" s="15" t="str">
        <f>IF(D204=TRIM(C204),"GOOD!","")</f>
        <v>GOOD!</v>
      </c>
      <c r="F204" s="16" t="str">
        <f>IF(E204="GOOD!","",IF(D204="","","Try Again"))</f>
        <v/>
      </c>
    </row>
    <row r="205" spans="3:6">
      <c r="C205" s="2" t="s">
        <v>131</v>
      </c>
      <c r="D205" s="25" t="str">
        <f t="shared" ref="D205:D211" si="21">TRIM(C205)</f>
        <v>FDJDKL</v>
      </c>
      <c r="E205" s="15" t="str">
        <f t="shared" ref="E205:E211" si="22">IF(D205=TRIM(C205),"GOOD!","")</f>
        <v>GOOD!</v>
      </c>
      <c r="F205" s="16" t="str">
        <f t="shared" ref="F205:F211" si="23">IF(E205="GOOD!","",IF(D205="","","Try Again"))</f>
        <v/>
      </c>
    </row>
    <row r="206" spans="3:6">
      <c r="C206" s="2" t="s">
        <v>132</v>
      </c>
      <c r="D206" s="25" t="str">
        <f t="shared" si="21"/>
        <v>FDJLKFD</v>
      </c>
      <c r="E206" s="15" t="str">
        <f t="shared" si="22"/>
        <v>GOOD!</v>
      </c>
      <c r="F206" s="16" t="str">
        <f t="shared" si="23"/>
        <v/>
      </c>
    </row>
    <row r="207" spans="3:6">
      <c r="C207" s="2" t="s">
        <v>133</v>
      </c>
      <c r="D207" s="25" t="str">
        <f t="shared" si="21"/>
        <v>GDD</v>
      </c>
      <c r="E207" s="15" t="str">
        <f t="shared" si="22"/>
        <v>GOOD!</v>
      </c>
      <c r="F207" s="16" t="str">
        <f t="shared" si="23"/>
        <v/>
      </c>
    </row>
    <row r="208" spans="3:6">
      <c r="C208" s="2" t="s">
        <v>134</v>
      </c>
      <c r="D208" s="25" t="str">
        <f t="shared" si="21"/>
        <v>FdKLFJD</v>
      </c>
      <c r="E208" s="15" t="str">
        <f t="shared" si="22"/>
        <v>GOOD!</v>
      </c>
      <c r="F208" s="16" t="str">
        <f t="shared" si="23"/>
        <v/>
      </c>
    </row>
    <row r="209" spans="3:6">
      <c r="C209" s="2" t="s">
        <v>135</v>
      </c>
      <c r="D209" s="25" t="str">
        <f t="shared" si="21"/>
        <v>FDDL</v>
      </c>
      <c r="E209" s="15" t="str">
        <f t="shared" si="22"/>
        <v>GOOD!</v>
      </c>
      <c r="F209" s="16" t="str">
        <f t="shared" si="23"/>
        <v/>
      </c>
    </row>
    <row r="210" spans="3:6">
      <c r="C210" s="2" t="s">
        <v>136</v>
      </c>
      <c r="D210" s="25" t="str">
        <f t="shared" si="21"/>
        <v>FDJKLD</v>
      </c>
      <c r="E210" s="15" t="str">
        <f t="shared" si="22"/>
        <v>GOOD!</v>
      </c>
      <c r="F210" s="16" t="str">
        <f t="shared" si="23"/>
        <v/>
      </c>
    </row>
    <row r="211" spans="3:6">
      <c r="C211" s="2" t="s">
        <v>136</v>
      </c>
      <c r="D211" s="25" t="str">
        <f t="shared" si="21"/>
        <v>FDJKLD</v>
      </c>
      <c r="E211" s="15" t="str">
        <f t="shared" si="22"/>
        <v>GOOD!</v>
      </c>
      <c r="F211" s="16" t="str">
        <f t="shared" si="23"/>
        <v/>
      </c>
    </row>
    <row r="212" spans="5:5">
      <c r="E212" s="1"/>
    </row>
    <row r="213"/>
    <row r="214"/>
    <row r="215"/>
    <row r="216"/>
    <row r="217"/>
    <row r="218" ht="15.6" spans="2:2">
      <c r="B218" s="9" t="s">
        <v>137</v>
      </c>
    </row>
    <row r="219" ht="14.4" spans="2:2">
      <c r="B219" s="10" t="s">
        <v>138</v>
      </c>
    </row>
    <row r="220" ht="14.4" spans="2:2">
      <c r="B220" s="10"/>
    </row>
    <row r="221"/>
    <row r="222" spans="3:6">
      <c r="C222" s="1" t="s">
        <v>139</v>
      </c>
      <c r="E222" s="1" t="s">
        <v>140</v>
      </c>
      <c r="F222" s="8" t="str">
        <f>IF(F224&amp;F225&amp;F226&amp;F227&amp;F230="GOOD!GOOD!GOOD!GOOD!GOOD!","TRUE","FALSE")</f>
        <v>TRUE</v>
      </c>
    </row>
    <row r="223" spans="3:7">
      <c r="C223" s="2" t="s">
        <v>141</v>
      </c>
      <c r="E223" s="25" t="str">
        <f>LEFT(C223,3)</f>
        <v>617</v>
      </c>
      <c r="F223" s="15" t="str">
        <f>IF(E223=LEFT(C223,3),"GOOD!","")</f>
        <v>GOOD!</v>
      </c>
      <c r="G223" s="16" t="str">
        <f>IF(F223="GOOD!","",IF(E223="","","Try Again"))</f>
        <v/>
      </c>
    </row>
    <row r="224" spans="3:7">
      <c r="C224" s="2" t="s">
        <v>142</v>
      </c>
      <c r="E224" s="25" t="str">
        <f t="shared" ref="E224:E230" si="24">LEFT(C224,3)</f>
        <v>543</v>
      </c>
      <c r="F224" s="15" t="str">
        <f t="shared" ref="F224:F230" si="25">IF(E224=LEFT(C224,3),"GOOD!","")</f>
        <v>GOOD!</v>
      </c>
      <c r="G224" s="16" t="str">
        <f t="shared" ref="G224:G230" si="26">IF(F224="GOOD!","",IF(E224="","","Try Again"))</f>
        <v/>
      </c>
    </row>
    <row r="225" spans="3:7">
      <c r="C225" s="2" t="s">
        <v>143</v>
      </c>
      <c r="E225" s="25" t="str">
        <f t="shared" si="24"/>
        <v>545</v>
      </c>
      <c r="F225" s="15" t="str">
        <f t="shared" si="25"/>
        <v>GOOD!</v>
      </c>
      <c r="G225" s="16" t="str">
        <f t="shared" si="26"/>
        <v/>
      </c>
    </row>
    <row r="226" spans="3:7">
      <c r="C226" s="2" t="s">
        <v>144</v>
      </c>
      <c r="E226" s="25" t="str">
        <f t="shared" si="24"/>
        <v>454</v>
      </c>
      <c r="F226" s="15" t="str">
        <f t="shared" si="25"/>
        <v>GOOD!</v>
      </c>
      <c r="G226" s="16" t="str">
        <f t="shared" si="26"/>
        <v/>
      </c>
    </row>
    <row r="227" spans="3:7">
      <c r="C227" s="2" t="s">
        <v>145</v>
      </c>
      <c r="E227" s="25" t="str">
        <f t="shared" si="24"/>
        <v>572</v>
      </c>
      <c r="F227" s="15" t="str">
        <f t="shared" si="25"/>
        <v>GOOD!</v>
      </c>
      <c r="G227" s="16" t="str">
        <f t="shared" si="26"/>
        <v/>
      </c>
    </row>
    <row r="228" spans="3:7">
      <c r="C228" s="2" t="s">
        <v>146</v>
      </c>
      <c r="E228" s="25" t="str">
        <f t="shared" si="24"/>
        <v>257</v>
      </c>
      <c r="F228" s="15" t="str">
        <f t="shared" si="25"/>
        <v>GOOD!</v>
      </c>
      <c r="G228" s="16" t="str">
        <f t="shared" si="26"/>
        <v/>
      </c>
    </row>
    <row r="229" spans="3:7">
      <c r="C229" s="2" t="s">
        <v>147</v>
      </c>
      <c r="E229" s="25" t="str">
        <f t="shared" si="24"/>
        <v>745</v>
      </c>
      <c r="F229" s="15" t="str">
        <f t="shared" si="25"/>
        <v>GOOD!</v>
      </c>
      <c r="G229" s="16" t="str">
        <f t="shared" si="26"/>
        <v/>
      </c>
    </row>
    <row r="230" spans="3:7">
      <c r="C230" s="2" t="s">
        <v>148</v>
      </c>
      <c r="E230" s="25" t="str">
        <f t="shared" si="24"/>
        <v>452</v>
      </c>
      <c r="F230" s="15" t="str">
        <f t="shared" si="25"/>
        <v>GOOD!</v>
      </c>
      <c r="G230" s="16" t="str">
        <f t="shared" si="26"/>
        <v/>
      </c>
    </row>
    <row r="231"/>
    <row r="232"/>
    <row r="233"/>
    <row r="234"/>
    <row r="235"/>
    <row r="236"/>
    <row r="237"/>
    <row r="238"/>
    <row r="239" ht="15.6" spans="2:2">
      <c r="B239" s="9" t="s">
        <v>149</v>
      </c>
    </row>
    <row r="240" ht="14.4" spans="2:2">
      <c r="B240" s="10" t="s">
        <v>150</v>
      </c>
    </row>
    <row r="241" ht="14.4" spans="2:2">
      <c r="B241" s="10"/>
    </row>
    <row r="242"/>
    <row r="243" spans="3:17">
      <c r="C243" s="1" t="s">
        <v>151</v>
      </c>
      <c r="D243" s="1" t="s">
        <v>152</v>
      </c>
      <c r="E243" s="8" t="str">
        <f>IF(E245&amp;E246&amp;E247&amp;E248&amp;E249="GOOD!GOOD!GOOD!GOOD!GOOD!","TRUE","FALSE")</f>
        <v>TRUE</v>
      </c>
      <c r="O243" s="4"/>
      <c r="Q243" s="2"/>
    </row>
    <row r="244" spans="3:17">
      <c r="C244" s="2" t="s">
        <v>153</v>
      </c>
      <c r="D244" s="26" t="str">
        <f>RIGHT(TRIM(C244),7)</f>
        <v>TEXT143</v>
      </c>
      <c r="E244" s="27" t="str">
        <f t="shared" ref="E244:E249" si="27">IF(D244=TRIM(RIGHT(C244,8)),"GOOD!","")</f>
        <v>GOOD!</v>
      </c>
      <c r="F244" s="16" t="str">
        <f t="shared" ref="F244:F249" si="28">IF(E244="GOOD!","",IF(D244="","","Try Again"))</f>
        <v/>
      </c>
      <c r="G244" s="28"/>
      <c r="O244" s="4"/>
      <c r="Q244" s="2"/>
    </row>
    <row r="245" spans="3:17">
      <c r="C245" s="2" t="s">
        <v>154</v>
      </c>
      <c r="D245" s="26" t="str">
        <f t="shared" ref="D245:D249" si="29">RIGHT(TRIM(C245),7)</f>
        <v>TEXT954</v>
      </c>
      <c r="E245" s="27" t="str">
        <f t="shared" si="27"/>
        <v>GOOD!</v>
      </c>
      <c r="F245" s="16" t="str">
        <f t="shared" si="28"/>
        <v/>
      </c>
      <c r="G245" s="28"/>
      <c r="O245" s="4"/>
      <c r="Q245" s="2"/>
    </row>
    <row r="246" spans="3:17">
      <c r="C246" s="2" t="s">
        <v>155</v>
      </c>
      <c r="D246" s="26" t="str">
        <f t="shared" si="29"/>
        <v>TEXT432</v>
      </c>
      <c r="E246" s="27" t="str">
        <f t="shared" si="27"/>
        <v>GOOD!</v>
      </c>
      <c r="F246" s="16" t="str">
        <f t="shared" si="28"/>
        <v/>
      </c>
      <c r="G246" s="28"/>
      <c r="O246" s="4"/>
      <c r="Q246" s="2"/>
    </row>
    <row r="247" spans="3:17">
      <c r="C247" s="2" t="s">
        <v>156</v>
      </c>
      <c r="D247" s="26" t="str">
        <f t="shared" si="29"/>
        <v>TEXT573</v>
      </c>
      <c r="E247" s="27" t="str">
        <f t="shared" si="27"/>
        <v>GOOD!</v>
      </c>
      <c r="F247" s="16" t="str">
        <f t="shared" si="28"/>
        <v/>
      </c>
      <c r="G247" s="28"/>
      <c r="O247" s="4"/>
      <c r="Q247" s="2"/>
    </row>
    <row r="248" spans="3:17">
      <c r="C248" s="2" t="s">
        <v>157</v>
      </c>
      <c r="D248" s="26" t="str">
        <f t="shared" si="29"/>
        <v>TEXT095</v>
      </c>
      <c r="E248" s="27" t="str">
        <f t="shared" si="27"/>
        <v>GOOD!</v>
      </c>
      <c r="F248" s="16" t="str">
        <f t="shared" si="28"/>
        <v/>
      </c>
      <c r="G248" s="28"/>
      <c r="O248" s="4"/>
      <c r="Q248" s="2"/>
    </row>
    <row r="249" spans="3:17">
      <c r="C249" s="2" t="s">
        <v>158</v>
      </c>
      <c r="D249" s="26" t="str">
        <f t="shared" si="29"/>
        <v>TEXT542</v>
      </c>
      <c r="E249" s="27" t="str">
        <f t="shared" si="27"/>
        <v>GOOD!</v>
      </c>
      <c r="F249" s="16" t="str">
        <f t="shared" si="28"/>
        <v/>
      </c>
      <c r="G249" s="28"/>
      <c r="O249" s="4"/>
      <c r="Q249" s="2"/>
    </row>
    <row r="250" spans="4:7">
      <c r="D250" s="28"/>
      <c r="E250" s="28"/>
      <c r="F250" s="28"/>
      <c r="G250" s="28"/>
    </row>
  </sheetData>
  <sheetProtection algorithmName="SHA-512" hashValue="Ilv0WUQ/QeEfWn3qTC5CcVMKVeUNbflHDw6ZU1pmdZrsOjTJry/3ObEHwZwLaur3NtQg2dVwsdSYbaSUj1Z7Bg==" saltValue="yKaTCJh2CpaFwKPGaTkb6g==" spinCount="100000" sheet="1" objects="1" scenarios="1"/>
  <mergeCells count="46">
    <mergeCell ref="O5:R5"/>
    <mergeCell ref="F52:I52"/>
    <mergeCell ref="F53:I53"/>
    <mergeCell ref="F54:I54"/>
    <mergeCell ref="F55:I55"/>
    <mergeCell ref="F56:I56"/>
    <mergeCell ref="F57:I57"/>
    <mergeCell ref="F58:I58"/>
    <mergeCell ref="F59:I59"/>
    <mergeCell ref="F60:I60"/>
    <mergeCell ref="E71:H71"/>
    <mergeCell ref="E72:H72"/>
    <mergeCell ref="E73:H73"/>
    <mergeCell ref="E74:H74"/>
    <mergeCell ref="E75:H75"/>
    <mergeCell ref="E76:H76"/>
    <mergeCell ref="E77:H77"/>
    <mergeCell ref="E78:H78"/>
    <mergeCell ref="E79:H79"/>
    <mergeCell ref="G90:J90"/>
    <mergeCell ref="G91:J91"/>
    <mergeCell ref="G92:J92"/>
    <mergeCell ref="G93:J93"/>
    <mergeCell ref="G94:J94"/>
    <mergeCell ref="G95:J95"/>
    <mergeCell ref="G96:J96"/>
    <mergeCell ref="G97:J97"/>
    <mergeCell ref="G98:J98"/>
    <mergeCell ref="D109:E109"/>
    <mergeCell ref="D110:E110"/>
    <mergeCell ref="D111:E111"/>
    <mergeCell ref="D112:E112"/>
    <mergeCell ref="D113:E113"/>
    <mergeCell ref="D114:E114"/>
    <mergeCell ref="D115:E115"/>
    <mergeCell ref="D116:E116"/>
    <mergeCell ref="D117:E117"/>
    <mergeCell ref="G131:K131"/>
    <mergeCell ref="G132:K132"/>
    <mergeCell ref="G133:K133"/>
    <mergeCell ref="G134:K134"/>
    <mergeCell ref="G135:K135"/>
    <mergeCell ref="G136:K136"/>
    <mergeCell ref="G137:K137"/>
    <mergeCell ref="G138:K138"/>
    <mergeCell ref="G139:K139"/>
  </mergeCells>
  <pageMargins left="0.75" right="0.75" top="1" bottom="1" header="0.5" footer="0.5"/>
  <pageSetup paperSize="1" orientation="portrait"/>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1025" name="Button 1" r:id="rId3">
              <controlPr print="0" defaultSize="0">
                <anchor moveWithCells="1" sizeWithCells="1">
                  <from>
                    <xdr:col>0</xdr:col>
                    <xdr:colOff>19050</xdr:colOff>
                    <xdr:row>55</xdr:row>
                    <xdr:rowOff>66675</xdr:rowOff>
                  </from>
                  <to>
                    <xdr:col>1</xdr:col>
                    <xdr:colOff>9525</xdr:colOff>
                    <xdr:row>56</xdr:row>
                    <xdr:rowOff>95250</xdr:rowOff>
                  </to>
                </anchor>
              </controlPr>
            </control>
          </mc:Choice>
        </mc:AlternateContent>
        <mc:AlternateContent xmlns:mc="http://schemas.openxmlformats.org/markup-compatibility/2006">
          <mc:Choice Requires="x14">
            <control shapeId="1026" name="Button 2" r:id="rId4">
              <controlPr print="0" defaultSize="0">
                <anchor moveWithCells="1" sizeWithCells="1">
                  <from>
                    <xdr:col>0</xdr:col>
                    <xdr:colOff>19050</xdr:colOff>
                    <xdr:row>90</xdr:row>
                    <xdr:rowOff>66675</xdr:rowOff>
                  </from>
                  <to>
                    <xdr:col>1</xdr:col>
                    <xdr:colOff>9525</xdr:colOff>
                    <xdr:row>91</xdr:row>
                    <xdr:rowOff>95250</xdr:rowOff>
                  </to>
                </anchor>
              </controlPr>
            </control>
          </mc:Choice>
        </mc:AlternateContent>
        <mc:AlternateContent xmlns:mc="http://schemas.openxmlformats.org/markup-compatibility/2006">
          <mc:Choice Requires="x14">
            <control shapeId="1027" name="Button 3" r:id="rId5">
              <controlPr print="0" defaultSize="0">
                <anchor moveWithCells="1" sizeWithCells="1">
                  <from>
                    <xdr:col>0</xdr:col>
                    <xdr:colOff>19050</xdr:colOff>
                    <xdr:row>117</xdr:row>
                    <xdr:rowOff>66675</xdr:rowOff>
                  </from>
                  <to>
                    <xdr:col>1</xdr:col>
                    <xdr:colOff>9525</xdr:colOff>
                    <xdr:row>118</xdr:row>
                    <xdr:rowOff>95250</xdr:rowOff>
                  </to>
                </anchor>
              </controlPr>
            </control>
          </mc:Choice>
        </mc:AlternateContent>
        <mc:AlternateContent xmlns:mc="http://schemas.openxmlformats.org/markup-compatibility/2006">
          <mc:Choice Requires="x14">
            <control shapeId="1028" name="Button 4" r:id="rId6">
              <controlPr print="0" defaultSize="0">
                <anchor moveWithCells="1" sizeWithCells="1">
                  <from>
                    <xdr:col>0</xdr:col>
                    <xdr:colOff>0</xdr:colOff>
                    <xdr:row>138</xdr:row>
                    <xdr:rowOff>114300</xdr:rowOff>
                  </from>
                  <to>
                    <xdr:col>0</xdr:col>
                    <xdr:colOff>133350</xdr:colOff>
                    <xdr:row>139</xdr:row>
                    <xdr:rowOff>152400</xdr:rowOff>
                  </to>
                </anchor>
              </controlPr>
            </control>
          </mc:Choice>
        </mc:AlternateContent>
        <mc:AlternateContent xmlns:mc="http://schemas.openxmlformats.org/markup-compatibility/2006">
          <mc:Choice Requires="x14">
            <control shapeId="1029" name="Button 5" r:id="rId7">
              <controlPr print="0" defaultSize="0">
                <anchor moveWithCells="1" sizeWithCells="1">
                  <from>
                    <xdr:col>0</xdr:col>
                    <xdr:colOff>19050</xdr:colOff>
                    <xdr:row>170</xdr:row>
                    <xdr:rowOff>66675</xdr:rowOff>
                  </from>
                  <to>
                    <xdr:col>1</xdr:col>
                    <xdr:colOff>9525</xdr:colOff>
                    <xdr:row>171</xdr:row>
                    <xdr:rowOff>95250</xdr:rowOff>
                  </to>
                </anchor>
              </controlPr>
            </control>
          </mc:Choice>
        </mc:AlternateContent>
        <mc:AlternateContent xmlns:mc="http://schemas.openxmlformats.org/markup-compatibility/2006">
          <mc:Choice Requires="x14">
            <control shapeId="1030" name="Button 6" r:id="rId8">
              <controlPr print="0" defaultSize="0">
                <anchor moveWithCells="1" sizeWithCells="1">
                  <from>
                    <xdr:col>0</xdr:col>
                    <xdr:colOff>0</xdr:colOff>
                    <xdr:row>199</xdr:row>
                    <xdr:rowOff>123825</xdr:rowOff>
                  </from>
                  <to>
                    <xdr:col>0</xdr:col>
                    <xdr:colOff>133350</xdr:colOff>
                    <xdr:row>201</xdr:row>
                    <xdr:rowOff>0</xdr:rowOff>
                  </to>
                </anchor>
              </controlPr>
            </control>
          </mc:Choice>
        </mc:AlternateContent>
        <mc:AlternateContent xmlns:mc="http://schemas.openxmlformats.org/markup-compatibility/2006">
          <mc:Choice Requires="x14">
            <control shapeId="1031" name="Button 7" r:id="rId9">
              <controlPr print="0" defaultSize="0">
                <anchor moveWithCells="1" sizeWithCells="1">
                  <from>
                    <xdr:col>0</xdr:col>
                    <xdr:colOff>19050</xdr:colOff>
                    <xdr:row>223</xdr:row>
                    <xdr:rowOff>66675</xdr:rowOff>
                  </from>
                  <to>
                    <xdr:col>1</xdr:col>
                    <xdr:colOff>9525</xdr:colOff>
                    <xdr:row>224</xdr:row>
                    <xdr:rowOff>95250</xdr:rowOff>
                  </to>
                </anchor>
              </controlPr>
            </control>
          </mc:Choice>
        </mc:AlternateContent>
        <mc:AlternateContent xmlns:mc="http://schemas.openxmlformats.org/markup-compatibility/2006">
          <mc:Choice Requires="x14">
            <control shapeId="1032" name="Button 8" r:id="rId10">
              <controlPr print="0" defaultSize="0">
                <anchor moveWithCells="1" sizeWithCells="1">
                  <from>
                    <xdr:col>0</xdr:col>
                    <xdr:colOff>0</xdr:colOff>
                    <xdr:row>247</xdr:row>
                    <xdr:rowOff>0</xdr:rowOff>
                  </from>
                  <to>
                    <xdr:col>0</xdr:col>
                    <xdr:colOff>133350</xdr:colOff>
                    <xdr:row>248</xdr:row>
                    <xdr:rowOff>28575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24"/>
  <sheetViews>
    <sheetView workbookViewId="0">
      <selection activeCell="C5" sqref="C5"/>
    </sheetView>
  </sheetViews>
  <sheetFormatPr defaultColWidth="8.88888888888889" defaultRowHeight="14.4" outlineLevelCol="3"/>
  <cols>
    <col min="1" max="1" width="14.3333333333333" customWidth="1"/>
    <col min="2" max="2" width="18.5555555555556" customWidth="1"/>
    <col min="3" max="3" width="19.3333333333333" customWidth="1"/>
    <col min="4" max="4" width="25.1111111111111" customWidth="1"/>
  </cols>
  <sheetData>
    <row r="3" spans="1:3">
      <c r="A3" s="1" t="s">
        <v>2</v>
      </c>
      <c r="B3" s="1" t="s">
        <v>3</v>
      </c>
      <c r="C3" s="1" t="s">
        <v>4</v>
      </c>
    </row>
    <row r="4" spans="1:4">
      <c r="A4" s="2" t="s">
        <v>6</v>
      </c>
      <c r="B4" s="2" t="s">
        <v>7</v>
      </c>
      <c r="C4" s="2" t="s">
        <v>8</v>
      </c>
      <c r="D4" t="str">
        <f>A4&amp;B4&amp;C4</f>
        <v>OneTwoThree</v>
      </c>
    </row>
    <row r="5" spans="1:4">
      <c r="A5" s="2" t="s">
        <v>8</v>
      </c>
      <c r="B5" s="2" t="s">
        <v>9</v>
      </c>
      <c r="C5" s="2">
        <v>56</v>
      </c>
      <c r="D5" t="str">
        <f t="shared" ref="D5:D12" si="0">A5&amp;B5&amp;C5</f>
        <v>ThreeFour56</v>
      </c>
    </row>
    <row r="6" spans="1:4">
      <c r="A6" s="2" t="s">
        <v>11</v>
      </c>
      <c r="B6" s="2" t="s">
        <v>12</v>
      </c>
      <c r="C6" s="2" t="s">
        <v>13</v>
      </c>
      <c r="D6" t="str">
        <f t="shared" si="0"/>
        <v>RedYellowOrange</v>
      </c>
    </row>
    <row r="7" spans="1:4">
      <c r="A7" s="2" t="s">
        <v>14</v>
      </c>
      <c r="B7" s="2" t="s">
        <v>15</v>
      </c>
      <c r="C7" s="2" t="s">
        <v>16</v>
      </c>
      <c r="D7" t="str">
        <f t="shared" si="0"/>
        <v>HotCrossedBuns</v>
      </c>
    </row>
    <row r="8" spans="1:4">
      <c r="A8" s="2" t="s">
        <v>17</v>
      </c>
      <c r="B8" s="2" t="s">
        <v>18</v>
      </c>
      <c r="C8" s="2" t="s">
        <v>19</v>
      </c>
      <c r="D8" t="str">
        <f t="shared" si="0"/>
        <v>EtchASketch</v>
      </c>
    </row>
    <row r="9" spans="1:4">
      <c r="A9" s="2" t="s">
        <v>20</v>
      </c>
      <c r="B9" s="2" t="s">
        <v>21</v>
      </c>
      <c r="C9" s="2" t="s">
        <v>22</v>
      </c>
      <c r="D9" t="str">
        <f t="shared" si="0"/>
        <v>FliptheBurger</v>
      </c>
    </row>
    <row r="10" spans="1:4">
      <c r="A10" s="2" t="s">
        <v>23</v>
      </c>
      <c r="B10" s="2" t="s">
        <v>24</v>
      </c>
      <c r="C10" s="2" t="s">
        <v>25</v>
      </c>
      <c r="D10" t="str">
        <f t="shared" si="0"/>
        <v>UpAndDown</v>
      </c>
    </row>
    <row r="11" spans="1:4">
      <c r="A11" s="2" t="s">
        <v>26</v>
      </c>
      <c r="B11" s="2" t="s">
        <v>24</v>
      </c>
      <c r="C11" s="2" t="s">
        <v>27</v>
      </c>
      <c r="D11" t="str">
        <f t="shared" si="0"/>
        <v>LeftAndRight</v>
      </c>
    </row>
    <row r="12" spans="1:4">
      <c r="A12" s="2" t="s">
        <v>28</v>
      </c>
      <c r="B12" s="2" t="s">
        <v>29</v>
      </c>
      <c r="C12" s="2" t="s">
        <v>30</v>
      </c>
      <c r="D12" t="str">
        <f t="shared" si="0"/>
        <v>NorththenSouth</v>
      </c>
    </row>
    <row r="15" spans="1:1">
      <c r="A15" s="2" t="s">
        <v>76</v>
      </c>
    </row>
    <row r="16" spans="1:2">
      <c r="A16" s="2" t="s">
        <v>18</v>
      </c>
      <c r="B16" t="str">
        <f>A16</f>
        <v>A</v>
      </c>
    </row>
    <row r="17" spans="1:2">
      <c r="A17" s="2" t="s">
        <v>77</v>
      </c>
      <c r="B17" t="str">
        <f>A17&amp;" "&amp;B16</f>
        <v>B A</v>
      </c>
    </row>
    <row r="18" spans="1:2">
      <c r="A18" s="2" t="s">
        <v>79</v>
      </c>
      <c r="B18" t="str">
        <f t="shared" ref="B18:B24" si="1">A18&amp;" "&amp;B17</f>
        <v>C B A</v>
      </c>
    </row>
    <row r="19" spans="1:2">
      <c r="A19" s="2" t="s">
        <v>81</v>
      </c>
      <c r="B19" t="str">
        <f t="shared" si="1"/>
        <v>D C B A</v>
      </c>
    </row>
    <row r="20" spans="1:2">
      <c r="A20" s="2" t="s">
        <v>83</v>
      </c>
      <c r="B20" t="str">
        <f t="shared" si="1"/>
        <v>E D C B A</v>
      </c>
    </row>
    <row r="21" spans="1:2">
      <c r="A21" s="2" t="s">
        <v>85</v>
      </c>
      <c r="B21" t="str">
        <f t="shared" si="1"/>
        <v>F E D C B A</v>
      </c>
    </row>
    <row r="22" spans="1:2">
      <c r="A22" s="2" t="s">
        <v>87</v>
      </c>
      <c r="B22" t="str">
        <f t="shared" si="1"/>
        <v>G F E D C B A</v>
      </c>
    </row>
    <row r="23" spans="1:2">
      <c r="A23" s="2" t="s">
        <v>89</v>
      </c>
      <c r="B23" t="str">
        <f t="shared" si="1"/>
        <v>H G F E D C B A</v>
      </c>
    </row>
    <row r="24" spans="1:2">
      <c r="A24" s="2" t="s">
        <v>91</v>
      </c>
      <c r="B24" t="str">
        <f t="shared" si="1"/>
        <v>I H G F E D C B A</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Text Formulas Exercises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AMYNA</dc:creator>
  <cp:lastModifiedBy>RWn. Mayur Vaishnav</cp:lastModifiedBy>
  <dcterms:created xsi:type="dcterms:W3CDTF">2016-12-12T16:59:00Z</dcterms:created>
  <dcterms:modified xsi:type="dcterms:W3CDTF">2024-11-29T07:41:57Z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946EF19CEAF648BE900D703A1D7EE3D2_12</vt:lpwstr>
  </property>
  <property fmtid="{D5CDD505-2E9C-101B-9397-08002B2CF9AE}" pid="3" name="KSOProductBuildVer">
    <vt:lpwstr>1033-12.2.0.18911</vt:lpwstr>
  </property>
</Properties>
</file>