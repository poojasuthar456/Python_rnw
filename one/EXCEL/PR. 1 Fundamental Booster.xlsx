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s Grade" sheetId="2" r:id="rId1"/>
    <sheet name="Sales Data " sheetId="9" r:id="rId2"/>
    <sheet name="Employee Data" sheetId="4" r:id="rId3"/>
  </sheets>
  <definedNames>
    <definedName name="Net_Sales">'Sales Data '!$F$4:$F$1082</definedName>
    <definedName name="Region">'Sales Data '!$D$4:$D$1082</definedName>
    <definedName name="Salesman">'Sales Data '!$C$4:$C$1082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<sst xmlns="http://schemas.openxmlformats.org/spreadsheetml/2006/main" count="256" uniqueCount="141">
  <si>
    <t>Student ID</t>
  </si>
  <si>
    <t>Name</t>
  </si>
  <si>
    <t>Math</t>
  </si>
  <si>
    <t>Science</t>
  </si>
  <si>
    <t>English</t>
  </si>
  <si>
    <t>Enrollment Date</t>
  </si>
  <si>
    <t>Total in %</t>
  </si>
  <si>
    <t>Grade</t>
  </si>
  <si>
    <t>Above 80?</t>
  </si>
  <si>
    <t>Student 1</t>
  </si>
  <si>
    <t>Cretiria</t>
  </si>
  <si>
    <t>Student 2</t>
  </si>
  <si>
    <t>≥ 80</t>
  </si>
  <si>
    <t>A</t>
  </si>
  <si>
    <t>CountIF- Student Scored above 50 in maths</t>
  </si>
  <si>
    <t>Extract the first name from full names using LEFT and FIND.</t>
  </si>
  <si>
    <t>Convert names to uppercase/lowercase using UPPER(), LOWER().</t>
  </si>
  <si>
    <t>Student 3</t>
  </si>
  <si>
    <t>60 – 79</t>
  </si>
  <si>
    <t>B</t>
  </si>
  <si>
    <t>Student 4</t>
  </si>
  <si>
    <t>40 – 59</t>
  </si>
  <si>
    <t>C</t>
  </si>
  <si>
    <t>Student 5</t>
  </si>
  <si>
    <t>&lt; 40</t>
  </si>
  <si>
    <t>Fail</t>
  </si>
  <si>
    <t>AverageIF- Student Scored above 60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</si>
  <si>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</si>
  <si>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</si>
  <si>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</si>
  <si>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</si>
  <si>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</si>
  <si>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</si>
  <si>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</si>
  <si>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</si>
  <si>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Find the difference in days between two dates in days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</si>
  <si>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</si>
  <si>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</si>
  <si>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</si>
  <si>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</si>
  <si>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</si>
  <si>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</si>
  <si>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</si>
  <si>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</si>
  <si>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Vlookup</t>
  </si>
  <si>
    <t>Filter</t>
  </si>
  <si>
    <t>Extract a list of top-performing students based on scores.</t>
  </si>
  <si>
    <t>Indirect Function</t>
  </si>
  <si>
    <t>Sales ID</t>
  </si>
  <si>
    <t>Product</t>
  </si>
  <si>
    <t>Region</t>
  </si>
  <si>
    <t>Salesperson</t>
  </si>
  <si>
    <t>Amount</t>
  </si>
  <si>
    <t>Date</t>
  </si>
  <si>
    <t>Discount</t>
  </si>
  <si>
    <t>Keyboard</t>
  </si>
  <si>
    <t>South</t>
  </si>
  <si>
    <t>Person 1</t>
  </si>
  <si>
    <t>Printer</t>
  </si>
  <si>
    <t>West</t>
  </si>
  <si>
    <t>Person 2</t>
  </si>
  <si>
    <t>Price Threshold</t>
  </si>
  <si>
    <t>SUMIFS Formula Example 1</t>
  </si>
  <si>
    <t>Xlookup</t>
  </si>
  <si>
    <t>Mouse</t>
  </si>
  <si>
    <t>Person 3</t>
  </si>
  <si>
    <t xml:space="preserve">Amount </t>
  </si>
  <si>
    <t>Conditions</t>
  </si>
  <si>
    <t>Search for salesperson performance based on flexible search criteria.</t>
  </si>
  <si>
    <t>East</t>
  </si>
  <si>
    <t>Person 4</t>
  </si>
  <si>
    <t>&gt;30000</t>
  </si>
  <si>
    <t>North</t>
  </si>
  <si>
    <t>Person 5</t>
  </si>
  <si>
    <t>20k-30k</t>
  </si>
  <si>
    <t>Person 6</t>
  </si>
  <si>
    <t>&lt;20,000</t>
  </si>
  <si>
    <t>Person 7</t>
  </si>
  <si>
    <t xml:space="preserve">otherwise </t>
  </si>
  <si>
    <t>no</t>
  </si>
  <si>
    <t>Result</t>
  </si>
  <si>
    <t>Person 8</t>
  </si>
  <si>
    <t>Person 9</t>
  </si>
  <si>
    <t>Person 10</t>
  </si>
  <si>
    <t>Elegibility Criteria</t>
  </si>
  <si>
    <t>Person 11</t>
  </si>
  <si>
    <t>&gt;15,000</t>
  </si>
  <si>
    <t>Not Elegibile</t>
  </si>
  <si>
    <t>Monitor</t>
  </si>
  <si>
    <t>Person 12</t>
  </si>
  <si>
    <t>Laptop</t>
  </si>
  <si>
    <t>Person 13</t>
  </si>
  <si>
    <t>Person 14</t>
  </si>
  <si>
    <t>index and match</t>
  </si>
  <si>
    <t>Person 15</t>
  </si>
  <si>
    <t>Find sales values for a specific salesperson in a specific month.</t>
  </si>
  <si>
    <t>Person 16</t>
  </si>
  <si>
    <t>Person 17</t>
  </si>
  <si>
    <t>Person 18</t>
  </si>
  <si>
    <t>Person 19</t>
  </si>
  <si>
    <t>Person 20</t>
  </si>
  <si>
    <t>Xmatch</t>
  </si>
  <si>
    <t>Offset</t>
  </si>
  <si>
    <t>Create dynamic ranges for sales trends.</t>
  </si>
  <si>
    <t>Employee ID</t>
  </si>
  <si>
    <t>Department</t>
  </si>
  <si>
    <t>Salary</t>
  </si>
  <si>
    <t>Joining Date</t>
  </si>
  <si>
    <t>Employee 1</t>
  </si>
  <si>
    <t>Finance</t>
  </si>
  <si>
    <t>Math Function</t>
  </si>
  <si>
    <t>Employee 2</t>
  </si>
  <si>
    <t>Round</t>
  </si>
  <si>
    <t>Ceiling</t>
  </si>
  <si>
    <t>Floor</t>
  </si>
  <si>
    <t>Employee 3</t>
  </si>
  <si>
    <t>HR</t>
  </si>
  <si>
    <t>Difference Between Joining date of two employee</t>
  </si>
  <si>
    <t>Find employee salaries without worrying about sorted data.</t>
  </si>
  <si>
    <t>Employee 4</t>
  </si>
  <si>
    <t>Days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</si>
  <si>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</si>
  <si>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</si>
  <si>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</si>
  <si>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</si>
  <si>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</si>
  <si>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</si>
  <si>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</si>
  <si>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</si>
  <si>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Index and Match</t>
  </si>
  <si>
    <t>Employee 11</t>
  </si>
  <si>
    <t>Look up employee details dynamically without column restrictions.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</si>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</sst>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yyyy/mm/dd\ hh:mm:ss"/>
  </numFmts>
  <fonts count="25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7" applyNumberFormat="0" applyAlignment="0" applyProtection="0">
      <alignment vertical="center"/>
    </xf>
    <xf numFmtId="0" fontId="15" fillId="10" borderId="18" applyNumberFormat="0" applyAlignment="0" applyProtection="0">
      <alignment vertical="center"/>
    </xf>
    <xf numFmtId="0" fontId="16" fillId="10" borderId="17" applyNumberFormat="0" applyAlignment="0" applyProtection="0">
      <alignment vertical="center"/>
    </xf>
    <xf numFmtId="0" fontId="17" fillId="11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6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1" fontId="2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/>
    </xf>
    <xf numFmtId="180" fontId="0" fillId="0" borderId="0" xfId="0" applyNumberFormat="1" applyFont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/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80" fontId="0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9" fontId="0" fillId="0" borderId="4" xfId="0" applyNumberFormat="1" applyFont="1" applyBorder="1" applyAlignment="1">
      <alignment horizontal="center" vertical="center" wrapText="1"/>
    </xf>
    <xf numFmtId="9" fontId="0" fillId="0" borderId="5" xfId="0" applyNumberFormat="1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3" fillId="6" borderId="2" xfId="0" applyFont="1" applyFill="1" applyBorder="1"/>
    <xf numFmtId="0" fontId="0" fillId="6" borderId="2" xfId="0" applyFill="1" applyBorder="1"/>
    <xf numFmtId="3" fontId="0" fillId="0" borderId="2" xfId="0" applyNumberFormat="1" applyFont="1" applyBorder="1" applyAlignment="1">
      <alignment horizontal="center"/>
    </xf>
    <xf numFmtId="9" fontId="0" fillId="0" borderId="2" xfId="0" applyNumberFormat="1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/>
    <xf numFmtId="0" fontId="4" fillId="7" borderId="2" xfId="22" applyFont="1" applyFill="1" applyBorder="1" applyAlignment="1">
      <alignment horizontal="left" vertical="center" wrapText="1" indent="1"/>
    </xf>
    <xf numFmtId="0" fontId="0" fillId="3" borderId="2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181" fontId="2" fillId="0" borderId="2" xfId="0" applyNumberFormat="1" applyFont="1" applyBorder="1" applyAlignment="1">
      <alignment horizontal="center" vertical="center"/>
    </xf>
    <xf numFmtId="180" fontId="0" fillId="0" borderId="2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180" fontId="0" fillId="0" borderId="5" xfId="0" applyNumberFormat="1" applyFont="1" applyBorder="1" applyAlignment="1"/>
    <xf numFmtId="10" fontId="0" fillId="0" borderId="4" xfId="1" applyNumberFormat="1" applyFont="1" applyBorder="1" applyAlignment="1">
      <alignment vertical="center"/>
    </xf>
    <xf numFmtId="10" fontId="0" fillId="0" borderId="5" xfId="1" applyNumberFormat="1" applyFont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181" fontId="2" fillId="0" borderId="10" xfId="0" applyNumberFormat="1" applyFont="1" applyBorder="1" applyAlignment="1">
      <alignment horizontal="center" vertical="center"/>
    </xf>
    <xf numFmtId="10" fontId="0" fillId="0" borderId="11" xfId="1" applyNumberFormat="1" applyFont="1" applyBorder="1" applyAlignment="1">
      <alignment vertical="center"/>
    </xf>
    <xf numFmtId="0" fontId="0" fillId="0" borderId="12" xfId="0" applyFont="1" applyBorder="1" applyAlignment="1">
      <alignment horizontal="center" vertical="center"/>
    </xf>
    <xf numFmtId="10" fontId="0" fillId="0" borderId="2" xfId="1" applyNumberFormat="1" applyFont="1" applyBorder="1" applyAlignment="1">
      <alignment vertical="center"/>
    </xf>
    <xf numFmtId="0" fontId="0" fillId="0" borderId="3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12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Font="1" applyBorder="1" applyAlignment="1"/>
    <xf numFmtId="10" fontId="0" fillId="0" borderId="3" xfId="0" applyNumberFormat="1" applyFont="1" applyBorder="1" applyAlignment="1">
      <alignment horizontal="center"/>
    </xf>
    <xf numFmtId="0" fontId="0" fillId="0" borderId="0" xfId="0" applyFont="1" applyBorder="1" applyAlignment="1">
      <alignment vertical="center"/>
    </xf>
    <xf numFmtId="0" fontId="0" fillId="0" borderId="3" xfId="0" applyFont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  <numFmt numFmtId="180" formatCode="&quot;₹&quot;#,##0.00_);[Red]\(&quot;₹&quot;#,##0.00\)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rgb="FF000000"/>
      </font>
      <numFmt numFmtId="181" formatCode="yyyy/mm/dd\ hh:mm:ss"/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21" totalsRowShown="0">
  <autoFilter xmlns:etc="http://www.wps.cn/officeDocument/2017/etCustomData" ref="A1:F21" etc:filterBottomFollowUsedRange="0"/>
  <tableColumns count="6">
    <tableColumn id="1" name="Sales ID" dataDxfId="0"/>
    <tableColumn id="2" name="Product" dataDxfId="1"/>
    <tableColumn id="3" name="Region" dataDxfId="2"/>
    <tableColumn id="4" name="Salesperson" dataDxfId="3"/>
    <tableColumn id="5" name="Amount" dataDxfId="4"/>
    <tableColumn id="6" name="Date" dataDxfId="5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topLeftCell="L1" workbookViewId="0">
      <selection activeCell="K25" sqref="K25:L25"/>
    </sheetView>
  </sheetViews>
  <sheetFormatPr defaultColWidth="14.4259259259259" defaultRowHeight="15" customHeight="1"/>
  <cols>
    <col min="1" max="1" width="10.287037037037" customWidth="1"/>
    <col min="2" max="2" width="10.4259259259259" customWidth="1"/>
    <col min="3" max="3" width="5.86111111111111" customWidth="1"/>
    <col min="4" max="4" width="7.57407407407407" customWidth="1"/>
    <col min="5" max="5" width="7.28703703703704" customWidth="1"/>
    <col min="6" max="6" width="18.8611111111111" customWidth="1"/>
    <col min="7" max="10" width="8.71296296296296" customWidth="1"/>
    <col min="11" max="11" width="10.6666666666667" customWidth="1"/>
    <col min="12" max="12" width="10.4444444444444" customWidth="1"/>
    <col min="13" max="13" width="8.71296296296296" customWidth="1"/>
    <col min="14" max="14" width="7" customWidth="1"/>
    <col min="15" max="15" width="3.44444444444444" hidden="1" customWidth="1"/>
    <col min="16" max="17" width="10.4444444444444" customWidth="1"/>
    <col min="18" max="19" width="8.71296296296296" customWidth="1"/>
    <col min="20" max="20" width="13.5555555555556" customWidth="1"/>
    <col min="21" max="23" width="8.71296296296296" customWidth="1"/>
    <col min="24" max="24" width="10.6666666666667" customWidth="1"/>
    <col min="25" max="25" width="54.6666666666667" customWidth="1"/>
    <col min="26" max="26" width="59.7777777777778" customWidth="1"/>
  </cols>
  <sheetData>
    <row r="1" ht="14.4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4" spans="1:26">
      <c r="A2" s="3">
        <v>1001</v>
      </c>
      <c r="B2" s="3" t="s">
        <v>9</v>
      </c>
      <c r="C2" s="3">
        <v>61</v>
      </c>
      <c r="D2" s="3">
        <v>48</v>
      </c>
      <c r="E2" s="3">
        <v>76</v>
      </c>
      <c r="F2" s="5">
        <v>43101</v>
      </c>
      <c r="G2" s="42" cm="1">
        <f t="array" ref="G2">SUM(C2:E2/300*100)/100</f>
        <v>0.616666666666667</v>
      </c>
      <c r="H2" s="13" t="str">
        <f t="shared" ref="H2:H22" si="0">IF(G2&gt;=80%,"A",IF(G2&gt;=60%,"B",IF(G2&gt;=40%,"C","Fail")))</f>
        <v>B</v>
      </c>
      <c r="I2" s="49" t="str">
        <f>IF(AND(C2&gt;80,D2&gt;80),"Yes","No")</f>
        <v>No</v>
      </c>
      <c r="J2" s="2"/>
      <c r="K2" s="1" t="s">
        <v>10</v>
      </c>
      <c r="L2" s="1" t="s">
        <v>7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4" spans="1:26">
      <c r="A3" s="3">
        <v>1002</v>
      </c>
      <c r="B3" s="3" t="s">
        <v>11</v>
      </c>
      <c r="C3" s="3">
        <v>78</v>
      </c>
      <c r="D3" s="3">
        <v>76</v>
      </c>
      <c r="E3" s="3">
        <v>70</v>
      </c>
      <c r="F3" s="5">
        <v>43281</v>
      </c>
      <c r="G3" s="43" cm="1">
        <f t="array" ref="G3">SUM(C3:E3/300*100)/100</f>
        <v>0.746666666666667</v>
      </c>
      <c r="H3" s="9" t="str">
        <f t="shared" si="0"/>
        <v>B</v>
      </c>
      <c r="I3" s="50" t="str">
        <f t="shared" ref="I3:I22" si="1">IF(AND(C3&gt;80,D3&gt;80),"Yes","No")</f>
        <v>No</v>
      </c>
      <c r="J3" s="2"/>
      <c r="K3" s="51" t="s">
        <v>12</v>
      </c>
      <c r="L3" s="51" t="s">
        <v>13</v>
      </c>
      <c r="P3" s="1"/>
      <c r="Q3" s="1"/>
      <c r="R3" s="1" t="s">
        <v>14</v>
      </c>
      <c r="S3" s="1"/>
      <c r="T3" s="1"/>
      <c r="V3" s="2"/>
      <c r="W3" s="2"/>
      <c r="Y3" s="61" t="s">
        <v>15</v>
      </c>
      <c r="Z3" s="61" t="s">
        <v>16</v>
      </c>
    </row>
    <row r="4" ht="14.4" spans="1:26">
      <c r="A4" s="3">
        <v>1003</v>
      </c>
      <c r="B4" s="3" t="s">
        <v>17</v>
      </c>
      <c r="C4" s="3">
        <v>97</v>
      </c>
      <c r="D4" s="3">
        <v>60</v>
      </c>
      <c r="E4" s="3">
        <v>51</v>
      </c>
      <c r="F4" s="5">
        <v>43461</v>
      </c>
      <c r="G4" s="43" cm="1">
        <f t="array" ref="G4">SUM(C4:E4/300*100)/100</f>
        <v>0.693333333333333</v>
      </c>
      <c r="H4" s="9" t="str">
        <f t="shared" si="0"/>
        <v>B</v>
      </c>
      <c r="I4" s="50" t="str">
        <f t="shared" si="1"/>
        <v>No</v>
      </c>
      <c r="J4" s="2"/>
      <c r="K4" s="51" t="s">
        <v>18</v>
      </c>
      <c r="L4" s="51" t="s">
        <v>19</v>
      </c>
      <c r="R4" s="13">
        <f>COUNTIF(C2:C21,"&gt;50")</f>
        <v>19</v>
      </c>
      <c r="S4" s="2"/>
      <c r="T4" s="2"/>
      <c r="V4" s="2"/>
      <c r="W4" s="2"/>
      <c r="X4" s="1" t="s">
        <v>0</v>
      </c>
      <c r="Y4" s="1" t="s">
        <v>1</v>
      </c>
      <c r="Z4" s="1" t="s">
        <v>1</v>
      </c>
    </row>
    <row r="5" ht="14.4" spans="1:26">
      <c r="A5" s="3">
        <v>1004</v>
      </c>
      <c r="B5" s="3" t="s">
        <v>20</v>
      </c>
      <c r="C5" s="3">
        <v>74</v>
      </c>
      <c r="D5" s="3">
        <v>55</v>
      </c>
      <c r="E5" s="3">
        <v>46</v>
      </c>
      <c r="F5" s="5">
        <v>43641</v>
      </c>
      <c r="G5" s="43" cm="1">
        <f t="array" ref="G5">SUM(C5:E5/300*100)/100</f>
        <v>0.583333333333333</v>
      </c>
      <c r="H5" s="9" t="str">
        <f t="shared" si="0"/>
        <v>C</v>
      </c>
      <c r="I5" s="50" t="str">
        <f t="shared" si="1"/>
        <v>No</v>
      </c>
      <c r="J5" s="2"/>
      <c r="K5" s="51" t="s">
        <v>21</v>
      </c>
      <c r="L5" s="51" t="s">
        <v>22</v>
      </c>
      <c r="R5" s="2"/>
      <c r="T5" s="2"/>
      <c r="V5" s="2"/>
      <c r="W5" s="2"/>
      <c r="X5" s="3">
        <v>1001</v>
      </c>
      <c r="Y5" s="62" t="str">
        <f>LEFT('Students Grade'!B2,FIND(" ",'Students Grade'!B2)-1)</f>
        <v>Student</v>
      </c>
      <c r="Z5" s="56" t="str">
        <f>UPPER('Students Grade'!B2)</f>
        <v>STUDENT 1</v>
      </c>
    </row>
    <row r="6" ht="14.4" spans="1:26">
      <c r="A6" s="3">
        <v>1005</v>
      </c>
      <c r="B6" s="3" t="s">
        <v>23</v>
      </c>
      <c r="C6" s="3">
        <v>68</v>
      </c>
      <c r="D6" s="3">
        <v>74</v>
      </c>
      <c r="E6" s="3">
        <v>84</v>
      </c>
      <c r="F6" s="5">
        <v>43821</v>
      </c>
      <c r="G6" s="43" cm="1">
        <f t="array" ref="G6">SUM(C6:E6/300*100)/100</f>
        <v>0.753333333333333</v>
      </c>
      <c r="H6" s="9" t="str">
        <f t="shared" si="0"/>
        <v>B</v>
      </c>
      <c r="I6" s="50" t="str">
        <f t="shared" si="1"/>
        <v>No</v>
      </c>
      <c r="J6" s="2"/>
      <c r="K6" s="51" t="s">
        <v>24</v>
      </c>
      <c r="L6" s="51" t="s">
        <v>25</v>
      </c>
      <c r="P6" s="1"/>
      <c r="Q6" s="1"/>
      <c r="R6" s="1" t="s">
        <v>26</v>
      </c>
      <c r="S6" s="1"/>
      <c r="T6" s="1"/>
      <c r="V6" s="2"/>
      <c r="W6" s="2"/>
      <c r="X6" s="3">
        <v>1002</v>
      </c>
      <c r="Y6" s="63" t="str">
        <f>LEFT('Students Grade'!B3,FIND(" ",'Students Grade'!B3)-1)</f>
        <v>Student</v>
      </c>
      <c r="Z6" s="10" t="str">
        <f>UPPER('Students Grade'!B3)</f>
        <v>STUDENT 2</v>
      </c>
    </row>
    <row r="7" ht="14.4" spans="1:26">
      <c r="A7" s="3">
        <v>1006</v>
      </c>
      <c r="B7" s="3" t="s">
        <v>27</v>
      </c>
      <c r="C7" s="3">
        <v>80</v>
      </c>
      <c r="D7" s="3">
        <v>70</v>
      </c>
      <c r="E7" s="3">
        <v>65</v>
      </c>
      <c r="F7" s="5">
        <v>44001</v>
      </c>
      <c r="G7" s="43" cm="1">
        <f t="array" ref="G7">SUM(C7:E7/300*100)/100</f>
        <v>0.716666666666667</v>
      </c>
      <c r="H7" s="9" t="str">
        <f t="shared" si="0"/>
        <v>B</v>
      </c>
      <c r="I7" s="50" t="str">
        <f t="shared" si="1"/>
        <v>No</v>
      </c>
      <c r="J7" s="2"/>
      <c r="K7" s="2"/>
      <c r="R7" s="57" cm="1">
        <f t="array" ref="R7">AVERAGE(IF((C2:C21&gt;60)*(D2:D21&gt;60)*(E2:E21&gt;60),(C2:C21+D2:D21+E2:E21)/3))/100</f>
        <v>0.793333333333333</v>
      </c>
      <c r="S7" s="2"/>
      <c r="T7" s="2"/>
      <c r="V7" s="2"/>
      <c r="W7" s="2"/>
      <c r="X7" s="3">
        <v>1003</v>
      </c>
      <c r="Y7" s="63" t="str">
        <f>LEFT('Students Grade'!B4,FIND(" ",'Students Grade'!B4)-1)</f>
        <v>Student</v>
      </c>
      <c r="Z7" s="10" t="str">
        <f>UPPER('Students Grade'!B4)</f>
        <v>STUDENT 3</v>
      </c>
    </row>
    <row r="8" ht="14.4" spans="1:26">
      <c r="A8" s="3">
        <v>1007</v>
      </c>
      <c r="B8" s="3" t="s">
        <v>28</v>
      </c>
      <c r="C8" s="3">
        <v>75</v>
      </c>
      <c r="D8" s="3">
        <v>47</v>
      </c>
      <c r="E8" s="3">
        <v>78</v>
      </c>
      <c r="F8" s="5">
        <v>44181</v>
      </c>
      <c r="G8" s="43" cm="1">
        <f t="array" ref="G8">SUM(C8:E8/300*100)/100</f>
        <v>0.666666666666667</v>
      </c>
      <c r="H8" s="9" t="str">
        <f t="shared" si="0"/>
        <v>B</v>
      </c>
      <c r="I8" s="50" t="str">
        <f t="shared" si="1"/>
        <v>No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3">
        <v>1004</v>
      </c>
      <c r="Y8" s="63" t="str">
        <f>LEFT('Students Grade'!B5,FIND(" ",'Students Grade'!B5)-1)</f>
        <v>Student</v>
      </c>
      <c r="Z8" s="10" t="str">
        <f>UPPER('Students Grade'!B5)</f>
        <v>STUDENT 4</v>
      </c>
    </row>
    <row r="9" ht="14.4" spans="1:26">
      <c r="A9" s="3">
        <v>1008</v>
      </c>
      <c r="B9" s="3" t="s">
        <v>29</v>
      </c>
      <c r="C9" s="3">
        <v>94</v>
      </c>
      <c r="D9" s="3">
        <v>67</v>
      </c>
      <c r="E9" s="3">
        <v>64</v>
      </c>
      <c r="F9" s="5">
        <v>44361</v>
      </c>
      <c r="G9" s="43" cm="1">
        <f t="array" ref="G9">SUM(C9:E9/300*100)/100</f>
        <v>0.75</v>
      </c>
      <c r="H9" s="9" t="str">
        <f t="shared" si="0"/>
        <v>B</v>
      </c>
      <c r="I9" s="50" t="str">
        <f t="shared" si="1"/>
        <v>No</v>
      </c>
      <c r="J9" s="2"/>
      <c r="K9" s="2"/>
      <c r="L9" s="2"/>
      <c r="M9" s="2"/>
      <c r="N9" s="2"/>
      <c r="O9" s="2"/>
      <c r="P9" s="2"/>
      <c r="R9" s="2"/>
      <c r="S9" s="2"/>
      <c r="T9" s="2"/>
      <c r="U9" s="2"/>
      <c r="V9" s="2"/>
      <c r="W9" s="2"/>
      <c r="X9" s="3">
        <v>1005</v>
      </c>
      <c r="Y9" s="63" t="str">
        <f>LEFT('Students Grade'!B6,FIND(" ",'Students Grade'!B6)-1)</f>
        <v>Student</v>
      </c>
      <c r="Z9" s="10" t="str">
        <f>UPPER('Students Grade'!B6)</f>
        <v>STUDENT 5</v>
      </c>
    </row>
    <row r="10" ht="14.4" spans="1:26">
      <c r="A10" s="3">
        <v>1009</v>
      </c>
      <c r="B10" s="3" t="s">
        <v>30</v>
      </c>
      <c r="C10" s="3">
        <v>41</v>
      </c>
      <c r="D10" s="3">
        <v>75</v>
      </c>
      <c r="E10" s="3">
        <v>56</v>
      </c>
      <c r="F10" s="5">
        <v>44541</v>
      </c>
      <c r="G10" s="43" cm="1">
        <f t="array" ref="G10">SUM(C10:E10/300*100)/100</f>
        <v>0.573333333333333</v>
      </c>
      <c r="H10" s="9" t="str">
        <f t="shared" si="0"/>
        <v>C</v>
      </c>
      <c r="I10" s="50" t="str">
        <f t="shared" si="1"/>
        <v>No</v>
      </c>
      <c r="J10" s="2"/>
      <c r="K10" s="2"/>
      <c r="L10" s="2"/>
      <c r="M10" s="2"/>
      <c r="N10" s="2"/>
      <c r="O10" s="2"/>
      <c r="P10" s="2"/>
      <c r="R10" s="2"/>
      <c r="S10" s="2"/>
      <c r="T10" s="2"/>
      <c r="U10" s="2"/>
      <c r="V10" s="2"/>
      <c r="W10" s="2"/>
      <c r="X10" s="3">
        <v>1006</v>
      </c>
      <c r="Y10" s="63" t="str">
        <f>LEFT('Students Grade'!B7,FIND(" ",'Students Grade'!B7)-1)</f>
        <v>Student</v>
      </c>
      <c r="Z10" s="10" t="str">
        <f>UPPER('Students Grade'!B7)</f>
        <v>STUDENT 6</v>
      </c>
    </row>
    <row r="11" ht="14.4" spans="1:26">
      <c r="A11" s="3">
        <v>1010</v>
      </c>
      <c r="B11" s="3" t="s">
        <v>31</v>
      </c>
      <c r="C11" s="3">
        <v>98</v>
      </c>
      <c r="D11" s="3">
        <v>54</v>
      </c>
      <c r="E11" s="3">
        <v>58</v>
      </c>
      <c r="F11" s="5">
        <v>44721</v>
      </c>
      <c r="G11" s="43" cm="1">
        <f t="array" ref="G11">SUM(C11:E11/300*100)/100</f>
        <v>0.7</v>
      </c>
      <c r="H11" s="9" t="str">
        <f t="shared" si="0"/>
        <v>B</v>
      </c>
      <c r="I11" s="50" t="str">
        <f t="shared" si="1"/>
        <v>No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3">
        <v>1007</v>
      </c>
      <c r="Y11" s="63" t="str">
        <f>LEFT('Students Grade'!B8,FIND(" ",'Students Grade'!B8)-1)</f>
        <v>Student</v>
      </c>
      <c r="Z11" s="10" t="str">
        <f>UPPER('Students Grade'!B8)</f>
        <v>STUDENT 7</v>
      </c>
    </row>
    <row r="12" ht="14.4" spans="1:26">
      <c r="A12" s="3">
        <v>1011</v>
      </c>
      <c r="B12" s="3" t="s">
        <v>32</v>
      </c>
      <c r="C12" s="3">
        <v>73</v>
      </c>
      <c r="D12" s="3">
        <v>79</v>
      </c>
      <c r="E12" s="3">
        <v>53</v>
      </c>
      <c r="F12" s="5">
        <v>44901</v>
      </c>
      <c r="G12" s="43" cm="1">
        <f t="array" ref="G12">SUM(C12:E12/300*100)/100</f>
        <v>0.683333333333333</v>
      </c>
      <c r="H12" s="9" t="str">
        <f t="shared" si="0"/>
        <v>B</v>
      </c>
      <c r="I12" s="50" t="str">
        <f t="shared" si="1"/>
        <v>No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3">
        <v>1008</v>
      </c>
      <c r="Y12" s="63" t="str">
        <f>LEFT('Students Grade'!B9,FIND(" ",'Students Grade'!B9)-1)</f>
        <v>Student</v>
      </c>
      <c r="Z12" s="10" t="str">
        <f>UPPER('Students Grade'!B9)</f>
        <v>STUDENT 8</v>
      </c>
    </row>
    <row r="13" ht="14.4" spans="1:26">
      <c r="A13" s="3">
        <v>1012</v>
      </c>
      <c r="B13" s="3" t="s">
        <v>33</v>
      </c>
      <c r="C13" s="3">
        <v>85</v>
      </c>
      <c r="D13" s="3">
        <v>89</v>
      </c>
      <c r="E13" s="3">
        <v>79</v>
      </c>
      <c r="F13" s="5">
        <v>45081</v>
      </c>
      <c r="G13" s="43" cm="1">
        <f t="array" ref="G13">SUM(C13:E13/300*100)/100</f>
        <v>0.843333333333333</v>
      </c>
      <c r="H13" s="9" t="str">
        <f t="shared" si="0"/>
        <v>A</v>
      </c>
      <c r="I13" s="50" t="str">
        <f t="shared" si="1"/>
        <v>Yes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3">
        <v>1009</v>
      </c>
      <c r="Y13" s="63" t="str">
        <f>LEFT('Students Grade'!B10,FIND(" ",'Students Grade'!B10)-1)</f>
        <v>Student</v>
      </c>
      <c r="Z13" s="10" t="str">
        <f>UPPER('Students Grade'!B10)</f>
        <v>STUDENT 9</v>
      </c>
    </row>
    <row r="14" ht="14.4" spans="1:26">
      <c r="A14" s="3">
        <v>1013</v>
      </c>
      <c r="B14" s="3" t="s">
        <v>34</v>
      </c>
      <c r="C14" s="3">
        <v>98</v>
      </c>
      <c r="D14" s="3">
        <v>90</v>
      </c>
      <c r="E14" s="3">
        <v>97</v>
      </c>
      <c r="F14" s="5">
        <v>45261</v>
      </c>
      <c r="G14" s="43" cm="1">
        <f t="array" ref="G14">SUM(C14:E14/300*100)/100</f>
        <v>0.95</v>
      </c>
      <c r="H14" s="9" t="str">
        <f t="shared" si="0"/>
        <v>A</v>
      </c>
      <c r="I14" s="50" t="str">
        <f t="shared" si="1"/>
        <v>Yes</v>
      </c>
      <c r="J14" s="2"/>
      <c r="K14" s="2"/>
      <c r="L14" s="2"/>
      <c r="M14" s="2"/>
      <c r="N14" s="2"/>
      <c r="O14" s="2"/>
      <c r="P14" s="1"/>
      <c r="Q14" s="1"/>
      <c r="R14" s="1" t="s">
        <v>35</v>
      </c>
      <c r="S14" s="1"/>
      <c r="T14" s="1"/>
      <c r="U14" s="2"/>
      <c r="V14" s="2"/>
      <c r="W14" s="2"/>
      <c r="X14" s="3">
        <v>1010</v>
      </c>
      <c r="Y14" s="63" t="str">
        <f>LEFT('Students Grade'!B11,FIND(" ",'Students Grade'!B11)-1)</f>
        <v>Student</v>
      </c>
      <c r="Z14" s="10" t="str">
        <f>UPPER('Students Grade'!B11)</f>
        <v>STUDENT 10</v>
      </c>
    </row>
    <row r="15" ht="14.4" spans="1:26">
      <c r="A15" s="3">
        <v>1014</v>
      </c>
      <c r="B15" s="3" t="s">
        <v>36</v>
      </c>
      <c r="C15" s="3">
        <v>93</v>
      </c>
      <c r="D15" s="3">
        <v>40</v>
      </c>
      <c r="E15" s="3">
        <v>44</v>
      </c>
      <c r="F15" s="5">
        <v>45441</v>
      </c>
      <c r="G15" s="43" cm="1">
        <f t="array" ref="G15">SUM(C15:E15/300*100)/100</f>
        <v>0.59</v>
      </c>
      <c r="H15" s="9" t="str">
        <f t="shared" si="0"/>
        <v>C</v>
      </c>
      <c r="I15" s="50" t="str">
        <f t="shared" si="1"/>
        <v>No</v>
      </c>
      <c r="J15" s="2"/>
      <c r="K15" s="2"/>
      <c r="L15" s="2"/>
      <c r="M15" s="2"/>
      <c r="N15" s="2"/>
      <c r="O15" s="2"/>
      <c r="P15" s="52"/>
      <c r="Q15" s="58"/>
      <c r="R15" s="59">
        <f>DATEDIF('Students Grade'!F2,'Students Grade'!F3,"D")</f>
        <v>180</v>
      </c>
      <c r="S15" s="58"/>
      <c r="T15" s="58"/>
      <c r="U15" s="58"/>
      <c r="V15" s="2"/>
      <c r="W15" s="2"/>
      <c r="X15" s="3">
        <v>1011</v>
      </c>
      <c r="Y15" s="63" t="str">
        <f>LEFT('Students Grade'!B12,FIND(" ",'Students Grade'!B12)-1)</f>
        <v>Student</v>
      </c>
      <c r="Z15" s="10" t="str">
        <f>LOWER('Students Grade'!B12)</f>
        <v>student 11</v>
      </c>
    </row>
    <row r="16" ht="14.4" spans="1:26">
      <c r="A16" s="3">
        <v>1015</v>
      </c>
      <c r="B16" s="3" t="s">
        <v>37</v>
      </c>
      <c r="C16" s="3">
        <v>70</v>
      </c>
      <c r="D16" s="3">
        <v>51</v>
      </c>
      <c r="E16" s="3">
        <v>75</v>
      </c>
      <c r="F16" s="5">
        <v>45621</v>
      </c>
      <c r="G16" s="43" cm="1">
        <f t="array" ref="G16">SUM(C16:E16/300*100)/100</f>
        <v>0.653333333333333</v>
      </c>
      <c r="H16" s="9" t="str">
        <f t="shared" si="0"/>
        <v>B</v>
      </c>
      <c r="I16" s="50" t="str">
        <f t="shared" si="1"/>
        <v>No</v>
      </c>
      <c r="J16" s="2"/>
      <c r="K16" s="2"/>
      <c r="L16" s="2"/>
      <c r="M16" s="2"/>
      <c r="N16" s="2"/>
      <c r="O16" s="2"/>
      <c r="P16" s="2"/>
      <c r="V16" s="2"/>
      <c r="W16" s="2"/>
      <c r="X16" s="3">
        <v>1012</v>
      </c>
      <c r="Y16" s="63" t="str">
        <f>LEFT('Students Grade'!B13,FIND(" ",'Students Grade'!B13)-1)</f>
        <v>Student</v>
      </c>
      <c r="Z16" s="10" t="str">
        <f>LOWER('Students Grade'!B13)</f>
        <v>student 12</v>
      </c>
    </row>
    <row r="17" ht="14.4" spans="1:26">
      <c r="A17" s="3">
        <v>1016</v>
      </c>
      <c r="B17" s="3" t="s">
        <v>38</v>
      </c>
      <c r="C17" s="3">
        <v>98</v>
      </c>
      <c r="D17" s="3">
        <v>77</v>
      </c>
      <c r="E17" s="3">
        <v>60</v>
      </c>
      <c r="F17" s="5">
        <v>45801</v>
      </c>
      <c r="G17" s="43" cm="1">
        <f t="array" ref="G17">SUM(C17:E17/300*100)/100</f>
        <v>0.783333333333333</v>
      </c>
      <c r="H17" s="9" t="str">
        <f t="shared" si="0"/>
        <v>B</v>
      </c>
      <c r="I17" s="50" t="str">
        <f t="shared" si="1"/>
        <v>No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3">
        <v>1013</v>
      </c>
      <c r="Y17" s="63" t="str">
        <f>LEFT('Students Grade'!B14,FIND(" ",'Students Grade'!B14)-1)</f>
        <v>Student</v>
      </c>
      <c r="Z17" s="10" t="str">
        <f>LOWER('Students Grade'!B14)</f>
        <v>student 13</v>
      </c>
    </row>
    <row r="18" ht="14.4" spans="1:26">
      <c r="A18" s="3">
        <v>1017</v>
      </c>
      <c r="B18" s="3" t="s">
        <v>39</v>
      </c>
      <c r="C18" s="3">
        <v>66</v>
      </c>
      <c r="D18" s="3">
        <v>59</v>
      </c>
      <c r="E18" s="3">
        <v>40</v>
      </c>
      <c r="F18" s="5">
        <v>45981</v>
      </c>
      <c r="G18" s="43" cm="1">
        <f t="array" ref="G18">SUM(C18:E18/300*100)/100</f>
        <v>0.55</v>
      </c>
      <c r="H18" s="9" t="str">
        <f t="shared" si="0"/>
        <v>C</v>
      </c>
      <c r="I18" s="50" t="str">
        <f t="shared" si="1"/>
        <v>No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3">
        <v>1014</v>
      </c>
      <c r="Y18" s="63" t="str">
        <f>LEFT('Students Grade'!B15,FIND(" ",'Students Grade'!B15)-1)</f>
        <v>Student</v>
      </c>
      <c r="Z18" s="10" t="str">
        <f>LOWER('Students Grade'!B15)</f>
        <v>student 14</v>
      </c>
    </row>
    <row r="19" ht="14.4" spans="1:26">
      <c r="A19" s="3">
        <v>1018</v>
      </c>
      <c r="B19" s="3" t="s">
        <v>40</v>
      </c>
      <c r="C19" s="3">
        <v>82</v>
      </c>
      <c r="D19" s="3">
        <v>48</v>
      </c>
      <c r="E19" s="3">
        <v>79</v>
      </c>
      <c r="F19" s="5">
        <v>46161</v>
      </c>
      <c r="G19" s="43" cm="1">
        <f t="array" ref="G19">SUM(C19:E19/300*100)/100</f>
        <v>0.696666666666667</v>
      </c>
      <c r="H19" s="9" t="str">
        <f t="shared" si="0"/>
        <v>B</v>
      </c>
      <c r="I19" s="50" t="str">
        <f t="shared" si="1"/>
        <v>No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3">
        <v>1015</v>
      </c>
      <c r="Y19" s="63" t="str">
        <f>LEFT('Students Grade'!B16,FIND(" ",'Students Grade'!B16)-1)</f>
        <v>Student</v>
      </c>
      <c r="Z19" s="10" t="str">
        <f>LOWER('Students Grade'!B16)</f>
        <v>student 15</v>
      </c>
    </row>
    <row r="20" ht="14.4" spans="1:26">
      <c r="A20" s="3">
        <v>1019</v>
      </c>
      <c r="B20" s="3" t="s">
        <v>41</v>
      </c>
      <c r="C20" s="3">
        <v>90</v>
      </c>
      <c r="D20" s="3">
        <v>78</v>
      </c>
      <c r="E20" s="3">
        <v>60</v>
      </c>
      <c r="F20" s="5">
        <v>46341</v>
      </c>
      <c r="G20" s="43" cm="1">
        <f t="array" ref="G20">SUM(C20:E20/300*100)/100</f>
        <v>0.76</v>
      </c>
      <c r="H20" s="9" t="str">
        <f t="shared" si="0"/>
        <v>B</v>
      </c>
      <c r="I20" s="50" t="str">
        <f t="shared" si="1"/>
        <v>No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3">
        <v>1016</v>
      </c>
      <c r="Y20" s="63" t="str">
        <f>LEFT('Students Grade'!B17,FIND(" ",'Students Grade'!B17)-1)</f>
        <v>Student</v>
      </c>
      <c r="Z20" s="10" t="str">
        <f>LOWER('Students Grade'!B17)</f>
        <v>student 16</v>
      </c>
    </row>
    <row r="21" ht="15.75" customHeight="1" spans="1:26">
      <c r="A21" s="44">
        <v>1020</v>
      </c>
      <c r="B21" s="44" t="s">
        <v>42</v>
      </c>
      <c r="C21" s="44">
        <v>83</v>
      </c>
      <c r="D21" s="44">
        <v>92</v>
      </c>
      <c r="E21" s="44">
        <v>55</v>
      </c>
      <c r="F21" s="45">
        <v>46521</v>
      </c>
      <c r="G21" s="46" cm="1">
        <f t="array" ref="G21">SUM(C21:E21/300*100)/100</f>
        <v>0.766666666666667</v>
      </c>
      <c r="H21" s="47" t="str">
        <f t="shared" si="0"/>
        <v>B</v>
      </c>
      <c r="I21" s="53" t="str">
        <f t="shared" si="1"/>
        <v>Yes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3">
        <v>1017</v>
      </c>
      <c r="Y21" s="63" t="str">
        <f>LEFT('Students Grade'!B18,FIND(" ",'Students Grade'!B18)-1)</f>
        <v>Student</v>
      </c>
      <c r="Z21" s="10" t="str">
        <f>LOWER('Students Grade'!B18)</f>
        <v>student 17</v>
      </c>
    </row>
    <row r="22" ht="15.75" customHeight="1" spans="1:26">
      <c r="A22" s="9">
        <v>1021</v>
      </c>
      <c r="B22" s="15" t="s">
        <v>43</v>
      </c>
      <c r="C22" s="9">
        <v>32</v>
      </c>
      <c r="D22" s="9">
        <v>21</v>
      </c>
      <c r="E22" s="9">
        <v>54</v>
      </c>
      <c r="F22" s="38">
        <v>46522</v>
      </c>
      <c r="G22" s="48" cm="1">
        <f t="array" ref="G22">SUM(C22:E22/300*100)/100</f>
        <v>0.356666666666667</v>
      </c>
      <c r="H22" s="9" t="str">
        <f t="shared" si="0"/>
        <v>Fail</v>
      </c>
      <c r="I22" s="50" t="str">
        <f t="shared" si="1"/>
        <v>No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3">
        <v>1018</v>
      </c>
      <c r="Y22" s="63" t="str">
        <f>LEFT('Students Grade'!B19,FIND(" ",'Students Grade'!B19)-1)</f>
        <v>Student</v>
      </c>
      <c r="Z22" s="10" t="str">
        <f>LOWER('Students Grade'!B19)</f>
        <v>student 18</v>
      </c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3">
        <v>1019</v>
      </c>
      <c r="Y23" s="63" t="str">
        <f>LEFT('Students Grade'!B20,FIND(" ",'Students Grade'!B20)-1)</f>
        <v>Student</v>
      </c>
      <c r="Z23" s="10" t="str">
        <f>LOWER('Students Grade'!B20)</f>
        <v>student 19</v>
      </c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3">
        <v>1020</v>
      </c>
      <c r="Y24" s="63" t="str">
        <f>LEFT('Students Grade'!B21,FIND(" ",'Students Grade'!B21)-1)</f>
        <v>Student</v>
      </c>
      <c r="Z24" s="10" t="str">
        <f>LOWER('Students Grade'!B21)</f>
        <v>student 20</v>
      </c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6" t="s">
        <v>44</v>
      </c>
      <c r="L25" s="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54" t="s">
        <v>0</v>
      </c>
      <c r="L26" s="54" t="s"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55">
        <v>1001</v>
      </c>
      <c r="L27" s="56" t="str">
        <f>VLOOKUP(K27,'Students Grade'!A1:B21,2,TRUE)</f>
        <v>Student 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E28" s="2"/>
      <c r="F28" s="2"/>
      <c r="G28" s="2"/>
      <c r="H28" s="2"/>
      <c r="I28" s="2"/>
      <c r="J28" s="2"/>
      <c r="K28" s="15">
        <v>1002</v>
      </c>
      <c r="L28" s="10" t="str">
        <f>VLOOKUP(K28,'Students Grade'!A2:B22,2,TRUE)</f>
        <v>Student 2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E29" s="2"/>
      <c r="F29" s="2"/>
      <c r="G29" s="2"/>
      <c r="H29" s="2"/>
      <c r="I29" s="2"/>
      <c r="J29" s="2"/>
      <c r="K29" s="15">
        <v>1003</v>
      </c>
      <c r="L29" s="10" t="str">
        <f>VLOOKUP(K29,'Students Grade'!A3:B23,2,TRUE)</f>
        <v>Student 3</v>
      </c>
      <c r="M29" s="2"/>
      <c r="N29" s="2"/>
      <c r="O29" s="2"/>
      <c r="P29" s="18" t="s">
        <v>45</v>
      </c>
      <c r="Q29" s="60"/>
      <c r="R29" s="60"/>
      <c r="S29" s="60"/>
      <c r="T29" s="19"/>
      <c r="U29" s="2"/>
      <c r="V29" s="2"/>
      <c r="W29" s="2"/>
      <c r="X29" s="2"/>
      <c r="Y29" s="2"/>
      <c r="Z29" s="2"/>
    </row>
    <row r="30" ht="15.75" customHeight="1" spans="1:26">
      <c r="A30" s="2"/>
      <c r="E30" s="2"/>
      <c r="F30" s="2"/>
      <c r="G30" s="2"/>
      <c r="H30" s="2"/>
      <c r="I30" s="2"/>
      <c r="J30" s="2"/>
      <c r="K30" s="15">
        <v>1004</v>
      </c>
      <c r="L30" s="10" t="str">
        <f>VLOOKUP(K30,'Students Grade'!A4:B24,2,TRUE)</f>
        <v>Student 4</v>
      </c>
      <c r="M30" s="2"/>
      <c r="N30" s="2"/>
      <c r="O30" s="2"/>
      <c r="P30" s="34" t="s">
        <v>46</v>
      </c>
      <c r="Q30" s="34"/>
      <c r="R30" s="34"/>
      <c r="S30" s="34"/>
      <c r="T30" s="34"/>
      <c r="U30" s="2"/>
      <c r="V30" s="2"/>
      <c r="W30" s="2"/>
      <c r="X30" s="2"/>
      <c r="Y30" s="2"/>
      <c r="Z30" s="2"/>
    </row>
    <row r="31" ht="15.75" customHeight="1" spans="1:26">
      <c r="A31" s="2"/>
      <c r="E31" s="2"/>
      <c r="F31" s="2"/>
      <c r="G31" s="2"/>
      <c r="H31" s="2"/>
      <c r="I31" s="2"/>
      <c r="J31" s="2"/>
      <c r="K31" s="15">
        <v>1005</v>
      </c>
      <c r="L31" s="10" t="str">
        <f>VLOOKUP(K31,'Students Grade'!A5:B25,2,TRUE)</f>
        <v>Student 5</v>
      </c>
      <c r="M31" s="2"/>
      <c r="N31" s="2"/>
      <c r="O31" s="2"/>
      <c r="P31" s="12" t="s">
        <v>1</v>
      </c>
      <c r="Q31" s="12" t="s">
        <v>2</v>
      </c>
      <c r="R31" s="12" t="s">
        <v>3</v>
      </c>
      <c r="S31" s="12" t="s">
        <v>4</v>
      </c>
      <c r="T31" s="10"/>
      <c r="U31" s="2"/>
      <c r="V31" s="2"/>
      <c r="W31" s="2"/>
      <c r="X31" s="2"/>
      <c r="Y31" s="2"/>
      <c r="Z31" s="2"/>
    </row>
    <row r="32" ht="15.75" customHeight="1" spans="1:26">
      <c r="A32" s="2"/>
      <c r="E32" s="2"/>
      <c r="F32" s="2"/>
      <c r="G32" s="2"/>
      <c r="H32" s="2"/>
      <c r="I32" s="2"/>
      <c r="J32" s="2"/>
      <c r="K32" s="15">
        <v>1006</v>
      </c>
      <c r="L32" s="10" t="str">
        <f>VLOOKUP(K32,'Students Grade'!A6:B26,2,TRUE)</f>
        <v>Student 6</v>
      </c>
      <c r="M32" s="2"/>
      <c r="N32" s="2"/>
      <c r="O32" s="2"/>
      <c r="P32" s="9" t="str" cm="1">
        <f t="array" ref="P32:S33">_xlfn._xlws.FILTER('Students Grade'!B2:E21,(('Students Grade'!C2:C21+'Students Grade'!D2:D21+'Students Grade'!E2:E21)/3)&gt;=80,"No students found")</f>
        <v>Student 12</v>
      </c>
      <c r="Q32" s="9">
        <v>85</v>
      </c>
      <c r="R32" s="9">
        <v>89</v>
      </c>
      <c r="S32" s="9">
        <v>79</v>
      </c>
      <c r="T32" s="10"/>
      <c r="U32" s="2"/>
      <c r="V32" s="2"/>
      <c r="W32" s="2"/>
      <c r="X32" s="2"/>
      <c r="Y32" s="2"/>
      <c r="Z32" s="2"/>
    </row>
    <row r="33" ht="15.75" customHeight="1" spans="1:26">
      <c r="A33" s="2"/>
      <c r="E33" s="2"/>
      <c r="F33" s="2"/>
      <c r="G33" s="2"/>
      <c r="H33" s="2"/>
      <c r="I33" s="2"/>
      <c r="J33" s="2"/>
      <c r="K33" s="15">
        <v>1007</v>
      </c>
      <c r="L33" s="10" t="str">
        <f>VLOOKUP(K33,'Students Grade'!A7:B27,2,TRUE)</f>
        <v>Student 7</v>
      </c>
      <c r="M33" s="2"/>
      <c r="N33" s="2"/>
      <c r="O33" s="2"/>
      <c r="P33" s="9" t="str">
        <v>Student 13</v>
      </c>
      <c r="Q33" s="9">
        <v>98</v>
      </c>
      <c r="R33" s="9">
        <v>90</v>
      </c>
      <c r="S33" s="9">
        <v>97</v>
      </c>
      <c r="T33" s="10"/>
      <c r="U33" s="2"/>
      <c r="V33" s="2"/>
      <c r="W33" s="2"/>
      <c r="X33" s="2"/>
      <c r="Y33" s="2"/>
      <c r="Z33" s="2"/>
    </row>
    <row r="34" ht="15.75" customHeight="1" spans="1:26">
      <c r="A34" s="2"/>
      <c r="E34" s="2"/>
      <c r="F34" s="2"/>
      <c r="G34" s="2"/>
      <c r="H34" s="2"/>
      <c r="I34" s="2"/>
      <c r="J34" s="2"/>
      <c r="K34" s="15">
        <v>1008</v>
      </c>
      <c r="L34" s="10" t="str">
        <f>VLOOKUP(K34,'Students Grade'!A8:B28,2,TRUE)</f>
        <v>Student 8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E35" s="2"/>
      <c r="F35" s="2"/>
      <c r="G35" s="2"/>
      <c r="H35" s="2"/>
      <c r="I35" s="2"/>
      <c r="J35" s="2"/>
      <c r="K35" s="15">
        <v>1009</v>
      </c>
      <c r="L35" s="10" t="str">
        <f>VLOOKUP(K35,'Students Grade'!A9:B29,2,TRUE)</f>
        <v>Student 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E36" s="2"/>
      <c r="F36" s="2"/>
      <c r="G36" s="2"/>
      <c r="H36" s="2"/>
      <c r="I36" s="2"/>
      <c r="J36" s="2"/>
      <c r="K36" s="15">
        <v>1010</v>
      </c>
      <c r="L36" s="10" t="str">
        <f>VLOOKUP(K36,'Students Grade'!A10:B30,2,TRUE)</f>
        <v>Student 10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E37" s="2"/>
      <c r="F37" s="2"/>
      <c r="G37" s="2"/>
      <c r="H37" s="2"/>
      <c r="I37" s="2"/>
      <c r="J37" s="2"/>
      <c r="K37" s="15">
        <v>1011</v>
      </c>
      <c r="L37" s="10" t="str">
        <f>VLOOKUP(K37,'Students Grade'!A11:B31,2,TRUE)</f>
        <v>Student 11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E38" s="2"/>
      <c r="F38" s="2"/>
      <c r="G38" s="2"/>
      <c r="H38" s="2"/>
      <c r="I38" s="2"/>
      <c r="J38" s="2"/>
      <c r="K38" s="15">
        <v>1012</v>
      </c>
      <c r="L38" s="10" t="str">
        <f>VLOOKUP(K38,'Students Grade'!A12:B32,2,TRUE)</f>
        <v>Student 12</v>
      </c>
      <c r="M38" s="2"/>
      <c r="N38" s="2"/>
      <c r="O38" s="2"/>
      <c r="P38" s="2"/>
      <c r="Q38" s="11" t="s">
        <v>47</v>
      </c>
      <c r="R38" s="11"/>
      <c r="S38" s="11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E39" s="2"/>
      <c r="F39" s="2"/>
      <c r="G39" s="2"/>
      <c r="H39" s="2"/>
      <c r="I39" s="2"/>
      <c r="J39" s="2"/>
      <c r="K39" s="15">
        <v>1013</v>
      </c>
      <c r="L39" s="10" t="str">
        <f>VLOOKUP(K39,'Students Grade'!A13:B33,2,TRUE)</f>
        <v>Student 13</v>
      </c>
      <c r="M39" s="2"/>
      <c r="N39" s="2"/>
      <c r="O39" s="2"/>
      <c r="P39" s="9" t="str" cm="1">
        <f t="array" ref="P39:P49">INDEX(A1:A11,0,0)</f>
        <v>Student ID</v>
      </c>
      <c r="Q39" s="9" t="str" cm="1">
        <f t="array" ref="Q39:T49">INDEX(B1:E11,0,0)</f>
        <v>Name</v>
      </c>
      <c r="R39" s="9" t="str">
        <v>Math</v>
      </c>
      <c r="S39" s="9" t="str">
        <v>Science</v>
      </c>
      <c r="T39" s="9" t="str">
        <v>English</v>
      </c>
      <c r="U39" s="2"/>
      <c r="V39" s="2"/>
      <c r="W39" s="2"/>
      <c r="X39" s="2"/>
      <c r="Y39" s="2"/>
      <c r="Z39" s="2"/>
    </row>
    <row r="40" ht="15.75" customHeight="1" spans="1:26">
      <c r="A40" s="2"/>
      <c r="E40" s="2"/>
      <c r="F40" s="2"/>
      <c r="G40" s="2"/>
      <c r="H40" s="2"/>
      <c r="I40" s="2"/>
      <c r="J40" s="2"/>
      <c r="K40" s="15">
        <v>1014</v>
      </c>
      <c r="L40" s="10" t="str">
        <f>VLOOKUP(K40,'Students Grade'!A14:B34,2,TRUE)</f>
        <v>Student 14</v>
      </c>
      <c r="M40" s="2"/>
      <c r="N40" s="2"/>
      <c r="O40" s="2"/>
      <c r="P40" s="9">
        <v>1001</v>
      </c>
      <c r="Q40" s="9" t="str">
        <v>Student 1</v>
      </c>
      <c r="R40" s="9">
        <v>61</v>
      </c>
      <c r="S40" s="9">
        <v>48</v>
      </c>
      <c r="T40" s="9">
        <v>76</v>
      </c>
      <c r="U40" s="2"/>
      <c r="V40" s="2"/>
      <c r="W40" s="2"/>
      <c r="X40" s="2"/>
      <c r="Y40" s="2"/>
      <c r="Z40" s="2"/>
    </row>
    <row r="41" ht="15.75" customHeight="1" spans="1:26">
      <c r="A41" s="2"/>
      <c r="E41" s="2"/>
      <c r="F41" s="2"/>
      <c r="G41" s="2"/>
      <c r="H41" s="2"/>
      <c r="I41" s="2"/>
      <c r="J41" s="2"/>
      <c r="K41" s="15">
        <v>1015</v>
      </c>
      <c r="L41" s="10" t="str">
        <f>VLOOKUP(K41,'Students Grade'!A15:B35,2,TRUE)</f>
        <v>Student 15</v>
      </c>
      <c r="M41" s="2"/>
      <c r="N41" s="2"/>
      <c r="O41" s="2"/>
      <c r="P41" s="9">
        <v>1002</v>
      </c>
      <c r="Q41" s="9" t="str">
        <v>Student 2</v>
      </c>
      <c r="R41" s="9">
        <v>78</v>
      </c>
      <c r="S41" s="9">
        <v>76</v>
      </c>
      <c r="T41" s="9">
        <v>70</v>
      </c>
      <c r="U41" s="2"/>
      <c r="V41" s="2"/>
      <c r="W41" s="2"/>
      <c r="X41" s="2"/>
      <c r="Y41" s="2"/>
      <c r="Z41" s="2"/>
    </row>
    <row r="42" ht="15.75" customHeight="1" spans="1:26">
      <c r="A42" s="2"/>
      <c r="E42" s="2"/>
      <c r="F42" s="2"/>
      <c r="G42" s="2"/>
      <c r="H42" s="2"/>
      <c r="I42" s="2"/>
      <c r="J42" s="2"/>
      <c r="K42" s="15">
        <v>1016</v>
      </c>
      <c r="L42" s="10" t="str">
        <f>VLOOKUP(K42,'Students Grade'!A16:B36,2,TRUE)</f>
        <v>Student 16</v>
      </c>
      <c r="M42" s="2"/>
      <c r="N42" s="2"/>
      <c r="O42" s="2"/>
      <c r="P42" s="9">
        <v>1003</v>
      </c>
      <c r="Q42" s="9" t="str">
        <v>Student 3</v>
      </c>
      <c r="R42" s="9">
        <v>97</v>
      </c>
      <c r="S42" s="9">
        <v>60</v>
      </c>
      <c r="T42" s="9">
        <v>51</v>
      </c>
      <c r="U42" s="2"/>
      <c r="V42" s="2"/>
      <c r="W42" s="2"/>
      <c r="X42" s="2"/>
      <c r="Y42" s="2"/>
      <c r="Z42" s="2"/>
    </row>
    <row r="43" ht="15.75" customHeight="1" spans="1:26">
      <c r="A43" s="2"/>
      <c r="E43" s="2"/>
      <c r="F43" s="2"/>
      <c r="G43" s="2"/>
      <c r="H43" s="2"/>
      <c r="I43" s="2"/>
      <c r="J43" s="2"/>
      <c r="K43" s="15">
        <v>1017</v>
      </c>
      <c r="L43" s="10" t="str">
        <f>VLOOKUP(K43,'Students Grade'!A17:B37,2,TRUE)</f>
        <v>Student 17</v>
      </c>
      <c r="M43" s="2"/>
      <c r="N43" s="2"/>
      <c r="O43" s="2"/>
      <c r="P43" s="9">
        <v>1004</v>
      </c>
      <c r="Q43" s="9" t="str">
        <v>Student 4</v>
      </c>
      <c r="R43" s="9">
        <v>74</v>
      </c>
      <c r="S43" s="9">
        <v>55</v>
      </c>
      <c r="T43" s="9">
        <v>46</v>
      </c>
      <c r="U43" s="2"/>
      <c r="V43" s="2"/>
      <c r="W43" s="2"/>
      <c r="X43" s="2"/>
      <c r="Y43" s="2"/>
      <c r="Z43" s="2"/>
    </row>
    <row r="44" ht="15.75" customHeight="1" spans="1:26">
      <c r="A44" s="2"/>
      <c r="E44" s="2"/>
      <c r="F44" s="2"/>
      <c r="G44" s="2"/>
      <c r="H44" s="2"/>
      <c r="I44" s="2"/>
      <c r="J44" s="2"/>
      <c r="K44" s="15">
        <v>1018</v>
      </c>
      <c r="L44" s="10" t="str">
        <f>VLOOKUP(K44,'Students Grade'!A18:B38,2,TRUE)</f>
        <v>Student 18</v>
      </c>
      <c r="M44" s="2"/>
      <c r="N44" s="2"/>
      <c r="O44" s="2"/>
      <c r="P44" s="9">
        <v>1005</v>
      </c>
      <c r="Q44" s="9" t="str">
        <v>Student 5</v>
      </c>
      <c r="R44" s="9">
        <v>68</v>
      </c>
      <c r="S44" s="9">
        <v>74</v>
      </c>
      <c r="T44" s="9">
        <v>84</v>
      </c>
      <c r="U44" s="2"/>
      <c r="V44" s="2"/>
      <c r="W44" s="2"/>
      <c r="X44" s="2"/>
      <c r="Y44" s="2"/>
      <c r="Z44" s="2"/>
    </row>
    <row r="45" ht="15.75" customHeight="1" spans="1:26">
      <c r="A45" s="2"/>
      <c r="E45" s="2"/>
      <c r="F45" s="2"/>
      <c r="G45" s="2"/>
      <c r="H45" s="2"/>
      <c r="I45" s="2"/>
      <c r="J45" s="2"/>
      <c r="K45" s="15">
        <v>1019</v>
      </c>
      <c r="L45" s="10" t="str">
        <f>VLOOKUP(K45,'Students Grade'!A19:B39,2,TRUE)</f>
        <v>Student 19</v>
      </c>
      <c r="M45" s="2"/>
      <c r="N45" s="2"/>
      <c r="O45" s="2"/>
      <c r="P45" s="9">
        <v>1006</v>
      </c>
      <c r="Q45" s="9" t="str">
        <v>Student 6</v>
      </c>
      <c r="R45" s="9">
        <v>80</v>
      </c>
      <c r="S45" s="9">
        <v>70</v>
      </c>
      <c r="T45" s="9">
        <v>65</v>
      </c>
      <c r="U45" s="2"/>
      <c r="V45" s="2"/>
      <c r="W45" s="2"/>
      <c r="X45" s="2"/>
      <c r="Y45" s="2"/>
      <c r="Z45" s="2"/>
    </row>
    <row r="46" ht="15.75" customHeight="1" spans="1:26">
      <c r="A46" s="2"/>
      <c r="E46" s="2"/>
      <c r="F46" s="2"/>
      <c r="G46" s="2"/>
      <c r="H46" s="2"/>
      <c r="I46" s="2"/>
      <c r="J46" s="2"/>
      <c r="K46" s="15">
        <v>1020</v>
      </c>
      <c r="L46" s="10" t="str">
        <f>VLOOKUP(K46,'Students Grade'!A20:B40,2,TRUE)</f>
        <v>Student 20</v>
      </c>
      <c r="M46" s="2"/>
      <c r="N46" s="2"/>
      <c r="O46" s="2"/>
      <c r="P46" s="9">
        <v>1007</v>
      </c>
      <c r="Q46" s="9" t="str">
        <v>Student 7</v>
      </c>
      <c r="R46" s="9">
        <v>75</v>
      </c>
      <c r="S46" s="9">
        <v>47</v>
      </c>
      <c r="T46" s="9">
        <v>78</v>
      </c>
      <c r="U46" s="2"/>
      <c r="V46" s="2"/>
      <c r="W46" s="2"/>
      <c r="X46" s="2"/>
      <c r="Y46" s="2"/>
      <c r="Z46" s="2"/>
    </row>
    <row r="47" ht="15.75" customHeight="1" spans="1:26">
      <c r="A47" s="2"/>
      <c r="E47" s="2"/>
      <c r="F47" s="2"/>
      <c r="G47" s="2"/>
      <c r="H47" s="2"/>
      <c r="I47" s="2"/>
      <c r="J47" s="2"/>
      <c r="K47" s="9">
        <v>1021</v>
      </c>
      <c r="L47" s="10" t="str">
        <f>VLOOKUP(K47,'Students Grade'!A21:B41,2,TRUE)</f>
        <v>Student 21</v>
      </c>
      <c r="M47" s="2"/>
      <c r="N47" s="2"/>
      <c r="O47" s="2"/>
      <c r="P47" s="9">
        <v>1008</v>
      </c>
      <c r="Q47" s="9" t="str">
        <v>Student 8</v>
      </c>
      <c r="R47" s="9">
        <v>94</v>
      </c>
      <c r="S47" s="9">
        <v>67</v>
      </c>
      <c r="T47" s="9">
        <v>64</v>
      </c>
      <c r="U47" s="2"/>
      <c r="V47" s="2"/>
      <c r="W47" s="2"/>
      <c r="X47" s="2"/>
      <c r="Y47" s="2"/>
      <c r="Z47" s="2"/>
    </row>
    <row r="48" ht="15.75" customHeight="1" spans="1:26">
      <c r="A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9">
        <v>1009</v>
      </c>
      <c r="Q48" s="9" t="str">
        <v>Student 9</v>
      </c>
      <c r="R48" s="9">
        <v>41</v>
      </c>
      <c r="S48" s="9">
        <v>75</v>
      </c>
      <c r="T48" s="9">
        <v>56</v>
      </c>
      <c r="U48" s="2"/>
      <c r="V48" s="2"/>
      <c r="W48" s="2"/>
      <c r="X48" s="2"/>
      <c r="Y48" s="2"/>
      <c r="Z48" s="2"/>
    </row>
    <row r="49" ht="15.75" customHeight="1" spans="1:26">
      <c r="A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9">
        <v>1010</v>
      </c>
      <c r="Q49" s="9" t="str">
        <v>Student 10</v>
      </c>
      <c r="R49" s="9">
        <v>98</v>
      </c>
      <c r="S49" s="9">
        <v>54</v>
      </c>
      <c r="T49" s="9">
        <v>58</v>
      </c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K25:L25"/>
    <mergeCell ref="P29:T29"/>
    <mergeCell ref="P30:T30"/>
    <mergeCell ref="Q38:S38"/>
  </mergeCell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zoomScale="106" zoomScaleNormal="106" topLeftCell="B1" workbookViewId="0">
      <selection activeCell="S4" sqref="S4:S23"/>
    </sheetView>
  </sheetViews>
  <sheetFormatPr defaultColWidth="14.4259259259259" defaultRowHeight="15" customHeight="1"/>
  <cols>
    <col min="1" max="1" width="7.86111111111111" customWidth="1"/>
    <col min="2" max="2" width="9.13888888888889" customWidth="1"/>
    <col min="3" max="3" width="13.6666666666667" customWidth="1"/>
    <col min="4" max="5" width="11.8888888888889" customWidth="1"/>
    <col min="6" max="6" width="18.8611111111111" customWidth="1"/>
    <col min="7" max="7" width="8.71296296296296" customWidth="1"/>
    <col min="8" max="8" width="11" customWidth="1"/>
    <col min="9" max="9" width="8.71296296296296" customWidth="1"/>
    <col min="10" max="10" width="10.2222222222222" customWidth="1"/>
    <col min="11" max="11" width="19.6666666666667" customWidth="1"/>
    <col min="12" max="12" width="16.4444444444444" customWidth="1"/>
    <col min="13" max="13" width="8.71296296296296" customWidth="1"/>
    <col min="14" max="14" width="10.7777777777778" customWidth="1"/>
    <col min="15" max="15" width="8.71296296296296" customWidth="1"/>
    <col min="16" max="16" width="18.4351851851852" customWidth="1"/>
    <col min="17" max="17" width="12.8888888888889" customWidth="1"/>
    <col min="18" max="18" width="11.8888888888889" customWidth="1"/>
    <col min="19" max="19" width="11.2222222222222" customWidth="1"/>
    <col min="20" max="23" width="8.71296296296296" customWidth="1"/>
    <col min="24" max="24" width="16.3425925925926" customWidth="1"/>
    <col min="25" max="26" width="8.71296296296296" customWidth="1"/>
    <col min="27" max="27" width="9.75" customWidth="1"/>
  </cols>
  <sheetData>
    <row r="1" ht="14.4" spans="1:26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54</v>
      </c>
      <c r="L1" s="2"/>
      <c r="M1" s="2"/>
      <c r="N1" s="2"/>
      <c r="O1" s="2"/>
      <c r="P1" s="2"/>
      <c r="Q1" s="2"/>
      <c r="R1" s="2"/>
      <c r="S1" s="2"/>
      <c r="W1" s="2"/>
      <c r="X1" s="2"/>
      <c r="Y1" s="2"/>
      <c r="Z1" s="2"/>
    </row>
    <row r="2" ht="14.4" spans="1:26">
      <c r="A2" s="3">
        <v>2001</v>
      </c>
      <c r="B2" s="3" t="s">
        <v>55</v>
      </c>
      <c r="C2" s="3" t="s">
        <v>56</v>
      </c>
      <c r="D2" s="3" t="s">
        <v>57</v>
      </c>
      <c r="E2" s="4">
        <v>7048</v>
      </c>
      <c r="F2" s="5">
        <v>44927</v>
      </c>
      <c r="G2" s="16">
        <f>IF(E2&gt;30000,15%,IF(E2&gt;=20000,10%,5%))</f>
        <v>0.05</v>
      </c>
      <c r="H2" s="13" t="str">
        <f>IF(OR(E2&gt;15000),"Eligible","Not Eligible")</f>
        <v>Not Eligible</v>
      </c>
      <c r="L2" s="2"/>
      <c r="M2" s="2"/>
      <c r="Q2" s="2"/>
      <c r="R2" s="6" t="s">
        <v>44</v>
      </c>
      <c r="S2" s="2"/>
      <c r="W2" s="2"/>
      <c r="X2" s="2"/>
      <c r="Y2" s="2"/>
      <c r="Z2" s="2"/>
    </row>
    <row r="3" ht="14.4" spans="1:27">
      <c r="A3" s="3">
        <v>2002</v>
      </c>
      <c r="B3" s="3" t="s">
        <v>58</v>
      </c>
      <c r="C3" s="3" t="s">
        <v>59</v>
      </c>
      <c r="D3" s="3" t="s">
        <v>60</v>
      </c>
      <c r="E3" s="4">
        <v>17428</v>
      </c>
      <c r="F3" s="5">
        <v>44942</v>
      </c>
      <c r="G3" s="17">
        <f t="shared" ref="G3:G21" si="0">IF(E3&gt;30000,15%,IF(E3&gt;=20000,10%,5%))</f>
        <v>0.05</v>
      </c>
      <c r="H3" s="9" t="str">
        <f t="shared" ref="H3:H21" si="1">IF(OR(E3&gt;15000),"Eligible","Not Eligible")</f>
        <v>Eligible</v>
      </c>
      <c r="J3" s="23" t="s">
        <v>61</v>
      </c>
      <c r="K3" s="24"/>
      <c r="L3" s="2"/>
      <c r="M3" s="25" t="s">
        <v>62</v>
      </c>
      <c r="N3" s="25"/>
      <c r="O3" s="25"/>
      <c r="Q3" s="1" t="s">
        <v>48</v>
      </c>
      <c r="R3" s="1" t="s">
        <v>49</v>
      </c>
      <c r="S3" s="40" t="s">
        <v>52</v>
      </c>
      <c r="U3" s="10"/>
      <c r="V3" s="9"/>
      <c r="W3" s="9"/>
      <c r="X3" s="11" t="s">
        <v>63</v>
      </c>
      <c r="Y3" s="9"/>
      <c r="Z3" s="9"/>
      <c r="AA3" s="9"/>
    </row>
    <row r="4" ht="14.4" spans="1:27">
      <c r="A4" s="3">
        <v>2003</v>
      </c>
      <c r="B4" s="3" t="s">
        <v>64</v>
      </c>
      <c r="C4" s="3" t="s">
        <v>56</v>
      </c>
      <c r="D4" s="3" t="s">
        <v>65</v>
      </c>
      <c r="E4" s="4">
        <v>23672</v>
      </c>
      <c r="F4" s="5">
        <v>44957</v>
      </c>
      <c r="G4" s="17">
        <f t="shared" si="0"/>
        <v>0.1</v>
      </c>
      <c r="H4" s="9" t="str">
        <f t="shared" si="1"/>
        <v>Eligible</v>
      </c>
      <c r="J4" s="26" t="s">
        <v>66</v>
      </c>
      <c r="K4" s="26" t="s">
        <v>54</v>
      </c>
      <c r="L4" s="2"/>
      <c r="M4" s="10"/>
      <c r="N4" s="27" t="s">
        <v>67</v>
      </c>
      <c r="O4" s="28"/>
      <c r="Q4" s="3">
        <v>2001</v>
      </c>
      <c r="R4" s="3" t="s">
        <v>55</v>
      </c>
      <c r="S4" s="41">
        <f>VLOOKUP(R4,B2:E21,4,FALSE)</f>
        <v>7048</v>
      </c>
      <c r="U4" s="12"/>
      <c r="V4" s="12"/>
      <c r="W4" s="12"/>
      <c r="X4" s="12" t="s">
        <v>68</v>
      </c>
      <c r="Y4" s="12"/>
      <c r="Z4" s="12"/>
      <c r="AA4" s="12"/>
    </row>
    <row r="5" ht="14.4" spans="1:27">
      <c r="A5" s="3">
        <v>2004</v>
      </c>
      <c r="B5" s="3" t="s">
        <v>58</v>
      </c>
      <c r="C5" s="3" t="s">
        <v>69</v>
      </c>
      <c r="D5" s="3" t="s">
        <v>70</v>
      </c>
      <c r="E5" s="4">
        <v>5264</v>
      </c>
      <c r="F5" s="5">
        <v>44972</v>
      </c>
      <c r="G5" s="17">
        <f t="shared" si="0"/>
        <v>0.05</v>
      </c>
      <c r="H5" s="9" t="str">
        <f t="shared" si="1"/>
        <v>Not Eligible</v>
      </c>
      <c r="J5" s="29" t="s">
        <v>71</v>
      </c>
      <c r="K5" s="30">
        <v>0.15</v>
      </c>
      <c r="L5" s="2"/>
      <c r="M5" s="10"/>
      <c r="N5" s="15" t="s">
        <v>55</v>
      </c>
      <c r="O5" s="31"/>
      <c r="Q5" s="3">
        <v>2002</v>
      </c>
      <c r="R5" s="3" t="s">
        <v>58</v>
      </c>
      <c r="S5" s="41">
        <f t="shared" ref="S5:S23" si="2">VLOOKUP(R5,B3:E22,4,FALSE)</f>
        <v>17428</v>
      </c>
      <c r="U5" s="10"/>
      <c r="V5" s="9"/>
      <c r="W5" s="12" t="s">
        <v>50</v>
      </c>
      <c r="X5" s="12" t="s">
        <v>51</v>
      </c>
      <c r="Y5" s="10"/>
      <c r="Z5" s="9"/>
      <c r="AA5" s="9"/>
    </row>
    <row r="6" ht="14.4" spans="1:27">
      <c r="A6" s="3">
        <v>2005</v>
      </c>
      <c r="B6" s="3" t="s">
        <v>55</v>
      </c>
      <c r="C6" s="3" t="s">
        <v>72</v>
      </c>
      <c r="D6" s="3" t="s">
        <v>73</v>
      </c>
      <c r="E6" s="4">
        <v>43388</v>
      </c>
      <c r="F6" s="5">
        <v>44987</v>
      </c>
      <c r="G6" s="17">
        <f t="shared" si="0"/>
        <v>0.15</v>
      </c>
      <c r="H6" s="9" t="str">
        <f t="shared" si="1"/>
        <v>Eligible</v>
      </c>
      <c r="J6" s="26" t="s">
        <v>74</v>
      </c>
      <c r="K6" s="30">
        <v>0.1</v>
      </c>
      <c r="L6" s="2"/>
      <c r="M6" s="10"/>
      <c r="N6" s="15" t="s">
        <v>56</v>
      </c>
      <c r="O6" s="31"/>
      <c r="Q6" s="3">
        <v>2003</v>
      </c>
      <c r="R6" s="3" t="s">
        <v>64</v>
      </c>
      <c r="S6" s="41">
        <f t="shared" si="2"/>
        <v>23672</v>
      </c>
      <c r="U6" s="10"/>
      <c r="V6" s="9"/>
      <c r="W6" s="15" t="s">
        <v>56</v>
      </c>
      <c r="X6" s="9" t="str">
        <f>_xlfn.XLOOKUP(W6,C2:C21,D2:D21,,0)</f>
        <v>Person 1</v>
      </c>
      <c r="Y6" s="10"/>
      <c r="Z6" s="9"/>
      <c r="AA6" s="9"/>
    </row>
    <row r="7" ht="14.4" spans="1:27">
      <c r="A7" s="3">
        <v>2006</v>
      </c>
      <c r="B7" s="3" t="s">
        <v>64</v>
      </c>
      <c r="C7" s="3" t="s">
        <v>72</v>
      </c>
      <c r="D7" s="3" t="s">
        <v>75</v>
      </c>
      <c r="E7" s="4">
        <v>19757</v>
      </c>
      <c r="F7" s="5">
        <v>45002</v>
      </c>
      <c r="G7" s="17">
        <f t="shared" si="0"/>
        <v>0.05</v>
      </c>
      <c r="H7" s="9" t="str">
        <f t="shared" si="1"/>
        <v>Eligible</v>
      </c>
      <c r="J7" s="26" t="s">
        <v>76</v>
      </c>
      <c r="K7" s="30">
        <v>0.05</v>
      </c>
      <c r="L7" s="2"/>
      <c r="M7" s="32"/>
      <c r="N7" s="32"/>
      <c r="O7" s="32"/>
      <c r="Q7" s="3">
        <v>2004</v>
      </c>
      <c r="R7" s="3" t="s">
        <v>58</v>
      </c>
      <c r="S7" s="41">
        <f t="shared" si="2"/>
        <v>5264</v>
      </c>
      <c r="U7" s="10"/>
      <c r="V7" s="9"/>
      <c r="W7" s="15" t="s">
        <v>69</v>
      </c>
      <c r="X7" s="9" t="str">
        <f>_xlfn.XLOOKUP(W7,C3:C22,D3:D22,,0)</f>
        <v>Person 4</v>
      </c>
      <c r="Y7" s="10"/>
      <c r="Z7" s="9"/>
      <c r="AA7" s="9"/>
    </row>
    <row r="8" ht="14.4" spans="1:27">
      <c r="A8" s="3">
        <v>2007</v>
      </c>
      <c r="B8" s="3" t="s">
        <v>64</v>
      </c>
      <c r="C8" s="3" t="s">
        <v>69</v>
      </c>
      <c r="D8" s="3" t="s">
        <v>77</v>
      </c>
      <c r="E8" s="4">
        <v>32058</v>
      </c>
      <c r="F8" s="5">
        <v>45017</v>
      </c>
      <c r="G8" s="17">
        <f t="shared" si="0"/>
        <v>0.15</v>
      </c>
      <c r="H8" s="9" t="str">
        <f t="shared" si="1"/>
        <v>Eligible</v>
      </c>
      <c r="J8" s="26" t="s">
        <v>78</v>
      </c>
      <c r="K8" s="26" t="s">
        <v>79</v>
      </c>
      <c r="L8" s="2"/>
      <c r="M8" s="27" t="s">
        <v>80</v>
      </c>
      <c r="N8" s="28"/>
      <c r="O8" s="28"/>
      <c r="Q8" s="3">
        <v>2005</v>
      </c>
      <c r="R8" s="3" t="s">
        <v>55</v>
      </c>
      <c r="S8" s="41">
        <f t="shared" si="2"/>
        <v>43388</v>
      </c>
      <c r="U8" s="10"/>
      <c r="V8" s="9"/>
      <c r="W8" s="15" t="s">
        <v>72</v>
      </c>
      <c r="X8" s="9" t="str">
        <f>_xlfn.XLOOKUP(W8,C4:C23,D4:D23,,0)</f>
        <v>Person 5</v>
      </c>
      <c r="Y8" s="10"/>
      <c r="Z8" s="9"/>
      <c r="AA8" s="9"/>
    </row>
    <row r="9" ht="14.4" spans="1:27">
      <c r="A9" s="3">
        <v>2008</v>
      </c>
      <c r="B9" s="3" t="s">
        <v>55</v>
      </c>
      <c r="C9" s="3" t="s">
        <v>69</v>
      </c>
      <c r="D9" s="3" t="s">
        <v>81</v>
      </c>
      <c r="E9" s="4">
        <v>46429</v>
      </c>
      <c r="F9" s="5">
        <v>45032</v>
      </c>
      <c r="G9" s="17">
        <f t="shared" si="0"/>
        <v>0.15</v>
      </c>
      <c r="H9" s="9" t="str">
        <f t="shared" si="1"/>
        <v>Eligible</v>
      </c>
      <c r="L9" s="2"/>
      <c r="M9" s="33">
        <f>SUMIFS(E2:E21,B2:B21,"Keyboard",C2:C21,"South")</f>
        <v>42233</v>
      </c>
      <c r="N9" s="33"/>
      <c r="O9" s="33"/>
      <c r="Q9" s="3">
        <v>2006</v>
      </c>
      <c r="R9" s="3" t="s">
        <v>64</v>
      </c>
      <c r="S9" s="41">
        <f t="shared" si="2"/>
        <v>19757</v>
      </c>
      <c r="U9" s="10"/>
      <c r="V9" s="9"/>
      <c r="W9" s="15" t="s">
        <v>59</v>
      </c>
      <c r="X9" s="9" t="str">
        <f>_xlfn.XLOOKUP(W9,C5:C24,D5:D24,,0)</f>
        <v>Person 18</v>
      </c>
      <c r="Y9" s="10"/>
      <c r="Z9" s="9"/>
      <c r="AA9" s="9"/>
    </row>
    <row r="10" ht="14.4" spans="1:26">
      <c r="A10" s="3">
        <v>2009</v>
      </c>
      <c r="B10" s="3" t="s">
        <v>58</v>
      </c>
      <c r="C10" s="3" t="s">
        <v>69</v>
      </c>
      <c r="D10" s="3" t="s">
        <v>82</v>
      </c>
      <c r="E10" s="4">
        <v>19746</v>
      </c>
      <c r="F10" s="5">
        <v>45047</v>
      </c>
      <c r="G10" s="17">
        <f t="shared" si="0"/>
        <v>0.05</v>
      </c>
      <c r="H10" s="9" t="str">
        <f t="shared" si="1"/>
        <v>Eligible</v>
      </c>
      <c r="L10" s="2"/>
      <c r="Q10" s="3">
        <v>2007</v>
      </c>
      <c r="R10" s="3" t="s">
        <v>64</v>
      </c>
      <c r="S10" s="41">
        <f t="shared" si="2"/>
        <v>32058</v>
      </c>
      <c r="W10" s="2"/>
      <c r="X10" s="2"/>
      <c r="Y10" s="2"/>
      <c r="Z10" s="2"/>
    </row>
    <row r="11" ht="14.4" spans="1:26">
      <c r="A11" s="3">
        <v>2010</v>
      </c>
      <c r="B11" s="3" t="s">
        <v>55</v>
      </c>
      <c r="C11" s="3" t="s">
        <v>56</v>
      </c>
      <c r="D11" s="3" t="s">
        <v>83</v>
      </c>
      <c r="E11" s="4">
        <v>35185</v>
      </c>
      <c r="F11" s="5">
        <v>45062</v>
      </c>
      <c r="G11" s="17">
        <f t="shared" si="0"/>
        <v>0.15</v>
      </c>
      <c r="H11" s="9" t="str">
        <f t="shared" si="1"/>
        <v>Eligible</v>
      </c>
      <c r="I11" s="2"/>
      <c r="J11" s="12" t="s">
        <v>84</v>
      </c>
      <c r="K11" s="12"/>
      <c r="L11" s="2"/>
      <c r="Q11" s="3">
        <v>2008</v>
      </c>
      <c r="R11" s="3" t="s">
        <v>55</v>
      </c>
      <c r="S11" s="41">
        <f t="shared" si="2"/>
        <v>46429</v>
      </c>
      <c r="W11" s="2"/>
      <c r="X11" s="2"/>
      <c r="Y11" s="2"/>
      <c r="Z11" s="2"/>
    </row>
    <row r="12" ht="14.4" spans="1:26">
      <c r="A12" s="3">
        <v>2011</v>
      </c>
      <c r="B12" s="3" t="s">
        <v>55</v>
      </c>
      <c r="C12" s="3" t="s">
        <v>69</v>
      </c>
      <c r="D12" s="3" t="s">
        <v>85</v>
      </c>
      <c r="E12" s="4">
        <v>33920</v>
      </c>
      <c r="F12" s="5">
        <v>45077</v>
      </c>
      <c r="G12" s="17">
        <f t="shared" si="0"/>
        <v>0.15</v>
      </c>
      <c r="H12" s="9" t="str">
        <f t="shared" si="1"/>
        <v>Eligible</v>
      </c>
      <c r="I12" s="2"/>
      <c r="J12" s="9" t="s">
        <v>86</v>
      </c>
      <c r="K12" s="9" t="s">
        <v>87</v>
      </c>
      <c r="L12" s="2"/>
      <c r="P12" s="2"/>
      <c r="Q12" s="3">
        <v>2009</v>
      </c>
      <c r="R12" s="3" t="s">
        <v>58</v>
      </c>
      <c r="S12" s="41">
        <f t="shared" si="2"/>
        <v>19746</v>
      </c>
      <c r="W12" s="2"/>
      <c r="X12" s="2"/>
      <c r="Y12" s="2"/>
      <c r="Z12" s="2"/>
    </row>
    <row r="13" ht="14.4" spans="1:26">
      <c r="A13" s="3">
        <v>2012</v>
      </c>
      <c r="B13" s="3" t="s">
        <v>88</v>
      </c>
      <c r="C13" s="3" t="s">
        <v>72</v>
      </c>
      <c r="D13" s="3" t="s">
        <v>89</v>
      </c>
      <c r="E13" s="4">
        <v>35611</v>
      </c>
      <c r="F13" s="5">
        <v>45092</v>
      </c>
      <c r="G13" s="17">
        <f t="shared" si="0"/>
        <v>0.15</v>
      </c>
      <c r="H13" s="9" t="str">
        <f t="shared" si="1"/>
        <v>Eligible</v>
      </c>
      <c r="I13" s="2"/>
      <c r="J13" s="2"/>
      <c r="K13" s="2"/>
      <c r="L13" s="2"/>
      <c r="M13" s="2"/>
      <c r="N13" s="2"/>
      <c r="O13" s="2"/>
      <c r="P13" s="2"/>
      <c r="Q13" s="3">
        <v>2010</v>
      </c>
      <c r="R13" s="3" t="s">
        <v>55</v>
      </c>
      <c r="S13" s="41">
        <f t="shared" si="2"/>
        <v>35185</v>
      </c>
      <c r="W13" s="2"/>
      <c r="X13" s="2"/>
      <c r="Y13" s="2"/>
      <c r="Z13" s="2"/>
    </row>
    <row r="14" ht="14.4" spans="1:26">
      <c r="A14" s="3">
        <v>2013</v>
      </c>
      <c r="B14" s="3" t="s">
        <v>90</v>
      </c>
      <c r="C14" s="3" t="s">
        <v>69</v>
      </c>
      <c r="D14" s="3" t="s">
        <v>91</v>
      </c>
      <c r="E14" s="4">
        <v>15560</v>
      </c>
      <c r="F14" s="5">
        <v>45107</v>
      </c>
      <c r="G14" s="17">
        <f t="shared" si="0"/>
        <v>0.05</v>
      </c>
      <c r="H14" s="9" t="str">
        <f t="shared" si="1"/>
        <v>Eligible</v>
      </c>
      <c r="I14" s="2"/>
      <c r="J14" s="2"/>
      <c r="K14" s="2"/>
      <c r="L14" s="2"/>
      <c r="M14" s="2"/>
      <c r="N14" s="2"/>
      <c r="O14" s="2"/>
      <c r="P14" s="2"/>
      <c r="Q14" s="3">
        <v>2011</v>
      </c>
      <c r="R14" s="3" t="s">
        <v>55</v>
      </c>
      <c r="S14" s="41">
        <f ca="1" t="shared" si="2"/>
        <v>33920</v>
      </c>
      <c r="W14" s="2"/>
      <c r="X14" s="2"/>
      <c r="Y14" s="2"/>
      <c r="Z14" s="2"/>
    </row>
    <row r="15" ht="14.4" spans="1:26">
      <c r="A15" s="3">
        <v>2014</v>
      </c>
      <c r="B15" s="3" t="s">
        <v>90</v>
      </c>
      <c r="C15" s="3" t="s">
        <v>56</v>
      </c>
      <c r="D15" s="3" t="s">
        <v>92</v>
      </c>
      <c r="E15" s="4">
        <v>7283</v>
      </c>
      <c r="F15" s="5">
        <v>45122</v>
      </c>
      <c r="G15" s="17">
        <f t="shared" si="0"/>
        <v>0.05</v>
      </c>
      <c r="H15" s="9" t="str">
        <f t="shared" si="1"/>
        <v>Not Eligible</v>
      </c>
      <c r="I15" s="2"/>
      <c r="J15" s="9"/>
      <c r="K15" s="34"/>
      <c r="L15" s="11" t="s">
        <v>93</v>
      </c>
      <c r="M15" s="11"/>
      <c r="N15" s="9"/>
      <c r="O15" s="2"/>
      <c r="P15" s="2"/>
      <c r="Q15" s="3">
        <v>2012</v>
      </c>
      <c r="R15" s="3" t="s">
        <v>88</v>
      </c>
      <c r="S15" s="41">
        <f ca="1" t="shared" si="2"/>
        <v>35611</v>
      </c>
      <c r="W15" s="2"/>
      <c r="X15" s="2"/>
      <c r="Y15" s="2"/>
      <c r="Z15" s="2"/>
    </row>
    <row r="16" ht="14.4" spans="1:26">
      <c r="A16" s="3">
        <v>2015</v>
      </c>
      <c r="B16" s="3" t="s">
        <v>90</v>
      </c>
      <c r="C16" s="3" t="s">
        <v>69</v>
      </c>
      <c r="D16" s="3" t="s">
        <v>94</v>
      </c>
      <c r="E16" s="4">
        <v>15678</v>
      </c>
      <c r="F16" s="5">
        <v>45137</v>
      </c>
      <c r="G16" s="17">
        <f t="shared" si="0"/>
        <v>0.05</v>
      </c>
      <c r="H16" s="9" t="str">
        <f t="shared" si="1"/>
        <v>Eligible</v>
      </c>
      <c r="I16" s="2"/>
      <c r="J16" s="35" t="s">
        <v>95</v>
      </c>
      <c r="K16" s="36"/>
      <c r="L16" s="36"/>
      <c r="M16" s="36"/>
      <c r="N16" s="37"/>
      <c r="O16" s="2"/>
      <c r="P16" s="2"/>
      <c r="Q16" s="3">
        <v>2013</v>
      </c>
      <c r="R16" s="3" t="s">
        <v>90</v>
      </c>
      <c r="S16" s="41">
        <f ca="1" t="shared" si="2"/>
        <v>15560</v>
      </c>
      <c r="W16" s="2"/>
      <c r="X16" s="2"/>
      <c r="Y16" s="2"/>
      <c r="Z16" s="2"/>
    </row>
    <row r="17" ht="14.4" spans="1:26">
      <c r="A17" s="3">
        <v>2016</v>
      </c>
      <c r="B17" s="3" t="s">
        <v>64</v>
      </c>
      <c r="C17" s="3" t="s">
        <v>69</v>
      </c>
      <c r="D17" s="3" t="s">
        <v>96</v>
      </c>
      <c r="E17" s="4">
        <v>5277</v>
      </c>
      <c r="F17" s="5">
        <v>45152</v>
      </c>
      <c r="G17" s="17">
        <f t="shared" si="0"/>
        <v>0.05</v>
      </c>
      <c r="H17" s="9" t="str">
        <f t="shared" si="1"/>
        <v>Not Eligible</v>
      </c>
      <c r="I17" s="2"/>
      <c r="J17" s="10"/>
      <c r="K17" s="12" t="s">
        <v>53</v>
      </c>
      <c r="L17" s="12" t="s">
        <v>52</v>
      </c>
      <c r="M17" s="9"/>
      <c r="N17" s="9"/>
      <c r="O17" s="2"/>
      <c r="P17" s="2"/>
      <c r="Q17" s="3">
        <v>2014</v>
      </c>
      <c r="R17" s="3" t="s">
        <v>90</v>
      </c>
      <c r="S17" s="41">
        <f ca="1" t="shared" si="2"/>
        <v>7283</v>
      </c>
      <c r="W17" s="2"/>
      <c r="X17" s="2"/>
      <c r="Y17" s="2"/>
      <c r="Z17" s="2"/>
    </row>
    <row r="18" ht="14.4" spans="1:26">
      <c r="A18" s="3">
        <v>2017</v>
      </c>
      <c r="B18" s="3" t="s">
        <v>88</v>
      </c>
      <c r="C18" s="3" t="s">
        <v>72</v>
      </c>
      <c r="D18" s="3" t="s">
        <v>97</v>
      </c>
      <c r="E18" s="4">
        <v>41871</v>
      </c>
      <c r="F18" s="5">
        <v>45167</v>
      </c>
      <c r="G18" s="17">
        <f t="shared" si="0"/>
        <v>0.15</v>
      </c>
      <c r="H18" s="9" t="str">
        <f t="shared" si="1"/>
        <v>Eligible</v>
      </c>
      <c r="I18" s="2"/>
      <c r="J18" s="9"/>
      <c r="K18" s="38">
        <v>44942</v>
      </c>
      <c r="L18" s="39" cm="1">
        <f t="array" ref="L18">INDEX(E2:E21,MATCH(K18,F2:F21,0))</f>
        <v>17428</v>
      </c>
      <c r="M18" s="9"/>
      <c r="N18" s="9"/>
      <c r="O18" s="2"/>
      <c r="P18" s="2"/>
      <c r="Q18" s="3">
        <v>2015</v>
      </c>
      <c r="R18" s="3" t="s">
        <v>90</v>
      </c>
      <c r="S18" s="41">
        <f ca="1" t="shared" si="2"/>
        <v>15678</v>
      </c>
      <c r="W18" s="2"/>
      <c r="X18" s="2"/>
      <c r="Y18" s="2"/>
      <c r="Z18" s="2"/>
    </row>
    <row r="19" ht="14.4" spans="1:26">
      <c r="A19" s="3">
        <v>2018</v>
      </c>
      <c r="B19" s="3" t="s">
        <v>88</v>
      </c>
      <c r="C19" s="3" t="s">
        <v>59</v>
      </c>
      <c r="D19" s="3" t="s">
        <v>98</v>
      </c>
      <c r="E19" s="4">
        <v>38161</v>
      </c>
      <c r="F19" s="5">
        <v>45182</v>
      </c>
      <c r="G19" s="17">
        <f t="shared" si="0"/>
        <v>0.15</v>
      </c>
      <c r="H19" s="9" t="str">
        <f t="shared" si="1"/>
        <v>Eligible</v>
      </c>
      <c r="I19" s="2"/>
      <c r="J19" s="2"/>
      <c r="K19" s="2"/>
      <c r="L19" s="2"/>
      <c r="M19" s="2"/>
      <c r="N19" s="2"/>
      <c r="O19" s="2"/>
      <c r="P19" s="2"/>
      <c r="Q19" s="3">
        <v>2016</v>
      </c>
      <c r="R19" s="3" t="s">
        <v>64</v>
      </c>
      <c r="S19" s="41">
        <f ca="1" t="shared" si="2"/>
        <v>5277</v>
      </c>
      <c r="W19" s="2"/>
      <c r="X19" s="2"/>
      <c r="Y19" s="2"/>
      <c r="Z19" s="2"/>
    </row>
    <row r="20" ht="14.4" spans="1:26">
      <c r="A20" s="3">
        <v>2019</v>
      </c>
      <c r="B20" s="3" t="s">
        <v>64</v>
      </c>
      <c r="C20" s="3" t="s">
        <v>59</v>
      </c>
      <c r="D20" s="3" t="s">
        <v>99</v>
      </c>
      <c r="E20" s="4">
        <v>30436</v>
      </c>
      <c r="F20" s="5">
        <v>45197</v>
      </c>
      <c r="G20" s="17">
        <f t="shared" si="0"/>
        <v>0.15</v>
      </c>
      <c r="H20" s="9" t="str">
        <f t="shared" si="1"/>
        <v>Eligible</v>
      </c>
      <c r="I20" s="2"/>
      <c r="J20" s="2"/>
      <c r="K20" s="2"/>
      <c r="L20" s="2"/>
      <c r="M20" s="2"/>
      <c r="N20" s="2"/>
      <c r="O20" s="2"/>
      <c r="P20" s="2"/>
      <c r="Q20" s="3">
        <v>2017</v>
      </c>
      <c r="R20" s="3" t="s">
        <v>88</v>
      </c>
      <c r="S20" s="41">
        <f ca="1" t="shared" si="2"/>
        <v>41871</v>
      </c>
      <c r="W20" s="2"/>
      <c r="X20" s="2"/>
      <c r="Y20" s="2"/>
      <c r="Z20" s="2"/>
    </row>
    <row r="21" ht="15.75" customHeight="1" spans="1:26">
      <c r="A21" s="3">
        <v>2020</v>
      </c>
      <c r="B21" s="3" t="s">
        <v>58</v>
      </c>
      <c r="C21" s="3" t="s">
        <v>59</v>
      </c>
      <c r="D21" s="3" t="s">
        <v>100</v>
      </c>
      <c r="E21" s="4">
        <v>33953</v>
      </c>
      <c r="F21" s="5">
        <v>45212</v>
      </c>
      <c r="G21" s="17">
        <f t="shared" si="0"/>
        <v>0.15</v>
      </c>
      <c r="H21" s="9" t="str">
        <f t="shared" si="1"/>
        <v>Eligible</v>
      </c>
      <c r="I21" s="2"/>
      <c r="J21" s="2"/>
      <c r="K21" s="2"/>
      <c r="L21" s="2"/>
      <c r="M21" s="2"/>
      <c r="N21" s="2"/>
      <c r="O21" s="2"/>
      <c r="P21" s="2"/>
      <c r="Q21" s="3">
        <v>2018</v>
      </c>
      <c r="R21" s="3" t="s">
        <v>88</v>
      </c>
      <c r="S21" s="41">
        <f ca="1" t="shared" si="2"/>
        <v>38161</v>
      </c>
      <c r="W21" s="2"/>
      <c r="X21" s="2"/>
      <c r="Y21" s="2"/>
      <c r="Z21" s="2"/>
    </row>
    <row r="22" ht="15.75" customHeight="1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3">
        <v>2019</v>
      </c>
      <c r="R22" s="3" t="s">
        <v>64</v>
      </c>
      <c r="S22" s="41">
        <f ca="1" t="shared" si="2"/>
        <v>30436</v>
      </c>
      <c r="W22" s="2"/>
      <c r="X22" s="2"/>
      <c r="Y22" s="2"/>
      <c r="Z22" s="2"/>
    </row>
    <row r="23" ht="15.75" customHeight="1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3">
        <v>2020</v>
      </c>
      <c r="R23" s="3" t="s">
        <v>58</v>
      </c>
      <c r="S23" s="41">
        <f ca="1" t="shared" si="2"/>
        <v>33953</v>
      </c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11" t="s">
        <v>101</v>
      </c>
      <c r="M24" s="1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5" t="s">
        <v>55</v>
      </c>
      <c r="M25" s="10">
        <f>_xlfn.XMATCH(L25,B2:B21,0)</f>
        <v>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15" t="s">
        <v>58</v>
      </c>
      <c r="M26" s="10">
        <f>_xlfn.XMATCH(L26,B2:B21,0)</f>
        <v>2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15" t="s">
        <v>64</v>
      </c>
      <c r="M27" s="10">
        <f>_xlfn.XMATCH(L27,B2:B21,0)</f>
        <v>3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9"/>
      <c r="D28" s="18" t="s">
        <v>102</v>
      </c>
      <c r="E28" s="19"/>
      <c r="F28" s="10"/>
      <c r="G28" s="2"/>
      <c r="H28" s="2"/>
      <c r="I28" s="2"/>
      <c r="J28" s="2"/>
      <c r="K28" s="2"/>
      <c r="L28" s="15" t="s">
        <v>58</v>
      </c>
      <c r="M28" s="10">
        <f>_xlfn.XMATCH(L28,B2:B21,0)</f>
        <v>2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C29" s="20" t="s">
        <v>103</v>
      </c>
      <c r="D29" s="21"/>
      <c r="E29" s="21"/>
      <c r="F29" s="22"/>
      <c r="G29" s="2"/>
      <c r="H29" s="2"/>
      <c r="I29" s="2"/>
      <c r="J29" s="2"/>
      <c r="K29" s="2"/>
      <c r="L29" s="15" t="s">
        <v>55</v>
      </c>
      <c r="M29" s="10">
        <f>_xlfn.XMATCH(L29,B2:B21,0)</f>
        <v>1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C30" s="12" t="s">
        <v>49</v>
      </c>
      <c r="D30" s="12" t="s">
        <v>50</v>
      </c>
      <c r="E30" s="12" t="s">
        <v>51</v>
      </c>
      <c r="F30" s="12" t="s">
        <v>52</v>
      </c>
      <c r="G30" s="2"/>
      <c r="H30" s="2"/>
      <c r="I30" s="2"/>
      <c r="J30" s="2"/>
      <c r="K30" s="2"/>
      <c r="L30" s="15" t="s">
        <v>64</v>
      </c>
      <c r="M30" s="10">
        <f>_xlfn.XMATCH(L30,B2:B21,0)</f>
        <v>3</v>
      </c>
      <c r="N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9" t="str" cm="1">
        <f ca="1" t="array" ref="C31:F36">OFFSET(A2,2,1,6,4)</f>
        <v>Mouse</v>
      </c>
      <c r="D31" s="9" t="str">
        <v>South</v>
      </c>
      <c r="E31" s="9" t="str">
        <v>Person 3</v>
      </c>
      <c r="F31" s="14">
        <v>23672</v>
      </c>
      <c r="G31" s="2"/>
      <c r="H31" s="2"/>
      <c r="I31" s="2"/>
      <c r="J31" s="2"/>
      <c r="K31" s="2"/>
      <c r="L31" s="15" t="s">
        <v>64</v>
      </c>
      <c r="M31" s="10">
        <f>_xlfn.XMATCH(L31,B2:B21,0)</f>
        <v>3</v>
      </c>
      <c r="N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9" t="str">
        <v>Printer</v>
      </c>
      <c r="D32" s="9" t="str">
        <v>East</v>
      </c>
      <c r="E32" s="9" t="str">
        <v>Person 4</v>
      </c>
      <c r="F32" s="14">
        <v>5264</v>
      </c>
      <c r="G32" s="2"/>
      <c r="H32" s="2"/>
      <c r="I32" s="2"/>
      <c r="J32" s="2"/>
      <c r="K32" s="2"/>
      <c r="L32" s="15" t="s">
        <v>55</v>
      </c>
      <c r="M32" s="10">
        <f>_xlfn.XMATCH(L32,B2:B21,0)</f>
        <v>1</v>
      </c>
      <c r="N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9" t="str">
        <v>Keyboard</v>
      </c>
      <c r="D33" s="9" t="str">
        <v>North</v>
      </c>
      <c r="E33" s="9" t="str">
        <v>Person 5</v>
      </c>
      <c r="F33" s="14">
        <v>43388</v>
      </c>
      <c r="G33" s="2"/>
      <c r="H33" s="2"/>
      <c r="I33" s="2"/>
      <c r="J33" s="2"/>
      <c r="K33" s="2"/>
      <c r="L33" s="2"/>
      <c r="M33" s="2"/>
      <c r="N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9" t="str">
        <v>Mouse</v>
      </c>
      <c r="D34" s="9" t="str">
        <v>North</v>
      </c>
      <c r="E34" s="9" t="str">
        <v>Person 6</v>
      </c>
      <c r="F34" s="14">
        <v>19757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9" t="str">
        <v>Mouse</v>
      </c>
      <c r="D35" s="9" t="str">
        <v>East</v>
      </c>
      <c r="E35" s="9" t="str">
        <v>Person 7</v>
      </c>
      <c r="F35" s="14">
        <v>32058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9" t="str">
        <v>Keyboard</v>
      </c>
      <c r="D36" s="9" t="str">
        <v>East</v>
      </c>
      <c r="E36" s="9" t="str">
        <v>Person 8</v>
      </c>
      <c r="F36" s="14">
        <v>46429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J3:K3"/>
    <mergeCell ref="M3:O3"/>
    <mergeCell ref="J11:K11"/>
    <mergeCell ref="J16:N16"/>
    <mergeCell ref="L24:M24"/>
    <mergeCell ref="D28:E28"/>
    <mergeCell ref="C29:F29"/>
  </mergeCells>
  <pageMargins left="0.75" right="0.75" top="1" bottom="1" header="0" footer="0"/>
  <pageSetup paperSize="1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X6" sqref="X6"/>
    </sheetView>
  </sheetViews>
  <sheetFormatPr defaultColWidth="14.4259259259259" defaultRowHeight="15" customHeight="1"/>
  <cols>
    <col min="1" max="1" width="12" customWidth="1"/>
    <col min="2" max="2" width="12.1388888888889" customWidth="1"/>
    <col min="3" max="3" width="11.712962962963" customWidth="1"/>
    <col min="4" max="4" width="12.8888888888889" customWidth="1"/>
    <col min="5" max="5" width="18.8611111111111" customWidth="1"/>
    <col min="6" max="11" width="8.71296296296296" customWidth="1"/>
    <col min="12" max="14" width="12.8888888888889" customWidth="1"/>
    <col min="15" max="22" width="8.71296296296296" customWidth="1"/>
    <col min="23" max="24" width="11.2222222222222" customWidth="1"/>
    <col min="25" max="25" width="8.71296296296296" customWidth="1"/>
    <col min="26" max="26" width="10.1111111111111" customWidth="1"/>
  </cols>
  <sheetData>
    <row r="1" ht="14.4" spans="1:25">
      <c r="A1" s="1" t="s">
        <v>104</v>
      </c>
      <c r="B1" s="1" t="s">
        <v>1</v>
      </c>
      <c r="C1" s="1" t="s">
        <v>105</v>
      </c>
      <c r="D1" s="1" t="s">
        <v>106</v>
      </c>
      <c r="E1" s="1" t="s">
        <v>107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4.4" spans="1:25">
      <c r="A2" s="3">
        <v>3001</v>
      </c>
      <c r="B2" s="3" t="s">
        <v>108</v>
      </c>
      <c r="C2" s="3" t="s">
        <v>109</v>
      </c>
      <c r="D2" s="4">
        <v>86766</v>
      </c>
      <c r="E2" s="5">
        <v>42005</v>
      </c>
      <c r="F2" s="2"/>
      <c r="G2" s="2"/>
      <c r="H2" s="2"/>
      <c r="I2" s="2"/>
      <c r="J2" s="2"/>
      <c r="K2" s="2"/>
      <c r="L2" s="6" t="s">
        <v>110</v>
      </c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14.4" spans="1:26">
      <c r="A3" s="3">
        <v>3002</v>
      </c>
      <c r="B3" s="3" t="s">
        <v>111</v>
      </c>
      <c r="C3" s="3" t="s">
        <v>109</v>
      </c>
      <c r="D3" s="4">
        <v>31943</v>
      </c>
      <c r="E3" s="5">
        <v>42255</v>
      </c>
      <c r="G3" s="2"/>
      <c r="H3" s="2"/>
      <c r="I3" s="2"/>
      <c r="J3" s="2"/>
      <c r="K3" s="2"/>
      <c r="L3" s="7" t="s">
        <v>112</v>
      </c>
      <c r="M3" s="7" t="s">
        <v>113</v>
      </c>
      <c r="N3" s="7" t="s">
        <v>114</v>
      </c>
      <c r="O3" s="2"/>
      <c r="P3" s="2"/>
      <c r="Q3" s="2"/>
      <c r="R3" s="2"/>
      <c r="S3" s="2"/>
      <c r="T3" s="2"/>
      <c r="U3" s="2"/>
      <c r="V3" s="9"/>
      <c r="W3" s="10"/>
      <c r="X3" s="11" t="s">
        <v>63</v>
      </c>
      <c r="Y3" s="9"/>
      <c r="Z3" s="10"/>
    </row>
    <row r="4" ht="14.4" spans="1:26">
      <c r="A4" s="3">
        <v>3003</v>
      </c>
      <c r="B4" s="3" t="s">
        <v>115</v>
      </c>
      <c r="C4" s="3" t="s">
        <v>116</v>
      </c>
      <c r="D4" s="4">
        <v>63374</v>
      </c>
      <c r="E4" s="5">
        <v>42505</v>
      </c>
      <c r="F4" s="2"/>
      <c r="G4" s="2"/>
      <c r="H4" s="2"/>
      <c r="I4" s="2"/>
      <c r="J4" s="2"/>
      <c r="K4" s="2"/>
      <c r="L4" s="8" cm="1">
        <f t="array" ref="L4:L23">ROUND('Employee Data'!D2:D21,2)</f>
        <v>86766</v>
      </c>
      <c r="M4" s="8" cm="1">
        <f t="array" ref="M4:M23">CEILING('Employee Data'!D2:D21,500)</f>
        <v>87000</v>
      </c>
      <c r="N4" s="8" cm="1">
        <f t="array" ref="N4:N23">FLOOR('Employee Data'!D2:D21,500)</f>
        <v>86500</v>
      </c>
      <c r="O4" s="2"/>
      <c r="P4" s="1"/>
      <c r="Q4" s="1"/>
      <c r="R4" s="1" t="s">
        <v>117</v>
      </c>
      <c r="S4" s="1"/>
      <c r="T4" s="1"/>
      <c r="U4" s="2"/>
      <c r="V4" s="12"/>
      <c r="W4" s="12"/>
      <c r="X4" s="12" t="s">
        <v>118</v>
      </c>
      <c r="Y4" s="12"/>
      <c r="Z4" s="12"/>
    </row>
    <row r="5" ht="14.4" spans="1:26">
      <c r="A5" s="3">
        <v>3004</v>
      </c>
      <c r="B5" s="3" t="s">
        <v>119</v>
      </c>
      <c r="C5" s="3" t="s">
        <v>109</v>
      </c>
      <c r="D5" s="4">
        <v>109972</v>
      </c>
      <c r="E5" s="5">
        <v>42755</v>
      </c>
      <c r="F5" s="2"/>
      <c r="G5" s="2"/>
      <c r="H5" s="2"/>
      <c r="I5" s="2"/>
      <c r="J5" s="2"/>
      <c r="K5" s="2"/>
      <c r="L5" s="8">
        <v>31943</v>
      </c>
      <c r="M5" s="8">
        <v>32000</v>
      </c>
      <c r="N5" s="8">
        <v>31500</v>
      </c>
      <c r="O5" s="2"/>
      <c r="P5" s="2"/>
      <c r="Q5" s="13" t="s">
        <v>120</v>
      </c>
      <c r="R5" s="13">
        <f>DATEDIF(E2,E3,"D")</f>
        <v>250</v>
      </c>
      <c r="S5" s="2"/>
      <c r="T5" s="2"/>
      <c r="U5" s="2"/>
      <c r="V5" s="9"/>
      <c r="W5" s="12" t="s">
        <v>1</v>
      </c>
      <c r="X5" s="12" t="s">
        <v>106</v>
      </c>
      <c r="Y5" s="10"/>
      <c r="Z5" s="10"/>
    </row>
    <row r="6" ht="14.4" spans="1:26">
      <c r="A6" s="3">
        <v>3005</v>
      </c>
      <c r="B6" s="3" t="s">
        <v>121</v>
      </c>
      <c r="C6" s="3" t="s">
        <v>122</v>
      </c>
      <c r="D6" s="4">
        <v>54149</v>
      </c>
      <c r="E6" s="5">
        <v>43005</v>
      </c>
      <c r="F6" s="2"/>
      <c r="G6" s="2"/>
      <c r="H6" s="2"/>
      <c r="I6" s="2"/>
      <c r="J6" s="2"/>
      <c r="K6" s="2"/>
      <c r="L6" s="8">
        <v>63374</v>
      </c>
      <c r="M6" s="8">
        <v>63500</v>
      </c>
      <c r="N6" s="8">
        <v>63000</v>
      </c>
      <c r="O6" s="2"/>
      <c r="P6" s="2"/>
      <c r="Q6" s="2"/>
      <c r="R6" s="2"/>
      <c r="S6" s="2"/>
      <c r="T6" s="2"/>
      <c r="U6" s="2"/>
      <c r="V6" s="9"/>
      <c r="W6" s="10" t="s">
        <v>111</v>
      </c>
      <c r="X6" s="14">
        <f>_xlfn.XLOOKUP(W6,B2:B21,D2:D21,,0)</f>
        <v>31943</v>
      </c>
      <c r="Y6" s="10"/>
      <c r="Z6" s="10"/>
    </row>
    <row r="7" ht="14.4" spans="1:25">
      <c r="A7" s="3">
        <v>3006</v>
      </c>
      <c r="B7" s="3" t="s">
        <v>123</v>
      </c>
      <c r="C7" s="3" t="s">
        <v>122</v>
      </c>
      <c r="D7" s="4">
        <v>78689</v>
      </c>
      <c r="E7" s="5">
        <v>43255</v>
      </c>
      <c r="F7" s="2"/>
      <c r="G7" s="2"/>
      <c r="H7" s="2"/>
      <c r="I7" s="2"/>
      <c r="J7" s="2"/>
      <c r="K7" s="2"/>
      <c r="L7" s="8">
        <v>109972</v>
      </c>
      <c r="M7" s="8">
        <v>110000</v>
      </c>
      <c r="N7" s="8">
        <v>109500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4.4" spans="1:25">
      <c r="A8" s="3">
        <v>3007</v>
      </c>
      <c r="B8" s="3" t="s">
        <v>124</v>
      </c>
      <c r="C8" s="3" t="s">
        <v>125</v>
      </c>
      <c r="D8" s="4">
        <v>35960</v>
      </c>
      <c r="E8" s="5">
        <v>43505</v>
      </c>
      <c r="F8" s="2"/>
      <c r="G8" s="2"/>
      <c r="H8" s="2"/>
      <c r="I8" s="2"/>
      <c r="J8" s="2"/>
      <c r="K8" s="2"/>
      <c r="L8" s="8">
        <v>54149</v>
      </c>
      <c r="M8" s="8">
        <v>54500</v>
      </c>
      <c r="N8" s="8">
        <v>54000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4.4" spans="1:25">
      <c r="A9" s="3">
        <v>3008</v>
      </c>
      <c r="B9" s="3" t="s">
        <v>126</v>
      </c>
      <c r="C9" s="3" t="s">
        <v>122</v>
      </c>
      <c r="D9" s="4">
        <v>91659</v>
      </c>
      <c r="E9" s="5">
        <v>43755</v>
      </c>
      <c r="F9" s="2"/>
      <c r="G9" s="2"/>
      <c r="H9" s="2"/>
      <c r="I9" s="2"/>
      <c r="J9" s="2"/>
      <c r="K9" s="2"/>
      <c r="L9" s="8">
        <v>78689</v>
      </c>
      <c r="M9" s="8">
        <v>79000</v>
      </c>
      <c r="N9" s="8">
        <v>78500</v>
      </c>
      <c r="O9" s="2"/>
      <c r="P9" s="2"/>
      <c r="Q9" s="2"/>
      <c r="S9" s="2"/>
      <c r="T9" s="2"/>
      <c r="U9" s="2"/>
      <c r="V9" s="2"/>
      <c r="W9" s="2"/>
      <c r="X9" s="2"/>
      <c r="Y9" s="2"/>
    </row>
    <row r="10" ht="14.4" spans="1:25">
      <c r="A10" s="3">
        <v>3009</v>
      </c>
      <c r="B10" s="3" t="s">
        <v>127</v>
      </c>
      <c r="C10" s="3" t="s">
        <v>122</v>
      </c>
      <c r="D10" s="4">
        <v>90423</v>
      </c>
      <c r="E10" s="5">
        <v>44005</v>
      </c>
      <c r="F10" s="2"/>
      <c r="G10" s="2"/>
      <c r="H10" s="2"/>
      <c r="I10" s="2"/>
      <c r="J10" s="2"/>
      <c r="K10" s="2"/>
      <c r="L10" s="8">
        <v>35960</v>
      </c>
      <c r="M10" s="8">
        <v>36000</v>
      </c>
      <c r="N10" s="8">
        <v>35500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4.4" spans="1:26">
      <c r="A11" s="3">
        <v>3010</v>
      </c>
      <c r="B11" s="3" t="s">
        <v>128</v>
      </c>
      <c r="C11" s="3" t="s">
        <v>116</v>
      </c>
      <c r="D11" s="4">
        <v>107877</v>
      </c>
      <c r="E11" s="5">
        <v>44255</v>
      </c>
      <c r="F11" s="2"/>
      <c r="G11" s="2"/>
      <c r="H11" s="2"/>
      <c r="I11" s="2"/>
      <c r="J11" s="2"/>
      <c r="K11" s="2"/>
      <c r="L11" s="8">
        <v>91659</v>
      </c>
      <c r="M11" s="8">
        <v>92000</v>
      </c>
      <c r="N11" s="8">
        <v>91500</v>
      </c>
      <c r="O11" s="2"/>
      <c r="P11" s="2"/>
      <c r="Q11" s="2"/>
      <c r="R11" s="2"/>
      <c r="S11" s="2"/>
      <c r="T11" s="9"/>
      <c r="U11" s="9"/>
      <c r="V11" s="11" t="s">
        <v>129</v>
      </c>
      <c r="W11" s="11"/>
      <c r="X11" s="11"/>
      <c r="Y11" s="9"/>
      <c r="Z11" s="10"/>
    </row>
    <row r="12" ht="14.4" spans="1:26">
      <c r="A12" s="3">
        <v>3011</v>
      </c>
      <c r="B12" s="3" t="s">
        <v>130</v>
      </c>
      <c r="C12" s="3" t="s">
        <v>109</v>
      </c>
      <c r="D12" s="4">
        <v>107634</v>
      </c>
      <c r="E12" s="5">
        <v>44505</v>
      </c>
      <c r="F12" s="2"/>
      <c r="G12" s="2"/>
      <c r="H12" s="2"/>
      <c r="I12" s="2"/>
      <c r="J12" s="2"/>
      <c r="K12" s="2"/>
      <c r="L12" s="8">
        <v>90423</v>
      </c>
      <c r="M12" s="8">
        <v>90500</v>
      </c>
      <c r="N12" s="8">
        <v>90000</v>
      </c>
      <c r="O12" s="2"/>
      <c r="P12" s="2"/>
      <c r="Q12" s="2"/>
      <c r="R12" s="2"/>
      <c r="S12" s="2"/>
      <c r="T12" s="12"/>
      <c r="U12" s="12"/>
      <c r="V12" s="12"/>
      <c r="W12" s="12" t="s">
        <v>131</v>
      </c>
      <c r="X12" s="12"/>
      <c r="Y12" s="12"/>
      <c r="Z12" s="12"/>
    </row>
    <row r="13" ht="14.4" spans="1:26">
      <c r="A13" s="3">
        <v>3012</v>
      </c>
      <c r="B13" s="3" t="s">
        <v>132</v>
      </c>
      <c r="C13" s="3" t="s">
        <v>109</v>
      </c>
      <c r="D13" s="4">
        <v>35226</v>
      </c>
      <c r="E13" s="5">
        <v>44755</v>
      </c>
      <c r="F13" s="2"/>
      <c r="G13" s="2"/>
      <c r="H13" s="2"/>
      <c r="I13" s="2"/>
      <c r="J13" s="2"/>
      <c r="K13" s="2"/>
      <c r="L13" s="8">
        <v>107877</v>
      </c>
      <c r="M13" s="8">
        <v>108000</v>
      </c>
      <c r="N13" s="8">
        <v>107500</v>
      </c>
      <c r="O13" s="2"/>
      <c r="P13" s="2"/>
      <c r="Q13" s="2"/>
      <c r="R13" s="2"/>
      <c r="S13" s="2"/>
      <c r="T13" s="9"/>
      <c r="U13" s="9"/>
      <c r="V13" s="9"/>
      <c r="W13" s="12" t="s">
        <v>1</v>
      </c>
      <c r="X13" s="10" t="s">
        <v>111</v>
      </c>
      <c r="Y13" s="9"/>
      <c r="Z13" s="10"/>
    </row>
    <row r="14" ht="14.4" spans="1:26">
      <c r="A14" s="3">
        <v>3013</v>
      </c>
      <c r="B14" s="3" t="s">
        <v>133</v>
      </c>
      <c r="C14" s="3" t="s">
        <v>116</v>
      </c>
      <c r="D14" s="4">
        <v>40872</v>
      </c>
      <c r="E14" s="5">
        <v>45005</v>
      </c>
      <c r="F14" s="2"/>
      <c r="G14" s="2"/>
      <c r="H14" s="2"/>
      <c r="I14" s="2"/>
      <c r="J14" s="2"/>
      <c r="K14" s="2"/>
      <c r="L14" s="8">
        <v>107634</v>
      </c>
      <c r="M14" s="8">
        <v>108000</v>
      </c>
      <c r="N14" s="8">
        <v>107500</v>
      </c>
      <c r="O14" s="2"/>
      <c r="P14" s="2"/>
      <c r="Q14" s="2"/>
      <c r="R14" s="2"/>
      <c r="S14" s="2"/>
      <c r="T14" s="9"/>
      <c r="U14" s="9"/>
      <c r="V14" s="9"/>
      <c r="W14" s="12" t="s">
        <v>105</v>
      </c>
      <c r="X14" s="15" t="s">
        <v>109</v>
      </c>
      <c r="Y14" s="9"/>
      <c r="Z14" s="10"/>
    </row>
    <row r="15" ht="14.4" spans="1:26">
      <c r="A15" s="3">
        <v>3014</v>
      </c>
      <c r="B15" s="3" t="s">
        <v>134</v>
      </c>
      <c r="C15" s="3" t="s">
        <v>116</v>
      </c>
      <c r="D15" s="4">
        <v>55378</v>
      </c>
      <c r="E15" s="5">
        <v>45255</v>
      </c>
      <c r="F15" s="2"/>
      <c r="G15" s="2"/>
      <c r="H15" s="2"/>
      <c r="I15" s="2"/>
      <c r="J15" s="2"/>
      <c r="K15" s="2"/>
      <c r="L15" s="8">
        <v>35226</v>
      </c>
      <c r="M15" s="8">
        <v>35500</v>
      </c>
      <c r="N15" s="8">
        <v>35000</v>
      </c>
      <c r="O15" s="2"/>
      <c r="P15" s="2"/>
      <c r="Q15" s="2"/>
      <c r="R15" s="2"/>
      <c r="S15" s="2"/>
      <c r="T15" s="9"/>
      <c r="U15" s="9"/>
      <c r="V15" s="9"/>
      <c r="W15" s="12" t="s">
        <v>106</v>
      </c>
      <c r="X15" s="14" cm="1">
        <f t="array" ref="X15">INDEX(D2:D21,MATCH(X13,B2:B21,0),MATCH(X14,C2:C21,0))</f>
        <v>31943</v>
      </c>
      <c r="Y15" s="9"/>
      <c r="Z15" s="10"/>
    </row>
    <row r="16" ht="14.4" spans="1:25">
      <c r="A16" s="3">
        <v>3015</v>
      </c>
      <c r="B16" s="3" t="s">
        <v>135</v>
      </c>
      <c r="C16" s="3" t="s">
        <v>116</v>
      </c>
      <c r="D16" s="4">
        <v>63297</v>
      </c>
      <c r="E16" s="5">
        <v>45505</v>
      </c>
      <c r="F16" s="2"/>
      <c r="G16" s="2"/>
      <c r="H16" s="2"/>
      <c r="I16" s="2"/>
      <c r="J16" s="2"/>
      <c r="K16" s="2"/>
      <c r="L16" s="8">
        <v>40872</v>
      </c>
      <c r="M16" s="8">
        <v>41000</v>
      </c>
      <c r="N16" s="8">
        <v>40500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4.4" spans="1:25">
      <c r="A17" s="3">
        <v>3016</v>
      </c>
      <c r="B17" s="3" t="s">
        <v>136</v>
      </c>
      <c r="C17" s="3" t="s">
        <v>109</v>
      </c>
      <c r="D17" s="4">
        <v>114173</v>
      </c>
      <c r="E17" s="5">
        <v>45755</v>
      </c>
      <c r="F17" s="2"/>
      <c r="G17" s="2"/>
      <c r="H17" s="2"/>
      <c r="I17" s="2"/>
      <c r="J17" s="2"/>
      <c r="K17" s="2"/>
      <c r="L17" s="8">
        <v>55378</v>
      </c>
      <c r="M17" s="8">
        <v>55500</v>
      </c>
      <c r="N17" s="8">
        <v>55000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4.4" spans="1:25">
      <c r="A18" s="3">
        <v>3017</v>
      </c>
      <c r="B18" s="3" t="s">
        <v>137</v>
      </c>
      <c r="C18" s="3" t="s">
        <v>116</v>
      </c>
      <c r="D18" s="4">
        <v>86915</v>
      </c>
      <c r="E18" s="5">
        <v>46005</v>
      </c>
      <c r="F18" s="2"/>
      <c r="G18" s="2"/>
      <c r="H18" s="2"/>
      <c r="I18" s="2"/>
      <c r="J18" s="2"/>
      <c r="K18" s="2"/>
      <c r="L18" s="8">
        <v>63297</v>
      </c>
      <c r="M18" s="8">
        <v>63500</v>
      </c>
      <c r="N18" s="8">
        <v>63000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4.4" spans="1:25">
      <c r="A19" s="3">
        <v>3018</v>
      </c>
      <c r="B19" s="3" t="s">
        <v>138</v>
      </c>
      <c r="C19" s="3" t="s">
        <v>122</v>
      </c>
      <c r="D19" s="4">
        <v>116284</v>
      </c>
      <c r="E19" s="5">
        <v>46255</v>
      </c>
      <c r="F19" s="2"/>
      <c r="G19" s="2"/>
      <c r="H19" s="2"/>
      <c r="I19" s="2"/>
      <c r="J19" s="2"/>
      <c r="K19" s="2"/>
      <c r="L19" s="8">
        <v>114173</v>
      </c>
      <c r="M19" s="8">
        <v>114500</v>
      </c>
      <c r="N19" s="8">
        <v>114000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4.4" spans="1:25">
      <c r="A20" s="3">
        <v>3019</v>
      </c>
      <c r="B20" s="3" t="s">
        <v>139</v>
      </c>
      <c r="C20" s="3" t="s">
        <v>125</v>
      </c>
      <c r="D20" s="4">
        <v>116283</v>
      </c>
      <c r="E20" s="5">
        <v>46505</v>
      </c>
      <c r="F20" s="2"/>
      <c r="G20" s="2"/>
      <c r="H20" s="2"/>
      <c r="I20" s="2"/>
      <c r="J20" s="2"/>
      <c r="K20" s="2"/>
      <c r="L20" s="8">
        <v>86915</v>
      </c>
      <c r="M20" s="8">
        <v>87000</v>
      </c>
      <c r="N20" s="8">
        <v>86500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 spans="1:25">
      <c r="A21" s="3">
        <v>3020</v>
      </c>
      <c r="B21" s="3" t="s">
        <v>140</v>
      </c>
      <c r="C21" s="3" t="s">
        <v>125</v>
      </c>
      <c r="D21" s="4">
        <v>99924</v>
      </c>
      <c r="E21" s="5">
        <v>46755</v>
      </c>
      <c r="F21" s="2"/>
      <c r="G21" s="2"/>
      <c r="H21" s="2"/>
      <c r="I21" s="2"/>
      <c r="J21" s="2"/>
      <c r="K21" s="2"/>
      <c r="L21" s="8">
        <v>116284</v>
      </c>
      <c r="M21" s="8">
        <v>116500</v>
      </c>
      <c r="N21" s="8">
        <v>116000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 spans="1: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>
        <v>116283</v>
      </c>
      <c r="M22" s="8">
        <v>116500</v>
      </c>
      <c r="N22" s="8">
        <v>116000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 spans="1: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>
        <v>99924</v>
      </c>
      <c r="M23" s="8">
        <v>100000</v>
      </c>
      <c r="N23" s="8">
        <v>99500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 spans="1: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 spans="1: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 spans="1: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 spans="1: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 spans="1: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 spans="1: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 spans="1: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 spans="1: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 spans="1: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 spans="1: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 spans="1: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 spans="1: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 spans="1: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 spans="1: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 spans="1: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 spans="1: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 spans="1: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 spans="1: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 spans="1: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 spans="1: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 spans="1: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 spans="1: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 spans="1: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 spans="1: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 spans="1: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 spans="1: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 spans="1: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 spans="1: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 spans="1: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 spans="1: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 spans="1: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5.75" customHeight="1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 spans="1: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 spans="1: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 spans="1: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 spans="1: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 spans="1: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 spans="1: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 spans="1: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 spans="1: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 spans="1: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 spans="1: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 spans="1: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 spans="1: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 spans="1: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 spans="1: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 spans="1: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 spans="1: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 spans="1: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 spans="1: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 spans="1: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 spans="1: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 spans="1: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5.75" customHeight="1" spans="1: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5.75" customHeight="1" spans="1: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5.75" customHeight="1" spans="1: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5.75" customHeight="1" spans="1: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5.75" customHeight="1" spans="1: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5.75" customHeight="1" spans="1: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5.75" customHeight="1" spans="1: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5.75" customHeight="1" spans="1: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5.75" customHeight="1" spans="1: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5.75" customHeight="1" spans="1: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5.75" customHeight="1" spans="1: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5.75" customHeight="1" spans="1: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5.75" customHeight="1" spans="1: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5.75" customHeight="1" spans="1: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5.75" customHeight="1" spans="1: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5.75" customHeight="1" spans="1: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5.75" customHeight="1" spans="1: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5.75" customHeight="1" spans="1: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5.75" customHeight="1" spans="1: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5.75" customHeight="1" spans="1: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5.75" customHeight="1" spans="1: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5.75" customHeight="1" spans="1: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5.75" customHeight="1" spans="1: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5.75" customHeight="1" spans="1: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5.75" customHeight="1" spans="1: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5.75" customHeight="1" spans="1: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5.75" customHeight="1" spans="1: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5.75" customHeight="1" spans="1: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5.75" customHeight="1" spans="1: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5.75" customHeight="1" spans="1: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5.75" customHeight="1" spans="1: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5.75" customHeight="1" spans="1: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5.75" customHeight="1" spans="1: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5.75" customHeight="1" spans="1: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5.75" customHeight="1" spans="1: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5.75" customHeight="1" spans="1: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5.75" customHeight="1" spans="1: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5.75" customHeight="1" spans="1: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5.75" customHeight="1" spans="1: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5.75" customHeight="1" spans="1: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5.75" customHeight="1" spans="1: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5.75" customHeight="1" spans="1: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5.75" customHeight="1" spans="1: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5.75" customHeight="1" spans="1: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5.75" customHeight="1" spans="1: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5.75" customHeight="1" spans="1: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5.75" customHeight="1" spans="1: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5.75" customHeight="1" spans="1: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5.75" customHeight="1" spans="1: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5.75" customHeight="1" spans="1: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5.75" customHeight="1" spans="1: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5.75" customHeight="1" spans="1: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5.75" customHeight="1" spans="1: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5.75" customHeight="1" spans="1: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5.75" customHeight="1" spans="1: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5.75" customHeight="1" spans="1: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5.75" customHeight="1" spans="1: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5.75" customHeight="1" spans="1: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5.75" customHeight="1" spans="1: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5.75" customHeight="1" spans="1: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5.75" customHeight="1" spans="1: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5.75" customHeight="1" spans="1: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5.75" customHeight="1" spans="1: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5.75" customHeight="1" spans="1: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5.75" customHeight="1" spans="1: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5.75" customHeight="1" spans="1: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5.75" customHeight="1" spans="1: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5.75" customHeight="1" spans="1: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5.75" customHeight="1" spans="1: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5.75" customHeight="1" spans="1: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5.75" customHeight="1" spans="1: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5.75" customHeight="1" spans="1: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5.75" customHeight="1" spans="1: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5.75" customHeight="1" spans="1: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5.75" customHeight="1" spans="1: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5.75" customHeight="1" spans="1: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5.75" customHeight="1" spans="1: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5.75" customHeight="1" spans="1: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5.75" customHeight="1" spans="1: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5.75" customHeight="1" spans="1: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5.75" customHeight="1" spans="1: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5.75" customHeight="1" spans="1: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5.75" customHeight="1" spans="1: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5.75" customHeight="1" spans="1: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5.75" customHeight="1" spans="1: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5.75" customHeight="1" spans="1: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5.75" customHeight="1" spans="1: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5.75" customHeight="1" spans="1: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5.75" customHeight="1" spans="1: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5.75" customHeight="1" spans="1: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5.75" customHeight="1" spans="1: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5.75" customHeight="1" spans="1: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5.75" customHeight="1" spans="1: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5.75" customHeight="1" spans="1: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5.75" customHeight="1" spans="1: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5.75" customHeight="1" spans="1: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5.75" customHeight="1" spans="1: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5.75" customHeight="1" spans="1: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5.75" customHeight="1" spans="1: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5.75" customHeight="1" spans="1: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5.75" customHeight="1" spans="1: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5.75" customHeight="1" spans="1: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5.75" customHeight="1" spans="1: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5.75" customHeight="1" spans="1: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5.75" customHeight="1" spans="1: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5.75" customHeight="1" spans="1: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5.75" customHeight="1" spans="1: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5.75" customHeight="1" spans="1: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5.75" customHeight="1" spans="1: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5.75" customHeight="1" spans="1: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5.75" customHeight="1" spans="1: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5.75" customHeight="1" spans="1: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5.75" customHeight="1" spans="1: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5.75" customHeight="1" spans="1: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5.75" customHeight="1" spans="1: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5.75" customHeight="1" spans="1: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5.75" customHeight="1" spans="1: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5.75" customHeight="1" spans="1: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5.75" customHeight="1" spans="1: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5.75" customHeight="1" spans="1: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5.75" customHeight="1" spans="1: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5.75" customHeight="1" spans="1: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5.75" customHeight="1" spans="1: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5.75" customHeight="1" spans="1: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5.75" customHeight="1" spans="1: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5.75" customHeight="1" spans="1: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5.75" customHeight="1" spans="1: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5.75" customHeight="1" spans="1: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5.75" customHeight="1" spans="1: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5.75" customHeight="1" spans="1: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5.75" customHeight="1" spans="1: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5.75" customHeight="1" spans="1: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5.75" customHeight="1" spans="1: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5.75" customHeight="1" spans="1: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5.75" customHeight="1" spans="1: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5.75" customHeight="1" spans="1: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5.75" customHeight="1" spans="1: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5.75" customHeight="1" spans="1: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5.75" customHeight="1" spans="1: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5.75" customHeight="1" spans="1: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5.75" customHeight="1" spans="1: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5.75" customHeight="1" spans="1: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5.75" customHeight="1" spans="1: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5.75" customHeight="1" spans="1: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5.75" customHeight="1" spans="1: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5.75" customHeight="1" spans="1: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5.75" customHeight="1" spans="1: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5.75" customHeight="1" spans="1: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5.75" customHeight="1" spans="1: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5.75" customHeight="1" spans="1: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5.75" customHeight="1" spans="1: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5.75" customHeight="1" spans="1: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5.75" customHeight="1" spans="1: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5.75" customHeight="1" spans="1: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5.75" customHeight="1" spans="1: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5.75" customHeight="1" spans="1: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5.75" customHeight="1" spans="1: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5.75" customHeight="1" spans="1: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5.75" customHeight="1" spans="1: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5.75" customHeight="1" spans="1: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5.75" customHeight="1" spans="1: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5.75" customHeight="1" spans="1: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5.75" customHeight="1" spans="1: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5.75" customHeight="1" spans="1: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5.75" customHeight="1" spans="1: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5.75" customHeight="1" spans="1: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5.75" customHeight="1" spans="1: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5.75" customHeight="1" spans="1: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5.75" customHeight="1" spans="1: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5.75" customHeight="1" spans="1: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5.75" customHeight="1" spans="1: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5.75" customHeight="1" spans="1: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5.75" customHeight="1" spans="1: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5.75" customHeight="1" spans="1: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5.75" customHeight="1" spans="1: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5.75" customHeight="1" spans="1: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5.75" customHeight="1" spans="1: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5.75" customHeight="1" spans="1: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5.75" customHeight="1" spans="1: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5.75" customHeight="1" spans="1: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5.75" customHeight="1" spans="1: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5.75" customHeight="1" spans="1: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5.75" customHeight="1" spans="1: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5.75" customHeight="1" spans="1: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5.75" customHeight="1" spans="1: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5.75" customHeight="1" spans="1: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5.75" customHeight="1" spans="1: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5.75" customHeight="1" spans="1: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5.75" customHeight="1" spans="1: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5.75" customHeight="1" spans="1: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5.75" customHeight="1" spans="1: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5.75" customHeight="1" spans="1: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5.75" customHeight="1" spans="1: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5.75" customHeight="1" spans="1: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5.75" customHeight="1" spans="1: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5.75" customHeight="1" spans="1: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5.75" customHeight="1" spans="1: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5.75" customHeight="1" spans="1: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5.75" customHeight="1" spans="1: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5.75" customHeight="1" spans="1: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5.75" customHeight="1" spans="1: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5.75" customHeight="1" spans="1: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5.75" customHeight="1" spans="1: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5.75" customHeight="1" spans="1: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5.75" customHeight="1" spans="1: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5.75" customHeight="1" spans="1: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5.75" customHeight="1" spans="1: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5.75" customHeight="1" spans="1: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5.75" customHeight="1" spans="1: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5.75" customHeight="1" spans="1: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5.75" customHeight="1" spans="1: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5.75" customHeight="1" spans="1: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5.75" customHeight="1" spans="1: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5.75" customHeight="1" spans="1: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5.75" customHeight="1" spans="1: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5.75" customHeight="1" spans="1: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5.75" customHeight="1" spans="1: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5.75" customHeight="1" spans="1: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5.75" customHeight="1" spans="1: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5.75" customHeight="1" spans="1: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5.75" customHeight="1" spans="1: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5.75" customHeight="1" spans="1: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5.75" customHeight="1" spans="1: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5.75" customHeight="1" spans="1: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5.75" customHeight="1" spans="1: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5.75" customHeight="1" spans="1: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5.75" customHeight="1" spans="1: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5.75" customHeight="1" spans="1: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5.75" customHeight="1" spans="1: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5.75" customHeight="1" spans="1: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5.75" customHeight="1" spans="1: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5.75" customHeight="1" spans="1: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5.75" customHeight="1" spans="1: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5.75" customHeight="1" spans="1: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5.75" customHeight="1" spans="1: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5.75" customHeight="1" spans="1: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5.75" customHeight="1" spans="1: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5.75" customHeight="1" spans="1: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5.75" customHeight="1" spans="1: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5.75" customHeight="1" spans="1: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5.75" customHeight="1" spans="1: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5.75" customHeight="1" spans="1: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5.75" customHeight="1" spans="1: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5.75" customHeight="1" spans="1: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5.75" customHeight="1" spans="1: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5.75" customHeight="1" spans="1: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5.75" customHeight="1" spans="1: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5.75" customHeight="1" spans="1: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5.75" customHeight="1" spans="1: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5.75" customHeight="1" spans="1: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5.75" customHeight="1" spans="1: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5.75" customHeight="1" spans="1: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5.75" customHeight="1" spans="1: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5.75" customHeight="1" spans="1: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5.75" customHeight="1" spans="1: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5.75" customHeight="1" spans="1: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5.75" customHeight="1" spans="1: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5.75" customHeight="1" spans="1: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5.75" customHeight="1" spans="1: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5.75" customHeight="1" spans="1: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5.75" customHeight="1" spans="1: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5.75" customHeight="1" spans="1: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5.75" customHeight="1" spans="1: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5.75" customHeight="1" spans="1: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5.75" customHeight="1" spans="1: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5.75" customHeight="1" spans="1: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5.75" customHeight="1" spans="1: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5.75" customHeight="1" spans="1: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5.75" customHeight="1" spans="1: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5.75" customHeight="1" spans="1: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5.75" customHeight="1" spans="1: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5.75" customHeight="1" spans="1: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5.75" customHeight="1" spans="1: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5.75" customHeight="1" spans="1: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5.75" customHeight="1" spans="1: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5.75" customHeight="1" spans="1: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5.75" customHeight="1" spans="1: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5.75" customHeight="1" spans="1: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5.75" customHeight="1" spans="1: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5.75" customHeight="1" spans="1: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5.75" customHeight="1" spans="1: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5.75" customHeight="1" spans="1: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5.75" customHeight="1" spans="1: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5.75" customHeight="1" spans="1: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5.75" customHeight="1" spans="1: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5.75" customHeight="1" spans="1: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5.75" customHeight="1" spans="1: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5.75" customHeight="1" spans="1: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5.75" customHeight="1" spans="1: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5.75" customHeight="1" spans="1: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5.75" customHeight="1" spans="1: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5.75" customHeight="1" spans="1: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5.75" customHeight="1" spans="1: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5.75" customHeight="1" spans="1: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5.75" customHeight="1" spans="1: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5.75" customHeight="1" spans="1: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5.75" customHeight="1" spans="1: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5.75" customHeight="1" spans="1: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5.75" customHeight="1" spans="1: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5.75" customHeight="1" spans="1: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5.75" customHeight="1" spans="1: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5.75" customHeight="1" spans="1: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5.75" customHeight="1" spans="1: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5.75" customHeight="1" spans="1: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5.75" customHeight="1" spans="1: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5.75" customHeight="1" spans="1: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5.75" customHeight="1" spans="1: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5.75" customHeight="1" spans="1: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5.75" customHeight="1" spans="1: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5.75" customHeight="1" spans="1: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5.75" customHeight="1" spans="1: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5.75" customHeight="1" spans="1: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5.75" customHeight="1" spans="1: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5.75" customHeight="1" spans="1: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5.75" customHeight="1" spans="1: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5.75" customHeight="1" spans="1: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5.75" customHeight="1" spans="1: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5.75" customHeight="1" spans="1: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5.75" customHeight="1" spans="1: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5.75" customHeight="1" spans="1: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5.75" customHeight="1" spans="1: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5.75" customHeight="1" spans="1: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5.75" customHeight="1" spans="1: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5.75" customHeight="1" spans="1: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5.75" customHeight="1" spans="1: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5.75" customHeight="1" spans="1: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5.75" customHeight="1" spans="1: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5.75" customHeight="1" spans="1: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5.75" customHeight="1" spans="1: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5.75" customHeight="1" spans="1: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5.75" customHeight="1" spans="1: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5.75" customHeight="1" spans="1: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5.75" customHeight="1" spans="1: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5.75" customHeight="1" spans="1: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5.75" customHeight="1" spans="1: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5.75" customHeight="1" spans="1: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5.75" customHeight="1" spans="1: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5.75" customHeight="1" spans="1: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5.75" customHeight="1" spans="1: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5.75" customHeight="1" spans="1: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5.75" customHeight="1" spans="1: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5.75" customHeight="1" spans="1: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5.75" customHeight="1" spans="1: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5.75" customHeight="1" spans="1: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5.75" customHeight="1" spans="1: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5.75" customHeight="1" spans="1: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5.75" customHeight="1" spans="1: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5.75" customHeight="1" spans="1: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5.75" customHeight="1" spans="1: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5.75" customHeight="1" spans="1: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5.75" customHeight="1" spans="1: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5.75" customHeight="1" spans="1: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5.75" customHeight="1" spans="1: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5.75" customHeight="1" spans="1: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5.75" customHeight="1" spans="1: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5.75" customHeight="1" spans="1: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5.75" customHeight="1" spans="1: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5.75" customHeight="1" spans="1: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5.75" customHeight="1" spans="1: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5.75" customHeight="1" spans="1: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5.75" customHeight="1" spans="1: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5.75" customHeight="1" spans="1: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5.75" customHeight="1" spans="1: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5.75" customHeight="1" spans="1: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5.75" customHeight="1" spans="1: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5.75" customHeight="1" spans="1: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5.75" customHeight="1" spans="1: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5.75" customHeight="1" spans="1: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5.75" customHeight="1" spans="1: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5.75" customHeight="1" spans="1: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5.75" customHeight="1" spans="1: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5.75" customHeight="1" spans="1: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5.75" customHeight="1" spans="1: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5.75" customHeight="1" spans="1: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5.75" customHeight="1" spans="1: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5.75" customHeight="1" spans="1: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5.75" customHeight="1" spans="1: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5.75" customHeight="1" spans="1: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5.75" customHeight="1" spans="1: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5.75" customHeight="1" spans="1: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5.75" customHeight="1" spans="1: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5.75" customHeight="1" spans="1: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5.75" customHeight="1" spans="1: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5.75" customHeight="1" spans="1: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5.75" customHeight="1" spans="1: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5.75" customHeight="1" spans="1: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5.75" customHeight="1" spans="1: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5.75" customHeight="1" spans="1: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5.75" customHeight="1" spans="1: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5.75" customHeight="1" spans="1: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5.75" customHeight="1" spans="1: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5.75" customHeight="1" spans="1: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5.75" customHeight="1" spans="1: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5.75" customHeight="1" spans="1: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5.75" customHeight="1" spans="1: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5.75" customHeight="1" spans="1: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5.75" customHeight="1" spans="1: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5.75" customHeight="1" spans="1: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5.75" customHeight="1" spans="1: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5.75" customHeight="1" spans="1: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5.75" customHeight="1" spans="1: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5.75" customHeight="1" spans="1: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5.75" customHeight="1" spans="1: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5.75" customHeight="1" spans="1: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5.75" customHeight="1" spans="1: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5.75" customHeight="1" spans="1: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5.75" customHeight="1" spans="1: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5.75" customHeight="1" spans="1: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5.75" customHeight="1" spans="1: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5.75" customHeight="1" spans="1: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5.75" customHeight="1" spans="1: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5.75" customHeight="1" spans="1: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5.75" customHeight="1" spans="1: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5.75" customHeight="1" spans="1: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5.75" customHeight="1" spans="1: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5.75" customHeight="1" spans="1: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5.75" customHeight="1" spans="1: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5.75" customHeight="1" spans="1: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5.75" customHeight="1" spans="1: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5.75" customHeight="1" spans="1: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5.75" customHeight="1" spans="1: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5.75" customHeight="1" spans="1: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5.75" customHeight="1" spans="1: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5.75" customHeight="1" spans="1: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5.75" customHeight="1" spans="1: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5.75" customHeight="1" spans="1: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5.75" customHeight="1" spans="1: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5.75" customHeight="1" spans="1: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5.75" customHeight="1" spans="1: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5.75" customHeight="1" spans="1: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5.75" customHeight="1" spans="1: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5.75" customHeight="1" spans="1: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5.75" customHeight="1" spans="1: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5.75" customHeight="1" spans="1: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5.75" customHeight="1" spans="1: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5.75" customHeight="1" spans="1: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5.75" customHeight="1" spans="1: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5.75" customHeight="1" spans="1: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5.75" customHeight="1" spans="1: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5.75" customHeight="1" spans="1: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5.75" customHeight="1" spans="1: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5.75" customHeight="1" spans="1: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5.75" customHeight="1" spans="1: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5.75" customHeight="1" spans="1: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5.75" customHeight="1" spans="1: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5.75" customHeight="1" spans="1: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5.75" customHeight="1" spans="1: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5.75" customHeight="1" spans="1: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5.75" customHeight="1" spans="1: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5.75" customHeight="1" spans="1: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5.75" customHeight="1" spans="1: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5.75" customHeight="1" spans="1: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5.75" customHeight="1" spans="1: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5.75" customHeight="1" spans="1: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5.75" customHeight="1" spans="1: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5.75" customHeight="1" spans="1: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5.75" customHeight="1" spans="1: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5.75" customHeight="1" spans="1: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5.75" customHeight="1" spans="1: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5.75" customHeight="1" spans="1: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5.75" customHeight="1" spans="1: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5.75" customHeight="1" spans="1: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5.75" customHeight="1" spans="1: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5.75" customHeight="1" spans="1: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5.75" customHeight="1" spans="1: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5.75" customHeight="1" spans="1: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5.75" customHeight="1" spans="1: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5.75" customHeight="1" spans="1: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5.75" customHeight="1" spans="1: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5.75" customHeight="1" spans="1: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5.75" customHeight="1" spans="1: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5.75" customHeight="1" spans="1: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5.75" customHeight="1" spans="1: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5.75" customHeight="1" spans="1: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5.75" customHeight="1" spans="1: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5.75" customHeight="1" spans="1: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5.75" customHeight="1" spans="1: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5.75" customHeight="1" spans="1: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5.75" customHeight="1" spans="1: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5.75" customHeight="1" spans="1: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5.75" customHeight="1" spans="1: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5.75" customHeight="1" spans="1: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5.75" customHeight="1" spans="1: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5.75" customHeight="1" spans="1: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5.75" customHeight="1" spans="1: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5.75" customHeight="1" spans="1: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5.75" customHeight="1" spans="1: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5.75" customHeight="1" spans="1: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5.75" customHeight="1" spans="1: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5.75" customHeight="1" spans="1: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5.75" customHeight="1" spans="1: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5.75" customHeight="1" spans="1: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5.75" customHeight="1" spans="1: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5.75" customHeight="1" spans="1: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5.75" customHeight="1" spans="1: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5.75" customHeight="1" spans="1: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5.75" customHeight="1" spans="1: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5.75" customHeight="1" spans="1: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5.75" customHeight="1" spans="1: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5.75" customHeight="1" spans="1: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5.75" customHeight="1" spans="1: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5.75" customHeight="1" spans="1: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5.75" customHeight="1" spans="1: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5.75" customHeight="1" spans="1: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5.75" customHeight="1" spans="1: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5.75" customHeight="1" spans="1: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5.75" customHeight="1" spans="1: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5.75" customHeight="1" spans="1: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5.75" customHeight="1" spans="1: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5.75" customHeight="1" spans="1: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5.75" customHeight="1" spans="1: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5.75" customHeight="1" spans="1: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5.75" customHeight="1" spans="1: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5.75" customHeight="1" spans="1: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5.75" customHeight="1" spans="1: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5.75" customHeight="1" spans="1: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5.75" customHeight="1" spans="1: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5.75" customHeight="1" spans="1: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5.75" customHeight="1" spans="1: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5.75" customHeight="1" spans="1: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5.75" customHeight="1" spans="1: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5.75" customHeight="1" spans="1: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5.75" customHeight="1" spans="1: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5.75" customHeight="1" spans="1: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5.75" customHeight="1" spans="1: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5.75" customHeight="1" spans="1: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5.75" customHeight="1" spans="1: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5.75" customHeight="1" spans="1: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5.75" customHeight="1" spans="1: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5.75" customHeight="1" spans="1: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5.75" customHeight="1" spans="1: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5.75" customHeight="1" spans="1: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5.75" customHeight="1" spans="1: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5.75" customHeight="1" spans="1: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5.75" customHeight="1" spans="1: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5.75" customHeight="1" spans="1: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5.75" customHeight="1" spans="1: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5.75" customHeight="1" spans="1: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5.75" customHeight="1" spans="1: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5.75" customHeight="1" spans="1: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5.75" customHeight="1" spans="1: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5.75" customHeight="1" spans="1: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5.75" customHeight="1" spans="1: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5.75" customHeight="1" spans="1: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5.75" customHeight="1" spans="1: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5.75" customHeight="1" spans="1: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5.75" customHeight="1" spans="1: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5.75" customHeight="1" spans="1: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5.75" customHeight="1" spans="1: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5.75" customHeight="1" spans="1: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5.75" customHeight="1" spans="1: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5.75" customHeight="1" spans="1: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5.75" customHeight="1" spans="1: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5.75" customHeight="1" spans="1: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5.75" customHeight="1" spans="1: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5.75" customHeight="1" spans="1: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5.75" customHeight="1" spans="1: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5.75" customHeight="1" spans="1: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5.75" customHeight="1" spans="1: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5.75" customHeight="1" spans="1: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5.75" customHeight="1" spans="1: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5.75" customHeight="1" spans="1: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5.75" customHeight="1" spans="1: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5.75" customHeight="1" spans="1: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5.75" customHeight="1" spans="1: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5.75" customHeight="1" spans="1: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5.75" customHeight="1" spans="1: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5.75" customHeight="1" spans="1: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5.75" customHeight="1" spans="1: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5.75" customHeight="1" spans="1: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5.75" customHeight="1" spans="1: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5.75" customHeight="1" spans="1: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5.75" customHeight="1" spans="1: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5.75" customHeight="1" spans="1: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5.75" customHeight="1" spans="1: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5.75" customHeight="1" spans="1: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5.75" customHeight="1" spans="1: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5.75" customHeight="1" spans="1: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5.75" customHeight="1" spans="1: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5.75" customHeight="1" spans="1: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5.75" customHeight="1" spans="1: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5.75" customHeight="1" spans="1: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5.75" customHeight="1" spans="1: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5.75" customHeight="1" spans="1: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5.75" customHeight="1" spans="1: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5.75" customHeight="1" spans="1: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5.75" customHeight="1" spans="1: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5.75" customHeight="1" spans="1: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5.75" customHeight="1" spans="1: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5.75" customHeight="1" spans="1: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5.75" customHeight="1" spans="1: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5.75" customHeight="1" spans="1: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5.75" customHeight="1" spans="1: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5.75" customHeight="1" spans="1: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5.75" customHeight="1" spans="1: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5.75" customHeight="1" spans="1: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5.75" customHeight="1" spans="1: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5.75" customHeight="1" spans="1: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5.75" customHeight="1" spans="1: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5.75" customHeight="1" spans="1: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5.75" customHeight="1" spans="1: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5.75" customHeight="1" spans="1: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5.75" customHeight="1" spans="1: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5.75" customHeight="1" spans="1: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5.75" customHeight="1" spans="1: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5.75" customHeight="1" spans="1: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5.75" customHeight="1" spans="1: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5.75" customHeight="1" spans="1: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5.75" customHeight="1" spans="1: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5.75" customHeight="1" spans="1: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5.75" customHeight="1" spans="1: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5.75" customHeight="1" spans="1: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5.75" customHeight="1" spans="1: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5.75" customHeight="1" spans="1: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5.75" customHeight="1" spans="1: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5.75" customHeight="1" spans="1: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5.75" customHeight="1" spans="1: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5.75" customHeight="1" spans="1: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5.75" customHeight="1" spans="1: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5.75" customHeight="1" spans="1: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5.75" customHeight="1" spans="1: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5.75" customHeight="1" spans="1: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5.75" customHeight="1" spans="1: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5.75" customHeight="1" spans="1: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5.75" customHeight="1" spans="1: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5.75" customHeight="1" spans="1: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5.75" customHeight="1" spans="1: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5.75" customHeight="1" spans="1: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5.75" customHeight="1" spans="1: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5.75" customHeight="1" spans="1: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5.75" customHeight="1" spans="1: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5.75" customHeight="1" spans="1: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5.75" customHeight="1" spans="1: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5.75" customHeight="1" spans="1: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5.75" customHeight="1" spans="1: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5.75" customHeight="1" spans="1: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5.75" customHeight="1" spans="1: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5.75" customHeight="1" spans="1: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5.75" customHeight="1" spans="1: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5.75" customHeight="1" spans="1: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5.75" customHeight="1" spans="1: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5.75" customHeight="1" spans="1: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5.75" customHeight="1" spans="1: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5.75" customHeight="1" spans="1: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5.75" customHeight="1" spans="1: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5.75" customHeight="1" spans="1: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5.75" customHeight="1" spans="1: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5.75" customHeight="1" spans="1: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5.75" customHeight="1" spans="1: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5.75" customHeight="1" spans="1: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5.75" customHeight="1" spans="1: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5.75" customHeight="1" spans="1: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5.75" customHeight="1" spans="1: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5.75" customHeight="1" spans="1: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5.75" customHeight="1" spans="1: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5.75" customHeight="1" spans="1: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5.75" customHeight="1" spans="1: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5.75" customHeight="1" spans="1: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5.75" customHeight="1" spans="1: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5.75" customHeight="1" spans="1: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5.75" customHeight="1" spans="1: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5.75" customHeight="1" spans="1: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5.75" customHeight="1" spans="1: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5.75" customHeight="1" spans="1: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5.75" customHeight="1" spans="1: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5.75" customHeight="1" spans="1: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5.75" customHeight="1" spans="1: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5.75" customHeight="1" spans="1: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5.75" customHeight="1" spans="1: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5.75" customHeight="1" spans="1: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5.75" customHeight="1" spans="1: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5.75" customHeight="1" spans="1: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5.75" customHeight="1" spans="1: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5.75" customHeight="1" spans="1: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5.75" customHeight="1" spans="1: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5.75" customHeight="1" spans="1: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5.75" customHeight="1" spans="1: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5.75" customHeight="1" spans="1: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5.75" customHeight="1" spans="1: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5.75" customHeight="1" spans="1: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5.75" customHeight="1" spans="1: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5.75" customHeight="1" spans="1: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5.75" customHeight="1" spans="1: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5.75" customHeight="1" spans="1: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5.75" customHeight="1" spans="1: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5.75" customHeight="1" spans="1: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5.75" customHeight="1" spans="1: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5.75" customHeight="1" spans="1: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5.75" customHeight="1" spans="1: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5.75" customHeight="1" spans="1: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5.75" customHeight="1" spans="1: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5.75" customHeight="1" spans="1: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5.75" customHeight="1" spans="1: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5.75" customHeight="1" spans="1: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5.75" customHeight="1" spans="1: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5.75" customHeight="1" spans="1: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5.75" customHeight="1" spans="1: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5.75" customHeight="1" spans="1: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5.75" customHeight="1" spans="1: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5.75" customHeight="1" spans="1: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5.75" customHeight="1" spans="1: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5.75" customHeight="1" spans="1: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5.75" customHeight="1" spans="1: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5.75" customHeight="1" spans="1: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5.75" customHeight="1" spans="1: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5.75" customHeight="1" spans="1: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5.75" customHeight="1" spans="1: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5.75" customHeight="1" spans="1: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5.75" customHeight="1" spans="1: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5.75" customHeight="1" spans="1: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5.75" customHeight="1" spans="1: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5.75" customHeight="1" spans="1: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5.75" customHeight="1" spans="1: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5.75" customHeight="1" spans="1: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5.75" customHeight="1" spans="1: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5.75" customHeight="1" spans="1: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5.75" customHeight="1" spans="1: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5.75" customHeight="1" spans="1: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5.75" customHeight="1" spans="1: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5.75" customHeight="1" spans="1: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5.75" customHeight="1" spans="1: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5.75" customHeight="1" spans="1: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5.75" customHeight="1" spans="1: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5.75" customHeight="1" spans="1: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5.75" customHeight="1" spans="1: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5.75" customHeight="1" spans="1: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5.75" customHeight="1" spans="1: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5.75" customHeight="1" spans="1: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5.75" customHeight="1" spans="1: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5.75" customHeight="1" spans="1: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5.75" customHeight="1" spans="1: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5.75" customHeight="1" spans="1: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5.75" customHeight="1" spans="1: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5.75" customHeight="1" spans="1: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5.75" customHeight="1" spans="1: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5.75" customHeight="1" spans="1: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5.75" customHeight="1" spans="1: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5.75" customHeight="1" spans="1: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5.75" customHeight="1" spans="1: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5.75" customHeight="1" spans="1: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5.75" customHeight="1" spans="1: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5.75" customHeight="1" spans="1: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5.75" customHeight="1" spans="1: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5.75" customHeight="1" spans="1: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5.75" customHeight="1" spans="1: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5.75" customHeight="1" spans="1: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5.75" customHeight="1" spans="1: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5.75" customHeight="1" spans="1: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5.75" customHeight="1" spans="1: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5.75" customHeight="1" spans="1: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5.75" customHeight="1" spans="1: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5.75" customHeight="1" spans="1: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5.75" customHeight="1" spans="1: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5.75" customHeight="1" spans="1: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5.75" customHeight="1" spans="1: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5.75" customHeight="1" spans="1: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5.75" customHeight="1" spans="1: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5.75" customHeight="1" spans="1: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5.75" customHeight="1" spans="1: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5.75" customHeight="1" spans="1: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5.75" customHeight="1" spans="1: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5.75" customHeight="1" spans="1: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5.75" customHeight="1" spans="1: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5.75" customHeight="1" spans="1: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5.75" customHeight="1" spans="1: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5.75" customHeight="1" spans="1: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5.75" customHeight="1" spans="1: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5.75" customHeight="1" spans="1: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5.75" customHeight="1" spans="1: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5.75" customHeight="1" spans="1: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5.75" customHeight="1" spans="1: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5.75" customHeight="1" spans="1: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5.75" customHeight="1" spans="1: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5.75" customHeight="1" spans="1: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5.75" customHeight="1" spans="1: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5.75" customHeight="1" spans="1: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5.75" customHeight="1" spans="1: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5.75" customHeight="1" spans="1: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5.75" customHeight="1" spans="1: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2">
    <mergeCell ref="L2:N2"/>
    <mergeCell ref="V11:X11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Students Grade</vt:lpstr>
      <vt:lpstr>Sales Data </vt:lpstr>
      <vt:lpstr>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2025-10-09T12:54:00Z</dcterms:created>
  <dcterms:modified xsi:type="dcterms:W3CDTF">2025-10-14T11:03:54Z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ADD6F349AFC34253BD821CE6B4BC540D_12</vt:lpwstr>
  </property>
  <property fmtid="{D5CDD505-2E9C-101B-9397-08002B2CF9AE}" pid="3" name="KSOProductBuildVer">
    <vt:lpwstr>1033-12.2.0.23131</vt:lpwstr>
  </property>
</Properties>
</file>