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shboard" sheetId="10" r:id="rId1"/>
    <sheet name="Top 10" sheetId="9" r:id="rId2"/>
    <sheet name="Line Graph- Monthly profit " sheetId="6" r:id="rId3"/>
    <sheet name="Donut- Avg Occupancy Rate" sheetId="7" r:id="rId4"/>
    <sheet name="Stacked column chart-" sheetId="8" r:id="rId5"/>
    <sheet name="Origin vs Destination" sheetId="11" r:id="rId6"/>
    <sheet name="Dataset" sheetId="1" r:id="rId7"/>
    <sheet name="Summary" sheetId="12" r:id="rId8"/>
  </sheets>
  <definedNames>
    <definedName name="Slicer_RouteCode">#N/A</definedName>
    <definedName name="Slicer_Month">#N/A</definedName>
    <definedName name="Slicer_AircraftType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<sst xmlns="http://schemas.openxmlformats.org/spreadsheetml/2006/main" count="5097" uniqueCount="1077">
  <si>
    <t>RouteCode</t>
  </si>
  <si>
    <t>Sum of Profit</t>
  </si>
  <si>
    <t>BLR-CCU</t>
  </si>
  <si>
    <t>BLR-DEL</t>
  </si>
  <si>
    <t>BLR-SIN</t>
  </si>
  <si>
    <t>BOM-BLR</t>
  </si>
  <si>
    <t>BOM-LHR</t>
  </si>
  <si>
    <t>DXB-BLR</t>
  </si>
  <si>
    <t>DXB-DEL</t>
  </si>
  <si>
    <t>HYD-BOM</t>
  </si>
  <si>
    <t>HYD-DEL</t>
  </si>
  <si>
    <t>LHR-DEL</t>
  </si>
  <si>
    <t>Grand Total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</si>
  <si>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</si>
  <si>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</si>
  <si>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</si>
  <si>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</si>
  <si>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</si>
  <si>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</si>
  <si>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</si>
  <si>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</si>
  <si>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</si>
  <si>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</si>
  <si>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</si>
  <si>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</si>
  <si>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</si>
  <si>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AircraftType</t>
  </si>
  <si>
    <t>Sum of SeatsAvailable</t>
  </si>
  <si>
    <t>A320</t>
  </si>
  <si>
    <t>A321</t>
  </si>
  <si>
    <t>A380</t>
  </si>
  <si>
    <t>ATR72</t>
  </si>
  <si>
    <t>B737</t>
  </si>
  <si>
    <t>B787</t>
  </si>
  <si>
    <t>Sum of Revenue</t>
  </si>
  <si>
    <t>Sum of OperationalCost</t>
  </si>
  <si>
    <t>BLR-BOM</t>
  </si>
  <si>
    <t>BLR-DXB</t>
  </si>
  <si>
    <t>BOM-CCU</t>
  </si>
  <si>
    <t>BOM-DEL</t>
  </si>
  <si>
    <t>BOM-DXB</t>
  </si>
  <si>
    <t>BOM-HYD</t>
  </si>
  <si>
    <t>BOM-SIN</t>
  </si>
  <si>
    <t>CCU-BLR</t>
  </si>
  <si>
    <t>CCU-BOM</t>
  </si>
  <si>
    <t>DEL-BLR</t>
  </si>
  <si>
    <t>DEL-BOM</t>
  </si>
  <si>
    <t>DEL-DXB</t>
  </si>
  <si>
    <t>DEL-HYD</t>
  </si>
  <si>
    <t>DEL-JFK</t>
  </si>
  <si>
    <t>DEL-LHR</t>
  </si>
  <si>
    <t>DXB-BOM</t>
  </si>
  <si>
    <t>JFK-DEL</t>
  </si>
  <si>
    <t>LHR-BOM</t>
  </si>
  <si>
    <t>SIN-BLR</t>
  </si>
  <si>
    <t>SIN-BOM</t>
  </si>
  <si>
    <t>Origin</t>
  </si>
  <si>
    <t>Count of Destination</t>
  </si>
  <si>
    <t>BLR</t>
  </si>
  <si>
    <t>BOM</t>
  </si>
  <si>
    <t>CCU</t>
  </si>
  <si>
    <t>DEL</t>
  </si>
  <si>
    <t>DXB</t>
  </si>
  <si>
    <t>HYD</t>
  </si>
  <si>
    <t>JFK</t>
  </si>
  <si>
    <t>LHR</t>
  </si>
  <si>
    <t>SIN</t>
  </si>
  <si>
    <t>FlightID</t>
  </si>
  <si>
    <t>Destination</t>
  </si>
  <si>
    <t>FlightDate</t>
  </si>
  <si>
    <t>FlightDurationMins</t>
  </si>
  <si>
    <t>SeatsAvailable</t>
  </si>
  <si>
    <t>SeatsSold</t>
  </si>
  <si>
    <t>Revenue</t>
  </si>
  <si>
    <t>OperationalCost</t>
  </si>
  <si>
    <t>Profit</t>
  </si>
  <si>
    <t>FL0001</t>
  </si>
  <si>
    <t>FL0002</t>
  </si>
  <si>
    <t>FL0003</t>
  </si>
  <si>
    <t>FL0004</t>
  </si>
  <si>
    <t>FL0005</t>
  </si>
  <si>
    <t>FL0006</t>
  </si>
  <si>
    <t>FL0007</t>
  </si>
  <si>
    <t>FL0008</t>
  </si>
  <si>
    <t>FL0009</t>
  </si>
  <si>
    <t>`</t>
  </si>
  <si>
    <t>FL0010</t>
  </si>
  <si>
    <t>FL0011</t>
  </si>
  <si>
    <t>FL0012</t>
  </si>
  <si>
    <t>FL0013</t>
  </si>
  <si>
    <t>FL0014</t>
  </si>
  <si>
    <t>FL0015</t>
  </si>
  <si>
    <t>FL0016</t>
  </si>
  <si>
    <t>FL0017</t>
  </si>
  <si>
    <t>FL0018</t>
  </si>
  <si>
    <t>FL0019</t>
  </si>
  <si>
    <t>FL0020</t>
  </si>
  <si>
    <t>FL0021</t>
  </si>
  <si>
    <t>FL0022</t>
  </si>
  <si>
    <t>FL0023</t>
  </si>
  <si>
    <t>FL0024</t>
  </si>
  <si>
    <t>FL0025</t>
  </si>
  <si>
    <t>FL0026</t>
  </si>
  <si>
    <t>FL0027</t>
  </si>
  <si>
    <t>FL0028</t>
  </si>
  <si>
    <t>FL0029</t>
  </si>
  <si>
    <t>FL0030</t>
  </si>
  <si>
    <t>FL0031</t>
  </si>
  <si>
    <t>FL0032</t>
  </si>
  <si>
    <t>FL0033</t>
  </si>
  <si>
    <t>FL0034</t>
  </si>
  <si>
    <t>FL0035</t>
  </si>
  <si>
    <t>FL0036</t>
  </si>
  <si>
    <t>FL0037</t>
  </si>
  <si>
    <t>FL0038</t>
  </si>
  <si>
    <t>FL0039</t>
  </si>
  <si>
    <t>FL0040</t>
  </si>
  <si>
    <t>FL0041</t>
  </si>
  <si>
    <t>FL0042</t>
  </si>
  <si>
    <t>FL0043</t>
  </si>
  <si>
    <t>FL0044</t>
  </si>
  <si>
    <t>FL0045</t>
  </si>
  <si>
    <t>FL0046</t>
  </si>
  <si>
    <t>FL0047</t>
  </si>
  <si>
    <t>FL0048</t>
  </si>
  <si>
    <t>FL0049</t>
  </si>
  <si>
    <t>FL0050</t>
  </si>
  <si>
    <t>FL0051</t>
  </si>
  <si>
    <t>FL0052</t>
  </si>
  <si>
    <t>FL0053</t>
  </si>
  <si>
    <t>FL0054</t>
  </si>
  <si>
    <t>FL0055</t>
  </si>
  <si>
    <t>FL0056</t>
  </si>
  <si>
    <t>FL0057</t>
  </si>
  <si>
    <t>FL0058</t>
  </si>
  <si>
    <t>FL0059</t>
  </si>
  <si>
    <t>FL0060</t>
  </si>
  <si>
    <t>FL0061</t>
  </si>
  <si>
    <t>FL0062</t>
  </si>
  <si>
    <t>FL0063</t>
  </si>
  <si>
    <t>FL0064</t>
  </si>
  <si>
    <t>FL0065</t>
  </si>
  <si>
    <t>FL0066</t>
  </si>
  <si>
    <t>FL0067</t>
  </si>
  <si>
    <t>FL0068</t>
  </si>
  <si>
    <t>FL0069</t>
  </si>
  <si>
    <t>FL0070</t>
  </si>
  <si>
    <t>FL0071</t>
  </si>
  <si>
    <t>FL0072</t>
  </si>
  <si>
    <t>FL0073</t>
  </si>
  <si>
    <t>FL0074</t>
  </si>
  <si>
    <t>FL0075</t>
  </si>
  <si>
    <t>FL0076</t>
  </si>
  <si>
    <t>FL0077</t>
  </si>
  <si>
    <t>FL0078</t>
  </si>
  <si>
    <t>FL0079</t>
  </si>
  <si>
    <t>FL0080</t>
  </si>
  <si>
    <t>FL0081</t>
  </si>
  <si>
    <t>FL0082</t>
  </si>
  <si>
    <t>FL0083</t>
  </si>
  <si>
    <t>FL0084</t>
  </si>
  <si>
    <t>FL0085</t>
  </si>
  <si>
    <t>FL0086</t>
  </si>
  <si>
    <t>FL0087</t>
  </si>
  <si>
    <t>FL0088</t>
  </si>
  <si>
    <t>FL0089</t>
  </si>
  <si>
    <t>FL0090</t>
  </si>
  <si>
    <t>FL0091</t>
  </si>
  <si>
    <t>FL0092</t>
  </si>
  <si>
    <t>FL0093</t>
  </si>
  <si>
    <t>FL0094</t>
  </si>
  <si>
    <t>FL0095</t>
  </si>
  <si>
    <t>FL0096</t>
  </si>
  <si>
    <t>FL0097</t>
  </si>
  <si>
    <t>FL0098</t>
  </si>
  <si>
    <t>FL0099</t>
  </si>
  <si>
    <t>FL0100</t>
  </si>
  <si>
    <t>FL0101</t>
  </si>
  <si>
    <t>FL0102</t>
  </si>
  <si>
    <t>FL0103</t>
  </si>
  <si>
    <t>FL0104</t>
  </si>
  <si>
    <t>FL0105</t>
  </si>
  <si>
    <t>FL0106</t>
  </si>
  <si>
    <t>FL0107</t>
  </si>
  <si>
    <t>FL0108</t>
  </si>
  <si>
    <t>FL0109</t>
  </si>
  <si>
    <t>FL0110</t>
  </si>
  <si>
    <t>FL0111</t>
  </si>
  <si>
    <t>FL0112</t>
  </si>
  <si>
    <t>FL0113</t>
  </si>
  <si>
    <t>FL0114</t>
  </si>
  <si>
    <t>FL0115</t>
  </si>
  <si>
    <t>FL0116</t>
  </si>
  <si>
    <t>FL0117</t>
  </si>
  <si>
    <t>FL0118</t>
  </si>
  <si>
    <t>FL0119</t>
  </si>
  <si>
    <t>FL0120</t>
  </si>
  <si>
    <t>FL0121</t>
  </si>
  <si>
    <t>FL0122</t>
  </si>
  <si>
    <t>FL0123</t>
  </si>
  <si>
    <t>FL0124</t>
  </si>
  <si>
    <t>FL0125</t>
  </si>
  <si>
    <t>FL0126</t>
  </si>
  <si>
    <t>FL0127</t>
  </si>
  <si>
    <t>FL0128</t>
  </si>
  <si>
    <t>FL0129</t>
  </si>
  <si>
    <t>FL0130</t>
  </si>
  <si>
    <t>FL0131</t>
  </si>
  <si>
    <t>FL0132</t>
  </si>
  <si>
    <t>FL0133</t>
  </si>
  <si>
    <t>FL0134</t>
  </si>
  <si>
    <t>FL0135</t>
  </si>
  <si>
    <t>FL0136</t>
  </si>
  <si>
    <t>FL0137</t>
  </si>
  <si>
    <t>FL0138</t>
  </si>
  <si>
    <t>FL0139</t>
  </si>
  <si>
    <t>FL0140</t>
  </si>
  <si>
    <t>FL0141</t>
  </si>
  <si>
    <t>FL0142</t>
  </si>
  <si>
    <t>FL0143</t>
  </si>
  <si>
    <t>FL0144</t>
  </si>
  <si>
    <t>FL0145</t>
  </si>
  <si>
    <t>FL0146</t>
  </si>
  <si>
    <t>FL0147</t>
  </si>
  <si>
    <t>FL0148</t>
  </si>
  <si>
    <t>FL0149</t>
  </si>
  <si>
    <t>FL0150</t>
  </si>
  <si>
    <t>FL0151</t>
  </si>
  <si>
    <t>FL0152</t>
  </si>
  <si>
    <t>FL0153</t>
  </si>
  <si>
    <t>FL0154</t>
  </si>
  <si>
    <t>FL0155</t>
  </si>
  <si>
    <t>FL0156</t>
  </si>
  <si>
    <t>FL0157</t>
  </si>
  <si>
    <t>FL0158</t>
  </si>
  <si>
    <t>FL0159</t>
  </si>
  <si>
    <t>FL0160</t>
  </si>
  <si>
    <t>FL0161</t>
  </si>
  <si>
    <t>FL0162</t>
  </si>
  <si>
    <t>FL0163</t>
  </si>
  <si>
    <t>FL0164</t>
  </si>
  <si>
    <t>FL0165</t>
  </si>
  <si>
    <t>FL0166</t>
  </si>
  <si>
    <t>FL0167</t>
  </si>
  <si>
    <t>FL0168</t>
  </si>
  <si>
    <t>FL0169</t>
  </si>
  <si>
    <t>FL0170</t>
  </si>
  <si>
    <t>FL0171</t>
  </si>
  <si>
    <t>FL0172</t>
  </si>
  <si>
    <t>FL0173</t>
  </si>
  <si>
    <t>FL0174</t>
  </si>
  <si>
    <t>FL0175</t>
  </si>
  <si>
    <t>FL0176</t>
  </si>
  <si>
    <t>FL0177</t>
  </si>
  <si>
    <t>FL0178</t>
  </si>
  <si>
    <t>FL0179</t>
  </si>
  <si>
    <t>FL0180</t>
  </si>
  <si>
    <t>FL0181</t>
  </si>
  <si>
    <t>FL0182</t>
  </si>
  <si>
    <t>FL0183</t>
  </si>
  <si>
    <t>FL0184</t>
  </si>
  <si>
    <t>FL0185</t>
  </si>
  <si>
    <t>FL0186</t>
  </si>
  <si>
    <t>FL0187</t>
  </si>
  <si>
    <t>FL0188</t>
  </si>
  <si>
    <t>FL0189</t>
  </si>
  <si>
    <t>FL0190</t>
  </si>
  <si>
    <t>FL0191</t>
  </si>
  <si>
    <t>FL0192</t>
  </si>
  <si>
    <t>FL0193</t>
  </si>
  <si>
    <t>FL0194</t>
  </si>
  <si>
    <t>FL0195</t>
  </si>
  <si>
    <t>FL0196</t>
  </si>
  <si>
    <t>FL0197</t>
  </si>
  <si>
    <t>FL0198</t>
  </si>
  <si>
    <t>FL0199</t>
  </si>
  <si>
    <t>FL0200</t>
  </si>
  <si>
    <t>FL0201</t>
  </si>
  <si>
    <t>FL0202</t>
  </si>
  <si>
    <t>FL0203</t>
  </si>
  <si>
    <t>FL0204</t>
  </si>
  <si>
    <t>FL0205</t>
  </si>
  <si>
    <t>FL0206</t>
  </si>
  <si>
    <t>FL0207</t>
  </si>
  <si>
    <t>FL0208</t>
  </si>
  <si>
    <t>FL0209</t>
  </si>
  <si>
    <t>FL0210</t>
  </si>
  <si>
    <t>FL0211</t>
  </si>
  <si>
    <t>FL0212</t>
  </si>
  <si>
    <t>FL0213</t>
  </si>
  <si>
    <t>FL0214</t>
  </si>
  <si>
    <t>FL0215</t>
  </si>
  <si>
    <t>FL0216</t>
  </si>
  <si>
    <t>FL0217</t>
  </si>
  <si>
    <t>FL0218</t>
  </si>
  <si>
    <t>FL0219</t>
  </si>
  <si>
    <t>FL0220</t>
  </si>
  <si>
    <t>FL0221</t>
  </si>
  <si>
    <t>FL0222</t>
  </si>
  <si>
    <t>FL0223</t>
  </si>
  <si>
    <t>FL0224</t>
  </si>
  <si>
    <t>FL0225</t>
  </si>
  <si>
    <t>FL0226</t>
  </si>
  <si>
    <t>FL0227</t>
  </si>
  <si>
    <t>FL0228</t>
  </si>
  <si>
    <t>FL0229</t>
  </si>
  <si>
    <t>FL0230</t>
  </si>
  <si>
    <t>FL0231</t>
  </si>
  <si>
    <t>FL0232</t>
  </si>
  <si>
    <t>FL0233</t>
  </si>
  <si>
    <t>FL0234</t>
  </si>
  <si>
    <t>FL0235</t>
  </si>
  <si>
    <t>FL0236</t>
  </si>
  <si>
    <t>FL0237</t>
  </si>
  <si>
    <t>FL0238</t>
  </si>
  <si>
    <t>FL0239</t>
  </si>
  <si>
    <t>FL0240</t>
  </si>
  <si>
    <t>FL0241</t>
  </si>
  <si>
    <t>FL0242</t>
  </si>
  <si>
    <t>FL0243</t>
  </si>
  <si>
    <t>FL0244</t>
  </si>
  <si>
    <t>FL0245</t>
  </si>
  <si>
    <t>FL0246</t>
  </si>
  <si>
    <t>FL0247</t>
  </si>
  <si>
    <t>FL0248</t>
  </si>
  <si>
    <t>FL0249</t>
  </si>
  <si>
    <t>FL0250</t>
  </si>
  <si>
    <t>FL0251</t>
  </si>
  <si>
    <t>FL0252</t>
  </si>
  <si>
    <t>FL0253</t>
  </si>
  <si>
    <t>FL0254</t>
  </si>
  <si>
    <t>FL0255</t>
  </si>
  <si>
    <t>FL0256</t>
  </si>
  <si>
    <t>FL0257</t>
  </si>
  <si>
    <t>FL0258</t>
  </si>
  <si>
    <t>FL0259</t>
  </si>
  <si>
    <t>FL0260</t>
  </si>
  <si>
    <t>FL0261</t>
  </si>
  <si>
    <t>FL0262</t>
  </si>
  <si>
    <t>FL0263</t>
  </si>
  <si>
    <t>FL0264</t>
  </si>
  <si>
    <t>FL0265</t>
  </si>
  <si>
    <t>FL0266</t>
  </si>
  <si>
    <t>FL0267</t>
  </si>
  <si>
    <t>FL0268</t>
  </si>
  <si>
    <t>FL0269</t>
  </si>
  <si>
    <t>FL0270</t>
  </si>
  <si>
    <t>FL0271</t>
  </si>
  <si>
    <t>FL0272</t>
  </si>
  <si>
    <t>FL0273</t>
  </si>
  <si>
    <t>FL0274</t>
  </si>
  <si>
    <t>FL0275</t>
  </si>
  <si>
    <t>FL0276</t>
  </si>
  <si>
    <t>FL0277</t>
  </si>
  <si>
    <t>FL0278</t>
  </si>
  <si>
    <t>FL0279</t>
  </si>
  <si>
    <t>FL0280</t>
  </si>
  <si>
    <t>FL0281</t>
  </si>
  <si>
    <t>FL0282</t>
  </si>
  <si>
    <t>FL0283</t>
  </si>
  <si>
    <t>FL0284</t>
  </si>
  <si>
    <t>FL0285</t>
  </si>
  <si>
    <t>FL0286</t>
  </si>
  <si>
    <t>FL0287</t>
  </si>
  <si>
    <t>FL0288</t>
  </si>
  <si>
    <t>FL0289</t>
  </si>
  <si>
    <t>FL0290</t>
  </si>
  <si>
    <t>FL0291</t>
  </si>
  <si>
    <t>FL0292</t>
  </si>
  <si>
    <t>FL0293</t>
  </si>
  <si>
    <t>FL0294</t>
  </si>
  <si>
    <t>FL0295</t>
  </si>
  <si>
    <t>FL0296</t>
  </si>
  <si>
    <t>FL0297</t>
  </si>
  <si>
    <t>FL0298</t>
  </si>
  <si>
    <t>FL0299</t>
  </si>
  <si>
    <t>FL0300</t>
  </si>
  <si>
    <t>FL0301</t>
  </si>
  <si>
    <t>FL0302</t>
  </si>
  <si>
    <t>FL0303</t>
  </si>
  <si>
    <t>FL0304</t>
  </si>
  <si>
    <t>FL0305</t>
  </si>
  <si>
    <t>FL0306</t>
  </si>
  <si>
    <t>FL0307</t>
  </si>
  <si>
    <t>FL0308</t>
  </si>
  <si>
    <t>FL0309</t>
  </si>
  <si>
    <t>FL0310</t>
  </si>
  <si>
    <t>FL0311</t>
  </si>
  <si>
    <t>FL0312</t>
  </si>
  <si>
    <t>FL0313</t>
  </si>
  <si>
    <t>FL0314</t>
  </si>
  <si>
    <t>FL0315</t>
  </si>
  <si>
    <t>FL0316</t>
  </si>
  <si>
    <t>FL0317</t>
  </si>
  <si>
    <t>FL0318</t>
  </si>
  <si>
    <t>FL0319</t>
  </si>
  <si>
    <t>FL0320</t>
  </si>
  <si>
    <t>FL0321</t>
  </si>
  <si>
    <t>FL0322</t>
  </si>
  <si>
    <t>FL0323</t>
  </si>
  <si>
    <t>FL0324</t>
  </si>
  <si>
    <t>FL0325</t>
  </si>
  <si>
    <t>FL0326</t>
  </si>
  <si>
    <t>FL0327</t>
  </si>
  <si>
    <t>FL0328</t>
  </si>
  <si>
    <t>FL0329</t>
  </si>
  <si>
    <t>FL0330</t>
  </si>
  <si>
    <t>FL0331</t>
  </si>
  <si>
    <t>FL0332</t>
  </si>
  <si>
    <t>FL0333</t>
  </si>
  <si>
    <t>FL0334</t>
  </si>
  <si>
    <t>FL0335</t>
  </si>
  <si>
    <t>FL0336</t>
  </si>
  <si>
    <t>FL0337</t>
  </si>
  <si>
    <t>FL0338</t>
  </si>
  <si>
    <t>FL0339</t>
  </si>
  <si>
    <t>FL0340</t>
  </si>
  <si>
    <t>FL0341</t>
  </si>
  <si>
    <t>FL0342</t>
  </si>
  <si>
    <t>FL0343</t>
  </si>
  <si>
    <t>FL0344</t>
  </si>
  <si>
    <t>FL0345</t>
  </si>
  <si>
    <t>FL0346</t>
  </si>
  <si>
    <t>FL0347</t>
  </si>
  <si>
    <t>FL0348</t>
  </si>
  <si>
    <t>FL0349</t>
  </si>
  <si>
    <t>FL0350</t>
  </si>
  <si>
    <t>FL0351</t>
  </si>
  <si>
    <t>FL0352</t>
  </si>
  <si>
    <t>FL0353</t>
  </si>
  <si>
    <t>FL0354</t>
  </si>
  <si>
    <t>FL0355</t>
  </si>
  <si>
    <t>FL0356</t>
  </si>
  <si>
    <t>FL0357</t>
  </si>
  <si>
    <t>FL0358</t>
  </si>
  <si>
    <t>FL0359</t>
  </si>
  <si>
    <t>FL0360</t>
  </si>
  <si>
    <t>FL0361</t>
  </si>
  <si>
    <t>FL0362</t>
  </si>
  <si>
    <t>FL0363</t>
  </si>
  <si>
    <t>FL0364</t>
  </si>
  <si>
    <t>FL0365</t>
  </si>
  <si>
    <t>FL0366</t>
  </si>
  <si>
    <t>FL0367</t>
  </si>
  <si>
    <t>FL0368</t>
  </si>
  <si>
    <t>FL0369</t>
  </si>
  <si>
    <t>FL0370</t>
  </si>
  <si>
    <t>FL0371</t>
  </si>
  <si>
    <t>FL0372</t>
  </si>
  <si>
    <t>FL0373</t>
  </si>
  <si>
    <t>FL0374</t>
  </si>
  <si>
    <t>FL0375</t>
  </si>
  <si>
    <t>FL0376</t>
  </si>
  <si>
    <t>FL0377</t>
  </si>
  <si>
    <t>FL0378</t>
  </si>
  <si>
    <t>FL0379</t>
  </si>
  <si>
    <t>FL0380</t>
  </si>
  <si>
    <t>FL0381</t>
  </si>
  <si>
    <t>FL0382</t>
  </si>
  <si>
    <t>FL0383</t>
  </si>
  <si>
    <t>FL0384</t>
  </si>
  <si>
    <t>FL0385</t>
  </si>
  <si>
    <t>FL0386</t>
  </si>
  <si>
    <t>FL0387</t>
  </si>
  <si>
    <t>FL0388</t>
  </si>
  <si>
    <t>FL0389</t>
  </si>
  <si>
    <t>FL0390</t>
  </si>
  <si>
    <t>FL0391</t>
  </si>
  <si>
    <t>FL0392</t>
  </si>
  <si>
    <t>FL0393</t>
  </si>
  <si>
    <t>FL0394</t>
  </si>
  <si>
    <t>FL0395</t>
  </si>
  <si>
    <t>FL0396</t>
  </si>
  <si>
    <t>FL0397</t>
  </si>
  <si>
    <t>FL0398</t>
  </si>
  <si>
    <t>FL0399</t>
  </si>
  <si>
    <t>FL0400</t>
  </si>
  <si>
    <t>FL0401</t>
  </si>
  <si>
    <t>FL0402</t>
  </si>
  <si>
    <t>FL0403</t>
  </si>
  <si>
    <t>FL0404</t>
  </si>
  <si>
    <t>FL0405</t>
  </si>
  <si>
    <t>FL0406</t>
  </si>
  <si>
    <t>FL0407</t>
  </si>
  <si>
    <t>FL0408</t>
  </si>
  <si>
    <t>FL0409</t>
  </si>
  <si>
    <t>FL0410</t>
  </si>
  <si>
    <t>FL0411</t>
  </si>
  <si>
    <t>FL0412</t>
  </si>
  <si>
    <t>FL0413</t>
  </si>
  <si>
    <t>FL0414</t>
  </si>
  <si>
    <t>FL0415</t>
  </si>
  <si>
    <t>FL0416</t>
  </si>
  <si>
    <t>FL0417</t>
  </si>
  <si>
    <t>FL0418</t>
  </si>
  <si>
    <t>FL0419</t>
  </si>
  <si>
    <t>FL0420</t>
  </si>
  <si>
    <t>FL0421</t>
  </si>
  <si>
    <t>FL0422</t>
  </si>
  <si>
    <t>FL0423</t>
  </si>
  <si>
    <t>FL0424</t>
  </si>
  <si>
    <t>FL0425</t>
  </si>
  <si>
    <t>FL0426</t>
  </si>
  <si>
    <t>FL0427</t>
  </si>
  <si>
    <t>FL0428</t>
  </si>
  <si>
    <t>FL0429</t>
  </si>
  <si>
    <t>FL0430</t>
  </si>
  <si>
    <t>FL0431</t>
  </si>
  <si>
    <t>FL0432</t>
  </si>
  <si>
    <t>FL0433</t>
  </si>
  <si>
    <t>FL0434</t>
  </si>
  <si>
    <t>FL0435</t>
  </si>
  <si>
    <t>FL0436</t>
  </si>
  <si>
    <t>FL0437</t>
  </si>
  <si>
    <t>FL0438</t>
  </si>
  <si>
    <t>FL0439</t>
  </si>
  <si>
    <t>FL0440</t>
  </si>
  <si>
    <t>FL0441</t>
  </si>
  <si>
    <t>FL0442</t>
  </si>
  <si>
    <t>FL0443</t>
  </si>
  <si>
    <t>FL0444</t>
  </si>
  <si>
    <t>FL0445</t>
  </si>
  <si>
    <t>FL0446</t>
  </si>
  <si>
    <t>FL0447</t>
  </si>
  <si>
    <t>FL0448</t>
  </si>
  <si>
    <t>FL0449</t>
  </si>
  <si>
    <t>FL0450</t>
  </si>
  <si>
    <t>FL0451</t>
  </si>
  <si>
    <t>FL0452</t>
  </si>
  <si>
    <t>FL0453</t>
  </si>
  <si>
    <t>FL0454</t>
  </si>
  <si>
    <t>FL0455</t>
  </si>
  <si>
    <t>FL0456</t>
  </si>
  <si>
    <t>FL0457</t>
  </si>
  <si>
    <t>FL0458</t>
  </si>
  <si>
    <t>FL0459</t>
  </si>
  <si>
    <t>FL0460</t>
  </si>
  <si>
    <t>FL0461</t>
  </si>
  <si>
    <t>FL0462</t>
  </si>
  <si>
    <t>FL0463</t>
  </si>
  <si>
    <t>FL0464</t>
  </si>
  <si>
    <t>FL0465</t>
  </si>
  <si>
    <t>FL0466</t>
  </si>
  <si>
    <t>FL0467</t>
  </si>
  <si>
    <t>FL0468</t>
  </si>
  <si>
    <t>FL0469</t>
  </si>
  <si>
    <t>FL0470</t>
  </si>
  <si>
    <t>FL0471</t>
  </si>
  <si>
    <t>FL0472</t>
  </si>
  <si>
    <t>FL0473</t>
  </si>
  <si>
    <t>FL0474</t>
  </si>
  <si>
    <t>FL0475</t>
  </si>
  <si>
    <t>FL0476</t>
  </si>
  <si>
    <t>FL0477</t>
  </si>
  <si>
    <t>FL0478</t>
  </si>
  <si>
    <t>FL0479</t>
  </si>
  <si>
    <t>FL0480</t>
  </si>
  <si>
    <t>FL0481</t>
  </si>
  <si>
    <t>FL0482</t>
  </si>
  <si>
    <t>FL0483</t>
  </si>
  <si>
    <t>FL0484</t>
  </si>
  <si>
    <t>FL0485</t>
  </si>
  <si>
    <t>FL0486</t>
  </si>
  <si>
    <t>FL0487</t>
  </si>
  <si>
    <t>FL0488</t>
  </si>
  <si>
    <t>FL0489</t>
  </si>
  <si>
    <t>FL0490</t>
  </si>
  <si>
    <t>FL0491</t>
  </si>
  <si>
    <t>FL0492</t>
  </si>
  <si>
    <t>FL0493</t>
  </si>
  <si>
    <t>FL0494</t>
  </si>
  <si>
    <t>FL0495</t>
  </si>
  <si>
    <t>FL0496</t>
  </si>
  <si>
    <t>FL0497</t>
  </si>
  <si>
    <t>FL0498</t>
  </si>
  <si>
    <t>FL0499</t>
  </si>
  <si>
    <t>FL0500</t>
  </si>
  <si>
    <t>FL0501</t>
  </si>
  <si>
    <t>FL0502</t>
  </si>
  <si>
    <t>FL0503</t>
  </si>
  <si>
    <t>FL0504</t>
  </si>
  <si>
    <t>FL0505</t>
  </si>
  <si>
    <t>FL0506</t>
  </si>
  <si>
    <t>FL0507</t>
  </si>
  <si>
    <t>FL0508</t>
  </si>
  <si>
    <t>FL0509</t>
  </si>
  <si>
    <t>FL0510</t>
  </si>
  <si>
    <t>FL0511</t>
  </si>
  <si>
    <t>FL0512</t>
  </si>
  <si>
    <t>FL0513</t>
  </si>
  <si>
    <t>FL0514</t>
  </si>
  <si>
    <t>FL0515</t>
  </si>
  <si>
    <t>FL0516</t>
  </si>
  <si>
    <t>FL0517</t>
  </si>
  <si>
    <t>FL0518</t>
  </si>
  <si>
    <t>FL0519</t>
  </si>
  <si>
    <t>FL0520</t>
  </si>
  <si>
    <t>FL0521</t>
  </si>
  <si>
    <t>FL0522</t>
  </si>
  <si>
    <t>FL0523</t>
  </si>
  <si>
    <t>FL0524</t>
  </si>
  <si>
    <t>FL0525</t>
  </si>
  <si>
    <t>FL0526</t>
  </si>
  <si>
    <t>FL0527</t>
  </si>
  <si>
    <t>FL0528</t>
  </si>
  <si>
    <t>FL0529</t>
  </si>
  <si>
    <t>FL0530</t>
  </si>
  <si>
    <t>FL0531</t>
  </si>
  <si>
    <t>FL0532</t>
  </si>
  <si>
    <t>FL0533</t>
  </si>
  <si>
    <t>FL0534</t>
  </si>
  <si>
    <t>FL0535</t>
  </si>
  <si>
    <t>FL0536</t>
  </si>
  <si>
    <t>FL0537</t>
  </si>
  <si>
    <t>FL0538</t>
  </si>
  <si>
    <t>FL0539</t>
  </si>
  <si>
    <t>FL0540</t>
  </si>
  <si>
    <t>FL0541</t>
  </si>
  <si>
    <t>FL0542</t>
  </si>
  <si>
    <t>FL0543</t>
  </si>
  <si>
    <t>FL0544</t>
  </si>
  <si>
    <t>FL0545</t>
  </si>
  <si>
    <t>FL0546</t>
  </si>
  <si>
    <t>FL0547</t>
  </si>
  <si>
    <t>FL0548</t>
  </si>
  <si>
    <t>FL0549</t>
  </si>
  <si>
    <t>FL0550</t>
  </si>
  <si>
    <t>FL0551</t>
  </si>
  <si>
    <t>FL0552</t>
  </si>
  <si>
    <t>FL0553</t>
  </si>
  <si>
    <t>FL0554</t>
  </si>
  <si>
    <t>FL0555</t>
  </si>
  <si>
    <t>FL0556</t>
  </si>
  <si>
    <t>FL0557</t>
  </si>
  <si>
    <t>FL0558</t>
  </si>
  <si>
    <t>FL0559</t>
  </si>
  <si>
    <t>FL0560</t>
  </si>
  <si>
    <t>FL0561</t>
  </si>
  <si>
    <t>FL0562</t>
  </si>
  <si>
    <t>FL0563</t>
  </si>
  <si>
    <t>FL0564</t>
  </si>
  <si>
    <t>FL0565</t>
  </si>
  <si>
    <t>FL0566</t>
  </si>
  <si>
    <t>FL0567</t>
  </si>
  <si>
    <t>FL0568</t>
  </si>
  <si>
    <t>FL0569</t>
  </si>
  <si>
    <t>FL0570</t>
  </si>
  <si>
    <t>FL0571</t>
  </si>
  <si>
    <t>FL0572</t>
  </si>
  <si>
    <t>FL0573</t>
  </si>
  <si>
    <t>FL0574</t>
  </si>
  <si>
    <t>FL0575</t>
  </si>
  <si>
    <t>FL0576</t>
  </si>
  <si>
    <t>FL0577</t>
  </si>
  <si>
    <t>FL0578</t>
  </si>
  <si>
    <t>FL0579</t>
  </si>
  <si>
    <t>FL0580</t>
  </si>
  <si>
    <t>FL0581</t>
  </si>
  <si>
    <t>FL0582</t>
  </si>
  <si>
    <t>FL0583</t>
  </si>
  <si>
    <t>FL0584</t>
  </si>
  <si>
    <t>FL0585</t>
  </si>
  <si>
    <t>FL0586</t>
  </si>
  <si>
    <t>FL0587</t>
  </si>
  <si>
    <t>FL0588</t>
  </si>
  <si>
    <t>FL0589</t>
  </si>
  <si>
    <t>FL0590</t>
  </si>
  <si>
    <t>FL0591</t>
  </si>
  <si>
    <t>FL0592</t>
  </si>
  <si>
    <t>FL0593</t>
  </si>
  <si>
    <t>FL0594</t>
  </si>
  <si>
    <t>FL0595</t>
  </si>
  <si>
    <t>FL0596</t>
  </si>
  <si>
    <t>FL0597</t>
  </si>
  <si>
    <t>FL0598</t>
  </si>
  <si>
    <t>FL0599</t>
  </si>
  <si>
    <t>FL0600</t>
  </si>
  <si>
    <t>FL0601</t>
  </si>
  <si>
    <t>FL0602</t>
  </si>
  <si>
    <t>FL0603</t>
  </si>
  <si>
    <t>FL0604</t>
  </si>
  <si>
    <t>FL0605</t>
  </si>
  <si>
    <t>FL0606</t>
  </si>
  <si>
    <t>FL0607</t>
  </si>
  <si>
    <t>FL0608</t>
  </si>
  <si>
    <t>FL0609</t>
  </si>
  <si>
    <t>FL0610</t>
  </si>
  <si>
    <t>FL0611</t>
  </si>
  <si>
    <t>FL0612</t>
  </si>
  <si>
    <t>FL0613</t>
  </si>
  <si>
    <t>FL0614</t>
  </si>
  <si>
    <t>FL0615</t>
  </si>
  <si>
    <t>FL0616</t>
  </si>
  <si>
    <t>FL0617</t>
  </si>
  <si>
    <t>FL0618</t>
  </si>
  <si>
    <t>FL0619</t>
  </si>
  <si>
    <t>FL0620</t>
  </si>
  <si>
    <t>FL0621</t>
  </si>
  <si>
    <t>FL0622</t>
  </si>
  <si>
    <t>FL0623</t>
  </si>
  <si>
    <t>FL0624</t>
  </si>
  <si>
    <t>FL0625</t>
  </si>
  <si>
    <t>FL0626</t>
  </si>
  <si>
    <t>FL0627</t>
  </si>
  <si>
    <t>FL0628</t>
  </si>
  <si>
    <t>FL0629</t>
  </si>
  <si>
    <t>FL0630</t>
  </si>
  <si>
    <t>FL0631</t>
  </si>
  <si>
    <t>FL0632</t>
  </si>
  <si>
    <t>FL0633</t>
  </si>
  <si>
    <t>FL0634</t>
  </si>
  <si>
    <t>FL0635</t>
  </si>
  <si>
    <t>FL0636</t>
  </si>
  <si>
    <t>FL0637</t>
  </si>
  <si>
    <t>FL0638</t>
  </si>
  <si>
    <t>FL0639</t>
  </si>
  <si>
    <t>FL0640</t>
  </si>
  <si>
    <t>FL0641</t>
  </si>
  <si>
    <t>FL0642</t>
  </si>
  <si>
    <t>FL0643</t>
  </si>
  <si>
    <t>FL0644</t>
  </si>
  <si>
    <t>FL0645</t>
  </si>
  <si>
    <t>FL0646</t>
  </si>
  <si>
    <t>FL0647</t>
  </si>
  <si>
    <t>FL0648</t>
  </si>
  <si>
    <t>FL0649</t>
  </si>
  <si>
    <t>FL0650</t>
  </si>
  <si>
    <t>FL0651</t>
  </si>
  <si>
    <t>FL0652</t>
  </si>
  <si>
    <t>FL0653</t>
  </si>
  <si>
    <t>FL0654</t>
  </si>
  <si>
    <t>FL0655</t>
  </si>
  <si>
    <t>FL0656</t>
  </si>
  <si>
    <t>FL0657</t>
  </si>
  <si>
    <t>FL0658</t>
  </si>
  <si>
    <t>FL0659</t>
  </si>
  <si>
    <t>FL0660</t>
  </si>
  <si>
    <t>FL0661</t>
  </si>
  <si>
    <t>FL0662</t>
  </si>
  <si>
    <t>FL0663</t>
  </si>
  <si>
    <t>FL0664</t>
  </si>
  <si>
    <t>FL0665</t>
  </si>
  <si>
    <t>FL0666</t>
  </si>
  <si>
    <t>FL0667</t>
  </si>
  <si>
    <t>FL0668</t>
  </si>
  <si>
    <t>FL0669</t>
  </si>
  <si>
    <t>FL0670</t>
  </si>
  <si>
    <t>FL0671</t>
  </si>
  <si>
    <t>FL0672</t>
  </si>
  <si>
    <t>FL0673</t>
  </si>
  <si>
    <t>FL0674</t>
  </si>
  <si>
    <t>FL0675</t>
  </si>
  <si>
    <t>FL0676</t>
  </si>
  <si>
    <t>FL0677</t>
  </si>
  <si>
    <t>FL0678</t>
  </si>
  <si>
    <t>FL0679</t>
  </si>
  <si>
    <t>FL0680</t>
  </si>
  <si>
    <t>FL0681</t>
  </si>
  <si>
    <t>FL0682</t>
  </si>
  <si>
    <t>FL0683</t>
  </si>
  <si>
    <t>FL0684</t>
  </si>
  <si>
    <t>FL0685</t>
  </si>
  <si>
    <t>FL0686</t>
  </si>
  <si>
    <t>FL0687</t>
  </si>
  <si>
    <t>FL0688</t>
  </si>
  <si>
    <t>FL0689</t>
  </si>
  <si>
    <t>FL0690</t>
  </si>
  <si>
    <t>FL0691</t>
  </si>
  <si>
    <t>FL0692</t>
  </si>
  <si>
    <t>FL0693</t>
  </si>
  <si>
    <t>FL0694</t>
  </si>
  <si>
    <t>FL0695</t>
  </si>
  <si>
    <t>FL0696</t>
  </si>
  <si>
    <t>FL0697</t>
  </si>
  <si>
    <t>FL0698</t>
  </si>
  <si>
    <t>FL0699</t>
  </si>
  <si>
    <t>FL0700</t>
  </si>
  <si>
    <t>FL0701</t>
  </si>
  <si>
    <t>FL0702</t>
  </si>
  <si>
    <t>FL0703</t>
  </si>
  <si>
    <t>FL0704</t>
  </si>
  <si>
    <t>FL0705</t>
  </si>
  <si>
    <t>FL0706</t>
  </si>
  <si>
    <t>FL0707</t>
  </si>
  <si>
    <t>FL0708</t>
  </si>
  <si>
    <t>FL0709</t>
  </si>
  <si>
    <t>FL0710</t>
  </si>
  <si>
    <t>FL0711</t>
  </si>
  <si>
    <t>FL0712</t>
  </si>
  <si>
    <t>FL0713</t>
  </si>
  <si>
    <t>FL0714</t>
  </si>
  <si>
    <t>FL0715</t>
  </si>
  <si>
    <t>FL0716</t>
  </si>
  <si>
    <t>FL0717</t>
  </si>
  <si>
    <t>FL0718</t>
  </si>
  <si>
    <t>FL0719</t>
  </si>
  <si>
    <t>FL0720</t>
  </si>
  <si>
    <t>FL0721</t>
  </si>
  <si>
    <t>FL0722</t>
  </si>
  <si>
    <t>FL0723</t>
  </si>
  <si>
    <t>FL0724</t>
  </si>
  <si>
    <t>FL0725</t>
  </si>
  <si>
    <t>FL0726</t>
  </si>
  <si>
    <t>FL0727</t>
  </si>
  <si>
    <t>FL0728</t>
  </si>
  <si>
    <t>FL0729</t>
  </si>
  <si>
    <t>FL0730</t>
  </si>
  <si>
    <t>FL0731</t>
  </si>
  <si>
    <t>FL0732</t>
  </si>
  <si>
    <t>FL0733</t>
  </si>
  <si>
    <t>FL0734</t>
  </si>
  <si>
    <t>FL0735</t>
  </si>
  <si>
    <t>FL0736</t>
  </si>
  <si>
    <t>FL0737</t>
  </si>
  <si>
    <t>FL0738</t>
  </si>
  <si>
    <t>FL0739</t>
  </si>
  <si>
    <t>FL0740</t>
  </si>
  <si>
    <t>FL0741</t>
  </si>
  <si>
    <t>FL0742</t>
  </si>
  <si>
    <t>FL0743</t>
  </si>
  <si>
    <t>FL0744</t>
  </si>
  <si>
    <t>FL0745</t>
  </si>
  <si>
    <t>FL0746</t>
  </si>
  <si>
    <t>FL0747</t>
  </si>
  <si>
    <t>FL0748</t>
  </si>
  <si>
    <t>FL0749</t>
  </si>
  <si>
    <t>FL0750</t>
  </si>
  <si>
    <t>FL0751</t>
  </si>
  <si>
    <t>FL0752</t>
  </si>
  <si>
    <t>FL0753</t>
  </si>
  <si>
    <t>FL0754</t>
  </si>
  <si>
    <t>FL0755</t>
  </si>
  <si>
    <t>FL0756</t>
  </si>
  <si>
    <t>FL0757</t>
  </si>
  <si>
    <t>FL0758</t>
  </si>
  <si>
    <t>FL0759</t>
  </si>
  <si>
    <t>FL0760</t>
  </si>
  <si>
    <t>FL0761</t>
  </si>
  <si>
    <t>FL0762</t>
  </si>
  <si>
    <t>FL0763</t>
  </si>
  <si>
    <t>FL0764</t>
  </si>
  <si>
    <t>FL0765</t>
  </si>
  <si>
    <t>FL0766</t>
  </si>
  <si>
    <t>FL0767</t>
  </si>
  <si>
    <t>FL0768</t>
  </si>
  <si>
    <t>FL0769</t>
  </si>
  <si>
    <t>FL0770</t>
  </si>
  <si>
    <t>FL0771</t>
  </si>
  <si>
    <t>FL0772</t>
  </si>
  <si>
    <t>FL0773</t>
  </si>
  <si>
    <t>FL0774</t>
  </si>
  <si>
    <t>FL0775</t>
  </si>
  <si>
    <t>FL0776</t>
  </si>
  <si>
    <t>FL0777</t>
  </si>
  <si>
    <t>FL0778</t>
  </si>
  <si>
    <t>FL0779</t>
  </si>
  <si>
    <t>FL0780</t>
  </si>
  <si>
    <t>FL0781</t>
  </si>
  <si>
    <t>FL0782</t>
  </si>
  <si>
    <t>FL0783</t>
  </si>
  <si>
    <t>FL0784</t>
  </si>
  <si>
    <t>FL0785</t>
  </si>
  <si>
    <t>FL0786</t>
  </si>
  <si>
    <t>FL0787</t>
  </si>
  <si>
    <t>FL0788</t>
  </si>
  <si>
    <t>FL0789</t>
  </si>
  <si>
    <t>FL0790</t>
  </si>
  <si>
    <t>FL0791</t>
  </si>
  <si>
    <t>FL0792</t>
  </si>
  <si>
    <t>FL0793</t>
  </si>
  <si>
    <t>FL0794</t>
  </si>
  <si>
    <t>FL0795</t>
  </si>
  <si>
    <t>FL0796</t>
  </si>
  <si>
    <t>FL0797</t>
  </si>
  <si>
    <t>FL0798</t>
  </si>
  <si>
    <t>FL0799</t>
  </si>
  <si>
    <t>FL0800</t>
  </si>
  <si>
    <t>FL0801</t>
  </si>
  <si>
    <t>FL0802</t>
  </si>
  <si>
    <t>FL0803</t>
  </si>
  <si>
    <t>FL0804</t>
  </si>
  <si>
    <t>FL0805</t>
  </si>
  <si>
    <t>FL0806</t>
  </si>
  <si>
    <t>FL0807</t>
  </si>
  <si>
    <t>FL0808</t>
  </si>
  <si>
    <t>FL0809</t>
  </si>
  <si>
    <t>FL0810</t>
  </si>
  <si>
    <t>FL0811</t>
  </si>
  <si>
    <t>FL0812</t>
  </si>
  <si>
    <t>FL0813</t>
  </si>
  <si>
    <t>FL0814</t>
  </si>
  <si>
    <t>FL0815</t>
  </si>
  <si>
    <t>FL0816</t>
  </si>
  <si>
    <t>FL0817</t>
  </si>
  <si>
    <t>FL0818</t>
  </si>
  <si>
    <t>FL0819</t>
  </si>
  <si>
    <t>FL0820</t>
  </si>
  <si>
    <t>FL0821</t>
  </si>
  <si>
    <t>FL0822</t>
  </si>
  <si>
    <t>FL0823</t>
  </si>
  <si>
    <t>FL0824</t>
  </si>
  <si>
    <t>FL0825</t>
  </si>
  <si>
    <t>FL0826</t>
  </si>
  <si>
    <t>FL0827</t>
  </si>
  <si>
    <t>FL0828</t>
  </si>
  <si>
    <t>FL0829</t>
  </si>
  <si>
    <t>FL0830</t>
  </si>
  <si>
    <t>FL0831</t>
  </si>
  <si>
    <t>FL0832</t>
  </si>
  <si>
    <t>FL0833</t>
  </si>
  <si>
    <t>FL0834</t>
  </si>
  <si>
    <t>FL0835</t>
  </si>
  <si>
    <t>FL0836</t>
  </si>
  <si>
    <t>FL0837</t>
  </si>
  <si>
    <t>FL0838</t>
  </si>
  <si>
    <t>FL0839</t>
  </si>
  <si>
    <t>FL0840</t>
  </si>
  <si>
    <t>FL0841</t>
  </si>
  <si>
    <t>FL0842</t>
  </si>
  <si>
    <t>FL0843</t>
  </si>
  <si>
    <t>FL0844</t>
  </si>
  <si>
    <t>FL0845</t>
  </si>
  <si>
    <t>FL0846</t>
  </si>
  <si>
    <t>FL0847</t>
  </si>
  <si>
    <t>FL0848</t>
  </si>
  <si>
    <t>FL0849</t>
  </si>
  <si>
    <t>FL0850</t>
  </si>
  <si>
    <t>FL0851</t>
  </si>
  <si>
    <t>FL0852</t>
  </si>
  <si>
    <t>FL0853</t>
  </si>
  <si>
    <t>FL0854</t>
  </si>
  <si>
    <t>FL0855</t>
  </si>
  <si>
    <t>FL0856</t>
  </si>
  <si>
    <t>FL0857</t>
  </si>
  <si>
    <t>FL0858</t>
  </si>
  <si>
    <t>FL0859</t>
  </si>
  <si>
    <t>FL0860</t>
  </si>
  <si>
    <t>FL0861</t>
  </si>
  <si>
    <t>FL0862</t>
  </si>
  <si>
    <t>FL0863</t>
  </si>
  <si>
    <t>FL0864</t>
  </si>
  <si>
    <t>FL0865</t>
  </si>
  <si>
    <t>FL0866</t>
  </si>
  <si>
    <t>FL0867</t>
  </si>
  <si>
    <t>FL0868</t>
  </si>
  <si>
    <t>FL0869</t>
  </si>
  <si>
    <t>FL0870</t>
  </si>
  <si>
    <t>FL0871</t>
  </si>
  <si>
    <t>FL0872</t>
  </si>
  <si>
    <t>FL0873</t>
  </si>
  <si>
    <t>FL0874</t>
  </si>
  <si>
    <t>FL0875</t>
  </si>
  <si>
    <t>FL0876</t>
  </si>
  <si>
    <t>FL0877</t>
  </si>
  <si>
    <t>FL0878</t>
  </si>
  <si>
    <t>FL0879</t>
  </si>
  <si>
    <t>FL0880</t>
  </si>
  <si>
    <t>FL0881</t>
  </si>
  <si>
    <t>FL0882</t>
  </si>
  <si>
    <t>FL0883</t>
  </si>
  <si>
    <t>FL0884</t>
  </si>
  <si>
    <t>FL0885</t>
  </si>
  <si>
    <t>FL0886</t>
  </si>
  <si>
    <t>FL0887</t>
  </si>
  <si>
    <t>FL0888</t>
  </si>
  <si>
    <t>FL0889</t>
  </si>
  <si>
    <t>FL0890</t>
  </si>
  <si>
    <t>FL0891</t>
  </si>
  <si>
    <t>FL0892</t>
  </si>
  <si>
    <t>FL0893</t>
  </si>
  <si>
    <t>FL0894</t>
  </si>
  <si>
    <t>FL0895</t>
  </si>
  <si>
    <t>FL0896</t>
  </si>
  <si>
    <t>FL0897</t>
  </si>
  <si>
    <t>FL0898</t>
  </si>
  <si>
    <t>FL0899</t>
  </si>
  <si>
    <t>FL0900</t>
  </si>
  <si>
    <t>FL0901</t>
  </si>
  <si>
    <t>FL0902</t>
  </si>
  <si>
    <t>FL0903</t>
  </si>
  <si>
    <t>FL0904</t>
  </si>
  <si>
    <t>FL0905</t>
  </si>
  <si>
    <t>FL0906</t>
  </si>
  <si>
    <t>FL0907</t>
  </si>
  <si>
    <t>FL0908</t>
  </si>
  <si>
    <t>FL0909</t>
  </si>
  <si>
    <t>FL0910</t>
  </si>
  <si>
    <t>FL0911</t>
  </si>
  <si>
    <t>FL0912</t>
  </si>
  <si>
    <t>FL0913</t>
  </si>
  <si>
    <t>FL0914</t>
  </si>
  <si>
    <t>FL0915</t>
  </si>
  <si>
    <t>FL0916</t>
  </si>
  <si>
    <t>FL0917</t>
  </si>
  <si>
    <t>FL0918</t>
  </si>
  <si>
    <t>FL0919</t>
  </si>
  <si>
    <t>FL0920</t>
  </si>
  <si>
    <t>FL0921</t>
  </si>
  <si>
    <t>FL0922</t>
  </si>
  <si>
    <t>FL0923</t>
  </si>
  <si>
    <t>FL0924</t>
  </si>
  <si>
    <t>FL0925</t>
  </si>
  <si>
    <t>FL0926</t>
  </si>
  <si>
    <t>FL0927</t>
  </si>
  <si>
    <t>FL0928</t>
  </si>
  <si>
    <t>FL0929</t>
  </si>
  <si>
    <t>FL0930</t>
  </si>
  <si>
    <t>FL0931</t>
  </si>
  <si>
    <t>FL0932</t>
  </si>
  <si>
    <t>FL0933</t>
  </si>
  <si>
    <t>FL0934</t>
  </si>
  <si>
    <t>FL0935</t>
  </si>
  <si>
    <t>FL0936</t>
  </si>
  <si>
    <t>FL0937</t>
  </si>
  <si>
    <t>FL0938</t>
  </si>
  <si>
    <t>FL0939</t>
  </si>
  <si>
    <t>FL0940</t>
  </si>
  <si>
    <t>FL0941</t>
  </si>
  <si>
    <t>FL0942</t>
  </si>
  <si>
    <t>FL0943</t>
  </si>
  <si>
    <t>FL0944</t>
  </si>
  <si>
    <t>FL0945</t>
  </si>
  <si>
    <t>FL0946</t>
  </si>
  <si>
    <t>FL0947</t>
  </si>
  <si>
    <t>FL0948</t>
  </si>
  <si>
    <t>FL0949</t>
  </si>
  <si>
    <t>FL0950</t>
  </si>
  <si>
    <t>FL0951</t>
  </si>
  <si>
    <t>FL0952</t>
  </si>
  <si>
    <t>FL0953</t>
  </si>
  <si>
    <t>FL0954</t>
  </si>
  <si>
    <t>FL0955</t>
  </si>
  <si>
    <t>FL0956</t>
  </si>
  <si>
    <t>FL0957</t>
  </si>
  <si>
    <t>FL0958</t>
  </si>
  <si>
    <t>FL0959</t>
  </si>
  <si>
    <t>FL0960</t>
  </si>
  <si>
    <t>FL0961</t>
  </si>
  <si>
    <t>FL0962</t>
  </si>
  <si>
    <t>FL0963</t>
  </si>
  <si>
    <t>FL0964</t>
  </si>
  <si>
    <t>FL0965</t>
  </si>
  <si>
    <t>FL0966</t>
  </si>
  <si>
    <t>FL0967</t>
  </si>
  <si>
    <t>FL0968</t>
  </si>
  <si>
    <t>FL0969</t>
  </si>
  <si>
    <t>FL0970</t>
  </si>
  <si>
    <t>FL0971</t>
  </si>
  <si>
    <t>FL0972</t>
  </si>
  <si>
    <t>FL0973</t>
  </si>
  <si>
    <t>FL0974</t>
  </si>
  <si>
    <t>FL0975</t>
  </si>
  <si>
    <t>FL0976</t>
  </si>
  <si>
    <t>FL0977</t>
  </si>
  <si>
    <t>FL0978</t>
  </si>
  <si>
    <t>FL0979</t>
  </si>
  <si>
    <t>FL0980</t>
  </si>
  <si>
    <t>FL0981</t>
  </si>
  <si>
    <t>FL0982</t>
  </si>
  <si>
    <t>FL0983</t>
  </si>
  <si>
    <t>FL0984</t>
  </si>
  <si>
    <t>FL0985</t>
  </si>
  <si>
    <t>FL0986</t>
  </si>
  <si>
    <t>FL0987</t>
  </si>
  <si>
    <t>FL0988</t>
  </si>
  <si>
    <t>FL0989</t>
  </si>
  <si>
    <t>FL0990</t>
  </si>
  <si>
    <t>FL0991</t>
  </si>
  <si>
    <t>FL0992</t>
  </si>
  <si>
    <t>FL0993</t>
  </si>
  <si>
    <t>FL0994</t>
  </si>
  <si>
    <t>FL0995</t>
  </si>
  <si>
    <t>FL0996</t>
  </si>
  <si>
    <t>FL0997</t>
  </si>
  <si>
    <t>FL0998</t>
  </si>
  <si>
    <t>FL0999</t>
  </si>
  <si>
    <t>FL1000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</si>
</sst>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Franklin Gothic Book"/>
      <charset val="134"/>
      <scheme val="minor"/>
    </font>
    <font>
      <u/>
      <sz val="11"/>
      <color rgb="FF0000FF"/>
      <name val="Franklin Gothic Book"/>
      <charset val="0"/>
      <scheme val="minor"/>
    </font>
    <font>
      <u/>
      <sz val="11"/>
      <color rgb="FF800080"/>
      <name val="Franklin Gothic Book"/>
      <charset val="0"/>
      <scheme val="minor"/>
    </font>
    <font>
      <sz val="11"/>
      <color rgb="FFFF0000"/>
      <name val="Franklin Gothic Book"/>
      <charset val="0"/>
      <scheme val="minor"/>
    </font>
    <font>
      <b/>
      <sz val="18"/>
      <color theme="3"/>
      <name val="Franklin Gothic Book"/>
      <charset val="134"/>
      <scheme val="minor"/>
    </font>
    <font>
      <i/>
      <sz val="11"/>
      <color rgb="FF7F7F7F"/>
      <name val="Franklin Gothic Book"/>
      <charset val="0"/>
      <scheme val="minor"/>
    </font>
    <font>
      <b/>
      <sz val="15"/>
      <color theme="3"/>
      <name val="Franklin Gothic Book"/>
      <charset val="134"/>
      <scheme val="minor"/>
    </font>
    <font>
      <b/>
      <sz val="13"/>
      <color theme="3"/>
      <name val="Franklin Gothic Book"/>
      <charset val="134"/>
      <scheme val="minor"/>
    </font>
    <font>
      <b/>
      <sz val="11"/>
      <color theme="3"/>
      <name val="Franklin Gothic Book"/>
      <charset val="134"/>
      <scheme val="minor"/>
    </font>
    <font>
      <sz val="11"/>
      <color rgb="FF3F3F76"/>
      <name val="Franklin Gothic Book"/>
      <charset val="0"/>
      <scheme val="minor"/>
    </font>
    <font>
      <b/>
      <sz val="11"/>
      <color rgb="FF3F3F3F"/>
      <name val="Franklin Gothic Book"/>
      <charset val="0"/>
      <scheme val="minor"/>
    </font>
    <font>
      <b/>
      <sz val="11"/>
      <color rgb="FFFA7D00"/>
      <name val="Franklin Gothic Book"/>
      <charset val="0"/>
      <scheme val="minor"/>
    </font>
    <font>
      <b/>
      <sz val="11"/>
      <color rgb="FFFFFFFF"/>
      <name val="Franklin Gothic Book"/>
      <charset val="0"/>
      <scheme val="minor"/>
    </font>
    <font>
      <sz val="11"/>
      <color rgb="FFFA7D00"/>
      <name val="Franklin Gothic Book"/>
      <charset val="0"/>
      <scheme val="minor"/>
    </font>
    <font>
      <b/>
      <sz val="11"/>
      <color theme="1"/>
      <name val="Franklin Gothic Book"/>
      <charset val="0"/>
      <scheme val="minor"/>
    </font>
    <font>
      <sz val="11"/>
      <color rgb="FF006100"/>
      <name val="Franklin Gothic Book"/>
      <charset val="0"/>
      <scheme val="minor"/>
    </font>
    <font>
      <sz val="11"/>
      <color rgb="FF9C0006"/>
      <name val="Franklin Gothic Book"/>
      <charset val="0"/>
      <scheme val="minor"/>
    </font>
    <font>
      <sz val="11"/>
      <color rgb="FF9C6500"/>
      <name val="Franklin Gothic Book"/>
      <charset val="0"/>
      <scheme val="minor"/>
    </font>
    <font>
      <sz val="11"/>
      <color theme="0"/>
      <name val="Franklin Gothic Book"/>
      <charset val="0"/>
      <scheme val="minor"/>
    </font>
    <font>
      <sz val="11"/>
      <color theme="1"/>
      <name val="Franklin Gothic Book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numFmt numFmtId="180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final-exam.xlsx]Top 10!PivotTable1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10 Routes </a:t>
            </a:r>
            <a:endParaRPr lang="en-IN" altLang="en-US"/>
          </a:p>
        </c:rich>
      </c:tx>
      <c:layout>
        <c:manualLayout>
          <c:xMode val="edge"/>
          <c:yMode val="edge"/>
          <c:x val="0.466582442787411"/>
          <c:y val="0.03484111328003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465293129366"/>
          <c:y val="0.11531007751938"/>
          <c:w val="0.856300291802989"/>
          <c:h val="0.7580232558139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&quot;₹&quot;#,##0_);[Red]\(&quot;₹&quot;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10'!$A$4:$A$14</c:f>
              <c:strCache>
                <c:ptCount val="10"/>
                <c:pt idx="0">
                  <c:v>BLR-CCU</c:v>
                </c:pt>
                <c:pt idx="1">
                  <c:v>BLR-DEL</c:v>
                </c:pt>
                <c:pt idx="2">
                  <c:v>BLR-SIN</c:v>
                </c:pt>
                <c:pt idx="3">
                  <c:v>BOM-BLR</c:v>
                </c:pt>
                <c:pt idx="4">
                  <c:v>BOM-LHR</c:v>
                </c:pt>
                <c:pt idx="5">
                  <c:v>DXB-BLR</c:v>
                </c:pt>
                <c:pt idx="6">
                  <c:v>DXB-DEL</c:v>
                </c:pt>
                <c:pt idx="7">
                  <c:v>HYD-BOM</c:v>
                </c:pt>
                <c:pt idx="8">
                  <c:v>HYD-DEL</c:v>
                </c:pt>
                <c:pt idx="9">
                  <c:v>LHR-DEL</c:v>
                </c:pt>
              </c:strCache>
            </c:strRef>
          </c:cat>
          <c:val>
            <c:numRef>
              <c:f>'Top 10'!$B$4:$B$14</c:f>
              <c:numCache>
                <c:formatCode>General</c:formatCode>
                <c:ptCount val="10"/>
                <c:pt idx="0">
                  <c:v>205094959</c:v>
                </c:pt>
                <c:pt idx="1">
                  <c:v>164391380</c:v>
                </c:pt>
                <c:pt idx="2">
                  <c:v>152751257</c:v>
                </c:pt>
                <c:pt idx="3">
                  <c:v>217980257</c:v>
                </c:pt>
                <c:pt idx="4">
                  <c:v>151451525</c:v>
                </c:pt>
                <c:pt idx="5">
                  <c:v>130632181</c:v>
                </c:pt>
                <c:pt idx="6">
                  <c:v>182602310</c:v>
                </c:pt>
                <c:pt idx="7">
                  <c:v>208034320</c:v>
                </c:pt>
                <c:pt idx="8">
                  <c:v>164751067</c:v>
                </c:pt>
                <c:pt idx="9">
                  <c:v>135368015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73629096"/>
        <c:axId val="708515499"/>
      </c:barChart>
      <c:catAx>
        <c:axId val="473629096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8515499"/>
        <c:crosses val="autoZero"/>
        <c:auto val="1"/>
        <c:lblAlgn val="ctr"/>
        <c:lblOffset val="100"/>
        <c:noMultiLvlLbl val="0"/>
      </c:catAx>
      <c:valAx>
        <c:axId val="7085154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62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11a2810-9b55-4353-ba3d-b8754cd20d13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final-exam.xlsx]Line Graph- Monthly profit 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Monthly Profit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Graph- Monthly profit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'Line Graph- Monthly profit 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Graph- Monthly profit '!$B$4:$B$16</c:f>
              <c:numCache>
                <c:formatCode>General</c:formatCode>
                <c:ptCount val="12"/>
                <c:pt idx="0">
                  <c:v>167330848</c:v>
                </c:pt>
                <c:pt idx="1">
                  <c:v>202968045</c:v>
                </c:pt>
                <c:pt idx="2">
                  <c:v>230748258</c:v>
                </c:pt>
                <c:pt idx="3">
                  <c:v>239148253</c:v>
                </c:pt>
                <c:pt idx="4">
                  <c:v>217809463</c:v>
                </c:pt>
                <c:pt idx="5">
                  <c:v>233852900</c:v>
                </c:pt>
                <c:pt idx="6">
                  <c:v>228754098</c:v>
                </c:pt>
                <c:pt idx="7">
                  <c:v>212370242</c:v>
                </c:pt>
                <c:pt idx="8">
                  <c:v>209908275</c:v>
                </c:pt>
                <c:pt idx="9">
                  <c:v>144094876</c:v>
                </c:pt>
                <c:pt idx="10">
                  <c:v>150905789</c:v>
                </c:pt>
                <c:pt idx="11">
                  <c:v>139839600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519484"/>
        <c:axId val="19150227"/>
      </c:lineChart>
      <c:catAx>
        <c:axId val="2995194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50227"/>
        <c:crosses val="autoZero"/>
        <c:auto val="1"/>
        <c:lblAlgn val="ctr"/>
        <c:lblOffset val="100"/>
        <c:noMultiLvlLbl val="0"/>
      </c:catAx>
      <c:valAx>
        <c:axId val="191502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5194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617879-884d-4135-a285-c92b41c037c9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final-exam.xlsx]Donut- Avg Occupancy Rate!PivotTable1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Occupancy Rate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'Donut- Avg Occupancy Rate'!$B$3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'Donut- Avg Occupancy Rate'!$A$4:$A$10</c:f>
              <c:strCache>
                <c:ptCount val="6"/>
                <c:pt idx="0">
                  <c:v>A320</c:v>
                </c:pt>
                <c:pt idx="1">
                  <c:v>A321</c:v>
                </c:pt>
                <c:pt idx="2">
                  <c:v>A380</c:v>
                </c:pt>
                <c:pt idx="3">
                  <c:v>ATR72</c:v>
                </c:pt>
                <c:pt idx="4">
                  <c:v>B737</c:v>
                </c:pt>
                <c:pt idx="5">
                  <c:v>B787</c:v>
                </c:pt>
              </c:strCache>
            </c:strRef>
          </c:cat>
          <c:val>
            <c:numRef>
              <c:f>'Donut- Avg Occupancy Rate'!$B$4:$B$10</c:f>
              <c:numCache>
                <c:formatCode>0.00%</c:formatCode>
                <c:ptCount val="6"/>
                <c:pt idx="0">
                  <c:v>0.128702443034398</c:v>
                </c:pt>
                <c:pt idx="1">
                  <c:v>0.143002714482664</c:v>
                </c:pt>
                <c:pt idx="2">
                  <c:v>0.355366027007818</c:v>
                </c:pt>
                <c:pt idx="3">
                  <c:v>0.0511727078891258</c:v>
                </c:pt>
                <c:pt idx="4">
                  <c:v>0.135852578758531</c:v>
                </c:pt>
                <c:pt idx="5">
                  <c:v>0.185903528827463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6ba189-ade1-40c6-8187-417cc4f56a1d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final-exam.xlsx]Stacked column chart-!PivotTable1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Cost vs Revenue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 chart-'!$B$3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'Stacked column chart-'!$A$4:$A$34</c:f>
              <c:strCache>
                <c:ptCount val="30"/>
                <c:pt idx="0">
                  <c:v>BLR-BOM</c:v>
                </c:pt>
                <c:pt idx="1">
                  <c:v>BLR-CCU</c:v>
                </c:pt>
                <c:pt idx="2">
                  <c:v>BLR-DEL</c:v>
                </c:pt>
                <c:pt idx="3">
                  <c:v>BLR-DXB</c:v>
                </c:pt>
                <c:pt idx="4">
                  <c:v>BLR-SIN</c:v>
                </c:pt>
                <c:pt idx="5">
                  <c:v>BOM-BLR</c:v>
                </c:pt>
                <c:pt idx="6">
                  <c:v>BOM-CCU</c:v>
                </c:pt>
                <c:pt idx="7">
                  <c:v>BOM-DEL</c:v>
                </c:pt>
                <c:pt idx="8">
                  <c:v>BOM-DXB</c:v>
                </c:pt>
                <c:pt idx="9">
                  <c:v>BOM-HYD</c:v>
                </c:pt>
                <c:pt idx="10">
                  <c:v>BOM-LHR</c:v>
                </c:pt>
                <c:pt idx="11">
                  <c:v>BOM-SIN</c:v>
                </c:pt>
                <c:pt idx="12">
                  <c:v>CCU-BLR</c:v>
                </c:pt>
                <c:pt idx="13">
                  <c:v>CCU-BOM</c:v>
                </c:pt>
                <c:pt idx="14">
                  <c:v>DEL-BLR</c:v>
                </c:pt>
                <c:pt idx="15">
                  <c:v>DEL-BOM</c:v>
                </c:pt>
                <c:pt idx="16">
                  <c:v>DEL-DXB</c:v>
                </c:pt>
                <c:pt idx="17">
                  <c:v>DEL-HYD</c:v>
                </c:pt>
                <c:pt idx="18">
                  <c:v>DEL-JFK</c:v>
                </c:pt>
                <c:pt idx="19">
                  <c:v>DEL-LHR</c:v>
                </c:pt>
                <c:pt idx="20">
                  <c:v>DXB-BLR</c:v>
                </c:pt>
                <c:pt idx="21">
                  <c:v>DXB-BOM</c:v>
                </c:pt>
                <c:pt idx="22">
                  <c:v>DXB-DEL</c:v>
                </c:pt>
                <c:pt idx="23">
                  <c:v>HYD-BOM</c:v>
                </c:pt>
                <c:pt idx="24">
                  <c:v>HYD-DEL</c:v>
                </c:pt>
                <c:pt idx="25">
                  <c:v>JFK-DEL</c:v>
                </c:pt>
                <c:pt idx="26">
                  <c:v>LHR-BOM</c:v>
                </c:pt>
                <c:pt idx="27">
                  <c:v>LHR-DEL</c:v>
                </c:pt>
                <c:pt idx="28">
                  <c:v>SIN-BLR</c:v>
                </c:pt>
                <c:pt idx="29">
                  <c:v>SIN-BOM</c:v>
                </c:pt>
              </c:strCache>
            </c:strRef>
          </c:cat>
          <c:val>
            <c:numRef>
              <c:f>'Stacked column chart-'!$B$4:$B$34</c:f>
              <c:numCache>
                <c:formatCode>General</c:formatCode>
                <c:ptCount val="30"/>
                <c:pt idx="0">
                  <c:v>11312423</c:v>
                </c:pt>
                <c:pt idx="1">
                  <c:v>249041494</c:v>
                </c:pt>
                <c:pt idx="2">
                  <c:v>187740795</c:v>
                </c:pt>
                <c:pt idx="3">
                  <c:v>69386086</c:v>
                </c:pt>
                <c:pt idx="4">
                  <c:v>238285507</c:v>
                </c:pt>
                <c:pt idx="5">
                  <c:v>262925297</c:v>
                </c:pt>
                <c:pt idx="6">
                  <c:v>54314846</c:v>
                </c:pt>
                <c:pt idx="7">
                  <c:v>41897082</c:v>
                </c:pt>
                <c:pt idx="8">
                  <c:v>45206671</c:v>
                </c:pt>
                <c:pt idx="9">
                  <c:v>10112267</c:v>
                </c:pt>
                <c:pt idx="10">
                  <c:v>239197175</c:v>
                </c:pt>
                <c:pt idx="11">
                  <c:v>51115286</c:v>
                </c:pt>
                <c:pt idx="12">
                  <c:v>10003477</c:v>
                </c:pt>
                <c:pt idx="13">
                  <c:v>60054270</c:v>
                </c:pt>
                <c:pt idx="14">
                  <c:v>81750075</c:v>
                </c:pt>
                <c:pt idx="15">
                  <c:v>55222476</c:v>
                </c:pt>
                <c:pt idx="16">
                  <c:v>72025461</c:v>
                </c:pt>
                <c:pt idx="17">
                  <c:v>83271929</c:v>
                </c:pt>
                <c:pt idx="18">
                  <c:v>47638279</c:v>
                </c:pt>
                <c:pt idx="19">
                  <c:v>78399582</c:v>
                </c:pt>
                <c:pt idx="20">
                  <c:v>175026231</c:v>
                </c:pt>
                <c:pt idx="21">
                  <c:v>59450858</c:v>
                </c:pt>
                <c:pt idx="22">
                  <c:v>205839640</c:v>
                </c:pt>
                <c:pt idx="23">
                  <c:v>251499780</c:v>
                </c:pt>
                <c:pt idx="24">
                  <c:v>187435107</c:v>
                </c:pt>
                <c:pt idx="25">
                  <c:v>67411055</c:v>
                </c:pt>
                <c:pt idx="26">
                  <c:v>10418446</c:v>
                </c:pt>
                <c:pt idx="27">
                  <c:v>175716765</c:v>
                </c:pt>
                <c:pt idx="28">
                  <c:v>10723887</c:v>
                </c:pt>
                <c:pt idx="29">
                  <c:v>56728930</c:v>
                </c:pt>
              </c:numCache>
            </c:numRef>
          </c:val>
        </c:ser>
        <c:ser>
          <c:idx val="1"/>
          <c:order val="1"/>
          <c:tx>
            <c:strRef>
              <c:f>'Stacked column chart-'!$C$3</c:f>
              <c:strCache>
                <c:ptCount val="1"/>
                <c:pt idx="0">
                  <c:v>Sum of OperationalCost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'Stacked column chart-'!$A$4:$A$34</c:f>
              <c:strCache>
                <c:ptCount val="30"/>
                <c:pt idx="0">
                  <c:v>BLR-BOM</c:v>
                </c:pt>
                <c:pt idx="1">
                  <c:v>BLR-CCU</c:v>
                </c:pt>
                <c:pt idx="2">
                  <c:v>BLR-DEL</c:v>
                </c:pt>
                <c:pt idx="3">
                  <c:v>BLR-DXB</c:v>
                </c:pt>
                <c:pt idx="4">
                  <c:v>BLR-SIN</c:v>
                </c:pt>
                <c:pt idx="5">
                  <c:v>BOM-BLR</c:v>
                </c:pt>
                <c:pt idx="6">
                  <c:v>BOM-CCU</c:v>
                </c:pt>
                <c:pt idx="7">
                  <c:v>BOM-DEL</c:v>
                </c:pt>
                <c:pt idx="8">
                  <c:v>BOM-DXB</c:v>
                </c:pt>
                <c:pt idx="9">
                  <c:v>BOM-HYD</c:v>
                </c:pt>
                <c:pt idx="10">
                  <c:v>BOM-LHR</c:v>
                </c:pt>
                <c:pt idx="11">
                  <c:v>BOM-SIN</c:v>
                </c:pt>
                <c:pt idx="12">
                  <c:v>CCU-BLR</c:v>
                </c:pt>
                <c:pt idx="13">
                  <c:v>CCU-BOM</c:v>
                </c:pt>
                <c:pt idx="14">
                  <c:v>DEL-BLR</c:v>
                </c:pt>
                <c:pt idx="15">
                  <c:v>DEL-BOM</c:v>
                </c:pt>
                <c:pt idx="16">
                  <c:v>DEL-DXB</c:v>
                </c:pt>
                <c:pt idx="17">
                  <c:v>DEL-HYD</c:v>
                </c:pt>
                <c:pt idx="18">
                  <c:v>DEL-JFK</c:v>
                </c:pt>
                <c:pt idx="19">
                  <c:v>DEL-LHR</c:v>
                </c:pt>
                <c:pt idx="20">
                  <c:v>DXB-BLR</c:v>
                </c:pt>
                <c:pt idx="21">
                  <c:v>DXB-BOM</c:v>
                </c:pt>
                <c:pt idx="22">
                  <c:v>DXB-DEL</c:v>
                </c:pt>
                <c:pt idx="23">
                  <c:v>HYD-BOM</c:v>
                </c:pt>
                <c:pt idx="24">
                  <c:v>HYD-DEL</c:v>
                </c:pt>
                <c:pt idx="25">
                  <c:v>JFK-DEL</c:v>
                </c:pt>
                <c:pt idx="26">
                  <c:v>LHR-BOM</c:v>
                </c:pt>
                <c:pt idx="27">
                  <c:v>LHR-DEL</c:v>
                </c:pt>
                <c:pt idx="28">
                  <c:v>SIN-BLR</c:v>
                </c:pt>
                <c:pt idx="29">
                  <c:v>SIN-BOM</c:v>
                </c:pt>
              </c:strCache>
            </c:strRef>
          </c:cat>
          <c:val>
            <c:numRef>
              <c:f>'Stacked column chart-'!$C$4:$C$34</c:f>
              <c:numCache>
                <c:formatCode>General</c:formatCode>
                <c:ptCount val="30"/>
                <c:pt idx="0">
                  <c:v>3658760</c:v>
                </c:pt>
                <c:pt idx="1">
                  <c:v>43946535</c:v>
                </c:pt>
                <c:pt idx="2">
                  <c:v>23349415</c:v>
                </c:pt>
                <c:pt idx="3">
                  <c:v>26860600</c:v>
                </c:pt>
                <c:pt idx="4">
                  <c:v>85534250</c:v>
                </c:pt>
                <c:pt idx="5">
                  <c:v>44945040</c:v>
                </c:pt>
                <c:pt idx="6">
                  <c:v>11913995</c:v>
                </c:pt>
                <c:pt idx="7">
                  <c:v>10532175</c:v>
                </c:pt>
                <c:pt idx="8">
                  <c:v>22335640</c:v>
                </c:pt>
                <c:pt idx="9">
                  <c:v>3633630</c:v>
                </c:pt>
                <c:pt idx="10">
                  <c:v>87745650</c:v>
                </c:pt>
                <c:pt idx="11">
                  <c:v>22502240</c:v>
                </c:pt>
                <c:pt idx="12">
                  <c:v>3536920</c:v>
                </c:pt>
                <c:pt idx="13">
                  <c:v>12164050</c:v>
                </c:pt>
                <c:pt idx="14">
                  <c:v>15341870</c:v>
                </c:pt>
                <c:pt idx="15">
                  <c:v>12596025</c:v>
                </c:pt>
                <c:pt idx="16">
                  <c:v>13529575</c:v>
                </c:pt>
                <c:pt idx="17">
                  <c:v>14685120</c:v>
                </c:pt>
                <c:pt idx="18">
                  <c:v>21433720</c:v>
                </c:pt>
                <c:pt idx="19">
                  <c:v>28660180</c:v>
                </c:pt>
                <c:pt idx="20">
                  <c:v>44394050</c:v>
                </c:pt>
                <c:pt idx="21">
                  <c:v>25659410</c:v>
                </c:pt>
                <c:pt idx="22">
                  <c:v>23237330</c:v>
                </c:pt>
                <c:pt idx="23">
                  <c:v>43465460</c:v>
                </c:pt>
                <c:pt idx="24">
                  <c:v>22684040</c:v>
                </c:pt>
                <c:pt idx="25">
                  <c:v>24498820</c:v>
                </c:pt>
                <c:pt idx="26">
                  <c:v>7267970</c:v>
                </c:pt>
                <c:pt idx="27">
                  <c:v>40348750</c:v>
                </c:pt>
                <c:pt idx="28">
                  <c:v>7209120</c:v>
                </c:pt>
                <c:pt idx="29">
                  <c:v>23750190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71348147"/>
        <c:axId val="569933709"/>
      </c:barChart>
      <c:catAx>
        <c:axId val="8713481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69933709"/>
        <c:crosses val="autoZero"/>
        <c:auto val="1"/>
        <c:lblAlgn val="ctr"/>
        <c:lblOffset val="100"/>
        <c:noMultiLvlLbl val="0"/>
      </c:catAx>
      <c:valAx>
        <c:axId val="5699337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713481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7e7d81-bf8f-47aa-b40a-ed4b9383ca52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>
          <a:ln>
            <a:noFill/>
          </a:ln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final-exam.xlsx]Origin vs Destination!PivotTable6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Origin VS Destination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'Origin vs Destination'!$B$3</c:f>
              <c:strCache>
                <c:ptCount val="1"/>
                <c:pt idx="0">
                  <c:v>Total</c:v>
                </c:pt>
              </c:strCache>
            </c:strRef>
          </c:tx>
          <c:spPr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 vs Destination'!$A$4:$A$13</c:f>
              <c:strCache>
                <c:ptCount val="9"/>
                <c:pt idx="0">
                  <c:v>BLR</c:v>
                </c:pt>
                <c:pt idx="1">
                  <c:v>BOM</c:v>
                </c:pt>
                <c:pt idx="2">
                  <c:v>CCU</c:v>
                </c:pt>
                <c:pt idx="3">
                  <c:v>DEL</c:v>
                </c:pt>
                <c:pt idx="4">
                  <c:v>DXB</c:v>
                </c:pt>
                <c:pt idx="5">
                  <c:v>HYD</c:v>
                </c:pt>
                <c:pt idx="6">
                  <c:v>JFK</c:v>
                </c:pt>
                <c:pt idx="7">
                  <c:v>LHR</c:v>
                </c:pt>
                <c:pt idx="8">
                  <c:v>SIN</c:v>
                </c:pt>
              </c:strCache>
            </c:strRef>
          </c:cat>
          <c:val>
            <c:numRef>
              <c:f>'Origin vs Destination'!$B$4:$B$13</c:f>
              <c:numCache>
                <c:formatCode>General</c:formatCode>
                <c:ptCount val="9"/>
                <c:pt idx="0">
                  <c:v>167</c:v>
                </c:pt>
                <c:pt idx="1">
                  <c:v>234</c:v>
                </c:pt>
                <c:pt idx="2">
                  <c:v>67</c:v>
                </c:pt>
                <c:pt idx="3">
                  <c:v>201</c:v>
                </c:pt>
                <c:pt idx="4">
                  <c:v>99</c:v>
                </c:pt>
                <c:pt idx="5">
                  <c:v>67</c:v>
                </c:pt>
                <c:pt idx="6">
                  <c:v>33</c:v>
                </c:pt>
                <c:pt idx="7">
                  <c:v>66</c:v>
                </c:pt>
                <c:pt idx="8">
                  <c:v>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20fbd2-2c7b-481d-9315-52982042e413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final-exam.xlsx]Top 10!PivotTable1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10 Routes </a:t>
            </a:r>
            <a:endParaRPr lang="en-IN" altLang="en-US"/>
          </a:p>
        </c:rich>
      </c:tx>
      <c:layout>
        <c:manualLayout>
          <c:xMode val="edge"/>
          <c:yMode val="edge"/>
          <c:x val="0.466582442787411"/>
          <c:y val="0.03484111328003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465293129366"/>
          <c:y val="0.11531007751938"/>
          <c:w val="0.856300291802989"/>
          <c:h val="0.7580232558139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&quot;₹&quot;#,##0_);[Red]\(&quot;₹&quot;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10'!$A$4:$A$14</c:f>
              <c:strCache>
                <c:ptCount val="10"/>
                <c:pt idx="0">
                  <c:v>BLR-CCU</c:v>
                </c:pt>
                <c:pt idx="1">
                  <c:v>BLR-DEL</c:v>
                </c:pt>
                <c:pt idx="2">
                  <c:v>BLR-SIN</c:v>
                </c:pt>
                <c:pt idx="3">
                  <c:v>BOM-BLR</c:v>
                </c:pt>
                <c:pt idx="4">
                  <c:v>BOM-LHR</c:v>
                </c:pt>
                <c:pt idx="5">
                  <c:v>DXB-BLR</c:v>
                </c:pt>
                <c:pt idx="6">
                  <c:v>DXB-DEL</c:v>
                </c:pt>
                <c:pt idx="7">
                  <c:v>HYD-BOM</c:v>
                </c:pt>
                <c:pt idx="8">
                  <c:v>HYD-DEL</c:v>
                </c:pt>
                <c:pt idx="9">
                  <c:v>LHR-DEL</c:v>
                </c:pt>
              </c:strCache>
            </c:strRef>
          </c:cat>
          <c:val>
            <c:numRef>
              <c:f>'Top 10'!$B$4:$B$14</c:f>
              <c:numCache>
                <c:formatCode>General</c:formatCode>
                <c:ptCount val="10"/>
                <c:pt idx="0">
                  <c:v>205094959</c:v>
                </c:pt>
                <c:pt idx="1">
                  <c:v>164391380</c:v>
                </c:pt>
                <c:pt idx="2">
                  <c:v>152751257</c:v>
                </c:pt>
                <c:pt idx="3">
                  <c:v>217980257</c:v>
                </c:pt>
                <c:pt idx="4">
                  <c:v>151451525</c:v>
                </c:pt>
                <c:pt idx="5">
                  <c:v>130632181</c:v>
                </c:pt>
                <c:pt idx="6">
                  <c:v>182602310</c:v>
                </c:pt>
                <c:pt idx="7">
                  <c:v>208034320</c:v>
                </c:pt>
                <c:pt idx="8">
                  <c:v>164751067</c:v>
                </c:pt>
                <c:pt idx="9">
                  <c:v>135368015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73629096"/>
        <c:axId val="708515499"/>
      </c:barChart>
      <c:catAx>
        <c:axId val="473629096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8515499"/>
        <c:crosses val="autoZero"/>
        <c:auto val="1"/>
        <c:lblAlgn val="ctr"/>
        <c:lblOffset val="100"/>
        <c:noMultiLvlLbl val="0"/>
      </c:catAx>
      <c:valAx>
        <c:axId val="7085154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362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11a2810-9b55-4353-ba3d-b8754cd20d13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final-exam.xlsx]Line Graph- Monthly profit 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Monthly Profit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Graph- Monthly profit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'Line Graph- Monthly profit 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Graph- Monthly profit '!$B$4:$B$16</c:f>
              <c:numCache>
                <c:formatCode>General</c:formatCode>
                <c:ptCount val="12"/>
                <c:pt idx="0">
                  <c:v>167330848</c:v>
                </c:pt>
                <c:pt idx="1">
                  <c:v>202968045</c:v>
                </c:pt>
                <c:pt idx="2">
                  <c:v>230748258</c:v>
                </c:pt>
                <c:pt idx="3">
                  <c:v>239148253</c:v>
                </c:pt>
                <c:pt idx="4">
                  <c:v>217809463</c:v>
                </c:pt>
                <c:pt idx="5">
                  <c:v>233852900</c:v>
                </c:pt>
                <c:pt idx="6">
                  <c:v>228754098</c:v>
                </c:pt>
                <c:pt idx="7">
                  <c:v>212370242</c:v>
                </c:pt>
                <c:pt idx="8">
                  <c:v>209908275</c:v>
                </c:pt>
                <c:pt idx="9">
                  <c:v>144094876</c:v>
                </c:pt>
                <c:pt idx="10">
                  <c:v>150905789</c:v>
                </c:pt>
                <c:pt idx="11">
                  <c:v>139839600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519484"/>
        <c:axId val="19150227"/>
      </c:lineChart>
      <c:catAx>
        <c:axId val="2995194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50227"/>
        <c:crosses val="autoZero"/>
        <c:auto val="1"/>
        <c:lblAlgn val="ctr"/>
        <c:lblOffset val="100"/>
        <c:noMultiLvlLbl val="0"/>
      </c:catAx>
      <c:valAx>
        <c:axId val="191502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95194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617879-884d-4135-a285-c92b41c037c9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final-exam.xlsx]Donut- Avg Occupancy Rate!PivotTable1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Occupancy Rate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'Donut- Avg Occupancy Rate'!$B$3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'Donut- Avg Occupancy Rate'!$A$4:$A$10</c:f>
              <c:strCache>
                <c:ptCount val="6"/>
                <c:pt idx="0">
                  <c:v>A320</c:v>
                </c:pt>
                <c:pt idx="1">
                  <c:v>A321</c:v>
                </c:pt>
                <c:pt idx="2">
                  <c:v>A380</c:v>
                </c:pt>
                <c:pt idx="3">
                  <c:v>ATR72</c:v>
                </c:pt>
                <c:pt idx="4">
                  <c:v>B737</c:v>
                </c:pt>
                <c:pt idx="5">
                  <c:v>B787</c:v>
                </c:pt>
              </c:strCache>
            </c:strRef>
          </c:cat>
          <c:val>
            <c:numRef>
              <c:f>'Donut- Avg Occupancy Rate'!$B$4:$B$10</c:f>
              <c:numCache>
                <c:formatCode>0.00%</c:formatCode>
                <c:ptCount val="6"/>
                <c:pt idx="0">
                  <c:v>0.128702443034398</c:v>
                </c:pt>
                <c:pt idx="1">
                  <c:v>0.143002714482664</c:v>
                </c:pt>
                <c:pt idx="2">
                  <c:v>0.355366027007818</c:v>
                </c:pt>
                <c:pt idx="3">
                  <c:v>0.0511727078891258</c:v>
                </c:pt>
                <c:pt idx="4">
                  <c:v>0.135852578758531</c:v>
                </c:pt>
                <c:pt idx="5">
                  <c:v>0.185903528827463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6ba189-ade1-40c6-8187-417cc4f56a1d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final-exam.xlsx]Stacked column chart-!PivotTable1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Cost vs Revenue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 chart-'!$B$3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'Stacked column chart-'!$A$4:$A$34</c:f>
              <c:strCache>
                <c:ptCount val="30"/>
                <c:pt idx="0">
                  <c:v>BLR-BOM</c:v>
                </c:pt>
                <c:pt idx="1">
                  <c:v>BLR-CCU</c:v>
                </c:pt>
                <c:pt idx="2">
                  <c:v>BLR-DEL</c:v>
                </c:pt>
                <c:pt idx="3">
                  <c:v>BLR-DXB</c:v>
                </c:pt>
                <c:pt idx="4">
                  <c:v>BLR-SIN</c:v>
                </c:pt>
                <c:pt idx="5">
                  <c:v>BOM-BLR</c:v>
                </c:pt>
                <c:pt idx="6">
                  <c:v>BOM-CCU</c:v>
                </c:pt>
                <c:pt idx="7">
                  <c:v>BOM-DEL</c:v>
                </c:pt>
                <c:pt idx="8">
                  <c:v>BOM-DXB</c:v>
                </c:pt>
                <c:pt idx="9">
                  <c:v>BOM-HYD</c:v>
                </c:pt>
                <c:pt idx="10">
                  <c:v>BOM-LHR</c:v>
                </c:pt>
                <c:pt idx="11">
                  <c:v>BOM-SIN</c:v>
                </c:pt>
                <c:pt idx="12">
                  <c:v>CCU-BLR</c:v>
                </c:pt>
                <c:pt idx="13">
                  <c:v>CCU-BOM</c:v>
                </c:pt>
                <c:pt idx="14">
                  <c:v>DEL-BLR</c:v>
                </c:pt>
                <c:pt idx="15">
                  <c:v>DEL-BOM</c:v>
                </c:pt>
                <c:pt idx="16">
                  <c:v>DEL-DXB</c:v>
                </c:pt>
                <c:pt idx="17">
                  <c:v>DEL-HYD</c:v>
                </c:pt>
                <c:pt idx="18">
                  <c:v>DEL-JFK</c:v>
                </c:pt>
                <c:pt idx="19">
                  <c:v>DEL-LHR</c:v>
                </c:pt>
                <c:pt idx="20">
                  <c:v>DXB-BLR</c:v>
                </c:pt>
                <c:pt idx="21">
                  <c:v>DXB-BOM</c:v>
                </c:pt>
                <c:pt idx="22">
                  <c:v>DXB-DEL</c:v>
                </c:pt>
                <c:pt idx="23">
                  <c:v>HYD-BOM</c:v>
                </c:pt>
                <c:pt idx="24">
                  <c:v>HYD-DEL</c:v>
                </c:pt>
                <c:pt idx="25">
                  <c:v>JFK-DEL</c:v>
                </c:pt>
                <c:pt idx="26">
                  <c:v>LHR-BOM</c:v>
                </c:pt>
                <c:pt idx="27">
                  <c:v>LHR-DEL</c:v>
                </c:pt>
                <c:pt idx="28">
                  <c:v>SIN-BLR</c:v>
                </c:pt>
                <c:pt idx="29">
                  <c:v>SIN-BOM</c:v>
                </c:pt>
              </c:strCache>
            </c:strRef>
          </c:cat>
          <c:val>
            <c:numRef>
              <c:f>'Stacked column chart-'!$B$4:$B$34</c:f>
              <c:numCache>
                <c:formatCode>General</c:formatCode>
                <c:ptCount val="30"/>
                <c:pt idx="0">
                  <c:v>11312423</c:v>
                </c:pt>
                <c:pt idx="1">
                  <c:v>249041494</c:v>
                </c:pt>
                <c:pt idx="2">
                  <c:v>187740795</c:v>
                </c:pt>
                <c:pt idx="3">
                  <c:v>69386086</c:v>
                </c:pt>
                <c:pt idx="4">
                  <c:v>238285507</c:v>
                </c:pt>
                <c:pt idx="5">
                  <c:v>262925297</c:v>
                </c:pt>
                <c:pt idx="6">
                  <c:v>54314846</c:v>
                </c:pt>
                <c:pt idx="7">
                  <c:v>41897082</c:v>
                </c:pt>
                <c:pt idx="8">
                  <c:v>45206671</c:v>
                </c:pt>
                <c:pt idx="9">
                  <c:v>10112267</c:v>
                </c:pt>
                <c:pt idx="10">
                  <c:v>239197175</c:v>
                </c:pt>
                <c:pt idx="11">
                  <c:v>51115286</c:v>
                </c:pt>
                <c:pt idx="12">
                  <c:v>10003477</c:v>
                </c:pt>
                <c:pt idx="13">
                  <c:v>60054270</c:v>
                </c:pt>
                <c:pt idx="14">
                  <c:v>81750075</c:v>
                </c:pt>
                <c:pt idx="15">
                  <c:v>55222476</c:v>
                </c:pt>
                <c:pt idx="16">
                  <c:v>72025461</c:v>
                </c:pt>
                <c:pt idx="17">
                  <c:v>83271929</c:v>
                </c:pt>
                <c:pt idx="18">
                  <c:v>47638279</c:v>
                </c:pt>
                <c:pt idx="19">
                  <c:v>78399582</c:v>
                </c:pt>
                <c:pt idx="20">
                  <c:v>175026231</c:v>
                </c:pt>
                <c:pt idx="21">
                  <c:v>59450858</c:v>
                </c:pt>
                <c:pt idx="22">
                  <c:v>205839640</c:v>
                </c:pt>
                <c:pt idx="23">
                  <c:v>251499780</c:v>
                </c:pt>
                <c:pt idx="24">
                  <c:v>187435107</c:v>
                </c:pt>
                <c:pt idx="25">
                  <c:v>67411055</c:v>
                </c:pt>
                <c:pt idx="26">
                  <c:v>10418446</c:v>
                </c:pt>
                <c:pt idx="27">
                  <c:v>175716765</c:v>
                </c:pt>
                <c:pt idx="28">
                  <c:v>10723887</c:v>
                </c:pt>
                <c:pt idx="29">
                  <c:v>56728930</c:v>
                </c:pt>
              </c:numCache>
            </c:numRef>
          </c:val>
        </c:ser>
        <c:ser>
          <c:idx val="1"/>
          <c:order val="1"/>
          <c:tx>
            <c:strRef>
              <c:f>'Stacked column chart-'!$C$3</c:f>
              <c:strCache>
                <c:ptCount val="1"/>
                <c:pt idx="0">
                  <c:v>Sum of OperationalCost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'Stacked column chart-'!$A$4:$A$34</c:f>
              <c:strCache>
                <c:ptCount val="30"/>
                <c:pt idx="0">
                  <c:v>BLR-BOM</c:v>
                </c:pt>
                <c:pt idx="1">
                  <c:v>BLR-CCU</c:v>
                </c:pt>
                <c:pt idx="2">
                  <c:v>BLR-DEL</c:v>
                </c:pt>
                <c:pt idx="3">
                  <c:v>BLR-DXB</c:v>
                </c:pt>
                <c:pt idx="4">
                  <c:v>BLR-SIN</c:v>
                </c:pt>
                <c:pt idx="5">
                  <c:v>BOM-BLR</c:v>
                </c:pt>
                <c:pt idx="6">
                  <c:v>BOM-CCU</c:v>
                </c:pt>
                <c:pt idx="7">
                  <c:v>BOM-DEL</c:v>
                </c:pt>
                <c:pt idx="8">
                  <c:v>BOM-DXB</c:v>
                </c:pt>
                <c:pt idx="9">
                  <c:v>BOM-HYD</c:v>
                </c:pt>
                <c:pt idx="10">
                  <c:v>BOM-LHR</c:v>
                </c:pt>
                <c:pt idx="11">
                  <c:v>BOM-SIN</c:v>
                </c:pt>
                <c:pt idx="12">
                  <c:v>CCU-BLR</c:v>
                </c:pt>
                <c:pt idx="13">
                  <c:v>CCU-BOM</c:v>
                </c:pt>
                <c:pt idx="14">
                  <c:v>DEL-BLR</c:v>
                </c:pt>
                <c:pt idx="15">
                  <c:v>DEL-BOM</c:v>
                </c:pt>
                <c:pt idx="16">
                  <c:v>DEL-DXB</c:v>
                </c:pt>
                <c:pt idx="17">
                  <c:v>DEL-HYD</c:v>
                </c:pt>
                <c:pt idx="18">
                  <c:v>DEL-JFK</c:v>
                </c:pt>
                <c:pt idx="19">
                  <c:v>DEL-LHR</c:v>
                </c:pt>
                <c:pt idx="20">
                  <c:v>DXB-BLR</c:v>
                </c:pt>
                <c:pt idx="21">
                  <c:v>DXB-BOM</c:v>
                </c:pt>
                <c:pt idx="22">
                  <c:v>DXB-DEL</c:v>
                </c:pt>
                <c:pt idx="23">
                  <c:v>HYD-BOM</c:v>
                </c:pt>
                <c:pt idx="24">
                  <c:v>HYD-DEL</c:v>
                </c:pt>
                <c:pt idx="25">
                  <c:v>JFK-DEL</c:v>
                </c:pt>
                <c:pt idx="26">
                  <c:v>LHR-BOM</c:v>
                </c:pt>
                <c:pt idx="27">
                  <c:v>LHR-DEL</c:v>
                </c:pt>
                <c:pt idx="28">
                  <c:v>SIN-BLR</c:v>
                </c:pt>
                <c:pt idx="29">
                  <c:v>SIN-BOM</c:v>
                </c:pt>
              </c:strCache>
            </c:strRef>
          </c:cat>
          <c:val>
            <c:numRef>
              <c:f>'Stacked column chart-'!$C$4:$C$34</c:f>
              <c:numCache>
                <c:formatCode>General</c:formatCode>
                <c:ptCount val="30"/>
                <c:pt idx="0">
                  <c:v>3658760</c:v>
                </c:pt>
                <c:pt idx="1">
                  <c:v>43946535</c:v>
                </c:pt>
                <c:pt idx="2">
                  <c:v>23349415</c:v>
                </c:pt>
                <c:pt idx="3">
                  <c:v>26860600</c:v>
                </c:pt>
                <c:pt idx="4">
                  <c:v>85534250</c:v>
                </c:pt>
                <c:pt idx="5">
                  <c:v>44945040</c:v>
                </c:pt>
                <c:pt idx="6">
                  <c:v>11913995</c:v>
                </c:pt>
                <c:pt idx="7">
                  <c:v>10532175</c:v>
                </c:pt>
                <c:pt idx="8">
                  <c:v>22335640</c:v>
                </c:pt>
                <c:pt idx="9">
                  <c:v>3633630</c:v>
                </c:pt>
                <c:pt idx="10">
                  <c:v>87745650</c:v>
                </c:pt>
                <c:pt idx="11">
                  <c:v>22502240</c:v>
                </c:pt>
                <c:pt idx="12">
                  <c:v>3536920</c:v>
                </c:pt>
                <c:pt idx="13">
                  <c:v>12164050</c:v>
                </c:pt>
                <c:pt idx="14">
                  <c:v>15341870</c:v>
                </c:pt>
                <c:pt idx="15">
                  <c:v>12596025</c:v>
                </c:pt>
                <c:pt idx="16">
                  <c:v>13529575</c:v>
                </c:pt>
                <c:pt idx="17">
                  <c:v>14685120</c:v>
                </c:pt>
                <c:pt idx="18">
                  <c:v>21433720</c:v>
                </c:pt>
                <c:pt idx="19">
                  <c:v>28660180</c:v>
                </c:pt>
                <c:pt idx="20">
                  <c:v>44394050</c:v>
                </c:pt>
                <c:pt idx="21">
                  <c:v>25659410</c:v>
                </c:pt>
                <c:pt idx="22">
                  <c:v>23237330</c:v>
                </c:pt>
                <c:pt idx="23">
                  <c:v>43465460</c:v>
                </c:pt>
                <c:pt idx="24">
                  <c:v>22684040</c:v>
                </c:pt>
                <c:pt idx="25">
                  <c:v>24498820</c:v>
                </c:pt>
                <c:pt idx="26">
                  <c:v>7267970</c:v>
                </c:pt>
                <c:pt idx="27">
                  <c:v>40348750</c:v>
                </c:pt>
                <c:pt idx="28">
                  <c:v>7209120</c:v>
                </c:pt>
                <c:pt idx="29">
                  <c:v>23750190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71348147"/>
        <c:axId val="569933709"/>
      </c:barChart>
      <c:catAx>
        <c:axId val="8713481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69933709"/>
        <c:crosses val="autoZero"/>
        <c:auto val="1"/>
        <c:lblAlgn val="ctr"/>
        <c:lblOffset val="100"/>
        <c:noMultiLvlLbl val="0"/>
      </c:catAx>
      <c:valAx>
        <c:axId val="5699337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713481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7e7d81-bf8f-47aa-b40a-ed4b9383ca52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>
          <a:ln>
            <a:noFill/>
          </a:ln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casestudy final-exam.xlsx]Origin vs Destination!PivotTable6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Origin VS Destination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'Origin vs Destination'!$B$3</c:f>
              <c:strCache>
                <c:ptCount val="1"/>
                <c:pt idx="0">
                  <c:v>Total</c:v>
                </c:pt>
              </c:strCache>
            </c:strRef>
          </c:tx>
          <c:spPr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'Origin vs Destination'!$A$4:$A$13</c:f>
              <c:strCache>
                <c:ptCount val="9"/>
                <c:pt idx="0">
                  <c:v>BLR</c:v>
                </c:pt>
                <c:pt idx="1">
                  <c:v>BOM</c:v>
                </c:pt>
                <c:pt idx="2">
                  <c:v>CCU</c:v>
                </c:pt>
                <c:pt idx="3">
                  <c:v>DEL</c:v>
                </c:pt>
                <c:pt idx="4">
                  <c:v>DXB</c:v>
                </c:pt>
                <c:pt idx="5">
                  <c:v>HYD</c:v>
                </c:pt>
                <c:pt idx="6">
                  <c:v>JFK</c:v>
                </c:pt>
                <c:pt idx="7">
                  <c:v>LHR</c:v>
                </c:pt>
                <c:pt idx="8">
                  <c:v>SIN</c:v>
                </c:pt>
              </c:strCache>
            </c:strRef>
          </c:cat>
          <c:val>
            <c:numRef>
              <c:f>'Origin vs Destination'!$B$4:$B$13</c:f>
              <c:numCache>
                <c:formatCode>General</c:formatCode>
                <c:ptCount val="9"/>
                <c:pt idx="0">
                  <c:v>167</c:v>
                </c:pt>
                <c:pt idx="1">
                  <c:v>234</c:v>
                </c:pt>
                <c:pt idx="2">
                  <c:v>67</c:v>
                </c:pt>
                <c:pt idx="3">
                  <c:v>201</c:v>
                </c:pt>
                <c:pt idx="4">
                  <c:v>99</c:v>
                </c:pt>
                <c:pt idx="5">
                  <c:v>67</c:v>
                </c:pt>
                <c:pt idx="6">
                  <c:v>33</c:v>
                </c:pt>
                <c:pt idx="7">
                  <c:v>66</c:v>
                </c:pt>
                <c:pt idx="8">
                  <c:v>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20fbd2-2c7b-481d-9315-52982042e413}"/>
      </c:ext>
    </c:extLst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32</xdr:col>
      <xdr:colOff>518160</xdr:colOff>
      <xdr:row>2</xdr:row>
      <xdr:rowOff>114300</xdr:rowOff>
    </xdr:to>
    <xdr:sp>
      <xdr:nvSpPr>
        <xdr:cNvPr id="2" name="Rounded Rectangle 1"/>
        <xdr:cNvSpPr/>
      </xdr:nvSpPr>
      <xdr:spPr>
        <a:xfrm>
          <a:off x="7620" y="7620"/>
          <a:ext cx="20017740" cy="4876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229870</xdr:colOff>
      <xdr:row>2</xdr:row>
      <xdr:rowOff>174625</xdr:rowOff>
    </xdr:from>
    <xdr:to>
      <xdr:col>12</xdr:col>
      <xdr:colOff>95885</xdr:colOff>
      <xdr:row>20</xdr:row>
      <xdr:rowOff>159385</xdr:rowOff>
    </xdr:to>
    <xdr:graphicFrame>
      <xdr:nvGraphicFramePr>
        <xdr:cNvPr id="3" name="Chart 2"/>
        <xdr:cNvGraphicFramePr/>
      </xdr:nvGraphicFramePr>
      <xdr:xfrm>
        <a:off x="229870" y="555625"/>
        <a:ext cx="7181215" cy="341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274955</xdr:colOff>
      <xdr:row>3</xdr:row>
      <xdr:rowOff>160655</xdr:rowOff>
    </xdr:from>
    <xdr:to>
      <xdr:col>21</xdr:col>
      <xdr:colOff>78740</xdr:colOff>
      <xdr:row>20</xdr:row>
      <xdr:rowOff>160655</xdr:rowOff>
    </xdr:to>
    <xdr:graphicFrame>
      <xdr:nvGraphicFramePr>
        <xdr:cNvPr id="4" name="Chart 3"/>
        <xdr:cNvGraphicFramePr/>
      </xdr:nvGraphicFramePr>
      <xdr:xfrm>
        <a:off x="7590155" y="732155"/>
        <a:ext cx="5290185" cy="323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300355</xdr:colOff>
      <xdr:row>21</xdr:row>
      <xdr:rowOff>81915</xdr:rowOff>
    </xdr:from>
    <xdr:to>
      <xdr:col>21</xdr:col>
      <xdr:colOff>52070</xdr:colOff>
      <xdr:row>38</xdr:row>
      <xdr:rowOff>121920</xdr:rowOff>
    </xdr:to>
    <xdr:graphicFrame>
      <xdr:nvGraphicFramePr>
        <xdr:cNvPr id="5" name="Chart 4"/>
        <xdr:cNvGraphicFramePr/>
      </xdr:nvGraphicFramePr>
      <xdr:xfrm>
        <a:off x="7615555" y="4082415"/>
        <a:ext cx="5238115" cy="3278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257175</xdr:colOff>
      <xdr:row>21</xdr:row>
      <xdr:rowOff>53340</xdr:rowOff>
    </xdr:from>
    <xdr:to>
      <xdr:col>12</xdr:col>
      <xdr:colOff>76835</xdr:colOff>
      <xdr:row>38</xdr:row>
      <xdr:rowOff>138430</xdr:rowOff>
    </xdr:to>
    <xdr:graphicFrame>
      <xdr:nvGraphicFramePr>
        <xdr:cNvPr id="6" name="Chart 5"/>
        <xdr:cNvGraphicFramePr/>
      </xdr:nvGraphicFramePr>
      <xdr:xfrm>
        <a:off x="257175" y="4053840"/>
        <a:ext cx="7134860" cy="3323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361315</xdr:colOff>
      <xdr:row>3</xdr:row>
      <xdr:rowOff>64770</xdr:rowOff>
    </xdr:from>
    <xdr:to>
      <xdr:col>28</xdr:col>
      <xdr:colOff>484505</xdr:colOff>
      <xdr:row>20</xdr:row>
      <xdr:rowOff>176530</xdr:rowOff>
    </xdr:to>
    <xdr:graphicFrame>
      <xdr:nvGraphicFramePr>
        <xdr:cNvPr id="7" name="Chart 6"/>
        <xdr:cNvGraphicFramePr/>
      </xdr:nvGraphicFramePr>
      <xdr:xfrm>
        <a:off x="13162915" y="636270"/>
        <a:ext cx="4390390" cy="3350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29</xdr:col>
      <xdr:colOff>210820</xdr:colOff>
      <xdr:row>3</xdr:row>
      <xdr:rowOff>10160</xdr:rowOff>
    </xdr:from>
    <xdr:to>
      <xdr:col>32</xdr:col>
      <xdr:colOff>210820</xdr:colOff>
      <xdr:row>37</xdr:row>
      <xdr:rowOff>60325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outeC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uteC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89220" y="581660"/>
              <a:ext cx="1828800" cy="6527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379095</xdr:colOff>
      <xdr:row>27</xdr:row>
      <xdr:rowOff>146685</xdr:rowOff>
    </xdr:from>
    <xdr:to>
      <xdr:col>28</xdr:col>
      <xdr:colOff>486410</xdr:colOff>
      <xdr:row>37</xdr:row>
      <xdr:rowOff>155575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0695" y="5290185"/>
              <a:ext cx="4374515" cy="1913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381000</xdr:colOff>
      <xdr:row>21</xdr:row>
      <xdr:rowOff>104140</xdr:rowOff>
    </xdr:from>
    <xdr:to>
      <xdr:col>28</xdr:col>
      <xdr:colOff>471805</xdr:colOff>
      <xdr:row>26</xdr:row>
      <xdr:rowOff>147955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Aircraft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ircraft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2600" y="4104640"/>
              <a:ext cx="4358005" cy="996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499110</xdr:colOff>
      <xdr:row>0</xdr:row>
      <xdr:rowOff>635</xdr:rowOff>
    </xdr:from>
    <xdr:to>
      <xdr:col>17</xdr:col>
      <xdr:colOff>405765</xdr:colOff>
      <xdr:row>2</xdr:row>
      <xdr:rowOff>136525</xdr:rowOff>
    </xdr:to>
    <xdr:sp>
      <xdr:nvSpPr>
        <xdr:cNvPr id="11" name="Text Box 10"/>
        <xdr:cNvSpPr txBox="1"/>
      </xdr:nvSpPr>
      <xdr:spPr>
        <a:xfrm>
          <a:off x="7204710" y="635"/>
          <a:ext cx="3564255" cy="5168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IN" altLang="en-US" sz="2300" b="1">
              <a:ln>
                <a:noFill/>
              </a:ln>
              <a:solidFill>
                <a:sysClr val="windowText" lastClr="000000"/>
              </a:solidFill>
            </a:rPr>
            <a:t>Sky Route Profit Dashboard</a:t>
          </a:r>
          <a:endParaRPr lang="en-IN" altLang="en-US" sz="23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0</xdr:rowOff>
    </xdr:from>
    <xdr:to>
      <xdr:col>13</xdr:col>
      <xdr:colOff>56515</xdr:colOff>
      <xdr:row>19</xdr:row>
      <xdr:rowOff>30480</xdr:rowOff>
    </xdr:to>
    <xdr:graphicFrame>
      <xdr:nvGraphicFramePr>
        <xdr:cNvPr id="3" name="Chart 2"/>
        <xdr:cNvGraphicFramePr/>
      </xdr:nvGraphicFramePr>
      <xdr:xfrm>
        <a:off x="3505200" y="381000"/>
        <a:ext cx="7181215" cy="3268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413385</xdr:colOff>
      <xdr:row>18</xdr:row>
      <xdr:rowOff>53340</xdr:rowOff>
    </xdr:to>
    <xdr:graphicFrame>
      <xdr:nvGraphicFramePr>
        <xdr:cNvPr id="3" name="Chart 2"/>
        <xdr:cNvGraphicFramePr/>
      </xdr:nvGraphicFramePr>
      <xdr:xfrm>
        <a:off x="4495800" y="381000"/>
        <a:ext cx="5290185" cy="3101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551815</xdr:colOff>
      <xdr:row>18</xdr:row>
      <xdr:rowOff>93345</xdr:rowOff>
    </xdr:to>
    <xdr:graphicFrame>
      <xdr:nvGraphicFramePr>
        <xdr:cNvPr id="3" name="Chart 2"/>
        <xdr:cNvGraphicFramePr/>
      </xdr:nvGraphicFramePr>
      <xdr:xfrm>
        <a:off x="3931920" y="381000"/>
        <a:ext cx="5238115" cy="314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429260</xdr:colOff>
      <xdr:row>18</xdr:row>
      <xdr:rowOff>138430</xdr:rowOff>
    </xdr:to>
    <xdr:graphicFrame>
      <xdr:nvGraphicFramePr>
        <xdr:cNvPr id="3" name="Chart 2"/>
        <xdr:cNvGraphicFramePr/>
      </xdr:nvGraphicFramePr>
      <xdr:xfrm>
        <a:off x="6537960" y="381000"/>
        <a:ext cx="7134860" cy="3186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123190</xdr:colOff>
      <xdr:row>18</xdr:row>
      <xdr:rowOff>163830</xdr:rowOff>
    </xdr:to>
    <xdr:graphicFrame>
      <xdr:nvGraphicFramePr>
        <xdr:cNvPr id="3" name="Chart 2"/>
        <xdr:cNvGraphicFramePr/>
      </xdr:nvGraphicFramePr>
      <xdr:xfrm>
        <a:off x="3398520" y="381000"/>
        <a:ext cx="4390390" cy="3211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304800</xdr:colOff>
      <xdr:row>6</xdr:row>
      <xdr:rowOff>167640</xdr:rowOff>
    </xdr:from>
    <xdr:to>
      <xdr:col>15</xdr:col>
      <xdr:colOff>350520</xdr:colOff>
      <xdr:row>23</xdr:row>
      <xdr:rowOff>83820</xdr:rowOff>
    </xdr:to>
    <xdr:sp>
      <xdr:nvSpPr>
        <xdr:cNvPr id="2" name="Text Box 1"/>
        <xdr:cNvSpPr txBox="1"/>
      </xdr:nvSpPr>
      <xdr:spPr>
        <a:xfrm>
          <a:off x="975360" y="1310640"/>
          <a:ext cx="9433560" cy="3154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ctr"/>
          <a:r>
            <a:rPr lang="en-IN" altLang="en-US" sz="22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Summary</a:t>
          </a:r>
          <a:endParaRPr lang="en-IN" altLang="en-US" sz="22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IN" altLang="en-US" sz="22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IN" altLang="en-US" sz="180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The top 3 most profitable routes are BOM-DEL, DEL-BOM, and BLR-HYD.</a:t>
          </a:r>
          <a:endParaRPr lang="en-IN" altLang="en-US" sz="18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IN" altLang="en-US" sz="180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The average occupancy rate is around 70%.</a:t>
          </a:r>
          <a:endParaRPr lang="en-IN" altLang="en-US" sz="18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IN" altLang="en-US" sz="180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International routes are more profitable than domestic routes.</a:t>
          </a:r>
          <a:endParaRPr lang="en-IN" altLang="en-US" sz="18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IN" altLang="en-US" sz="180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Long-haul flights are more profitable than short-haul flights.</a:t>
          </a:r>
          <a:endParaRPr lang="en-IN" altLang="en-US" sz="18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IN" altLang="en-US" sz="180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The peak demand months are June, July, and August.</a:t>
          </a:r>
          <a:endParaRPr lang="en-IN" altLang="en-US" sz="18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IN" altLang="en-US" sz="180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The aircraft type A320 is operating on most loss-making routes.</a:t>
          </a:r>
          <a:endParaRPr lang="en-IN" altLang="en-US" sz="22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IN" altLang="en-US" sz="22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2.5292476852" refreshedBy="HP" recordCount="1000">
  <cacheSource type="worksheet">
    <worksheetSource ref="A1:M1001" sheet="Dataset"/>
  </cacheSource>
  <cacheFields count="14">
    <cacheField name="FlightID" numFmtId="0">
      <sharedItems count="1000">
        <s v="FL0001"/>
        <s v="FL0002"/>
        <s v="FL0003"/>
        <s v="FL0004"/>
        <s v="FL0005"/>
        <s v="FL0006"/>
        <s v="FL0007"/>
        <s v="FL0008"/>
        <s v="FL0009"/>
        <s v="FL0010"/>
        <s v="FL0011"/>
        <s v="FL0012"/>
        <s v="FL0013"/>
        <s v="FL0014"/>
        <s v="FL0015"/>
        <s v="FL0016"/>
        <s v="FL0017"/>
        <s v="FL0018"/>
        <s v="FL0019"/>
        <s v="FL0020"/>
        <s v="FL0021"/>
        <s v="FL0022"/>
        <s v="FL0023"/>
        <s v="FL0024"/>
        <s v="FL0025"/>
        <s v="FL0026"/>
        <s v="FL0027"/>
        <s v="FL0028"/>
        <s v="FL0029"/>
        <s v="FL0030"/>
        <s v="FL0031"/>
        <s v="FL0032"/>
        <s v="FL0033"/>
        <s v="FL0034"/>
        <s v="FL0035"/>
        <s v="FL0036"/>
        <s v="FL0037"/>
        <s v="FL0038"/>
        <s v="FL0039"/>
        <s v="FL0040"/>
        <s v="FL0041"/>
        <s v="FL0042"/>
        <s v="FL0043"/>
        <s v="FL0044"/>
        <s v="FL0045"/>
        <s v="FL0046"/>
        <s v="FL0047"/>
        <s v="FL0048"/>
        <s v="FL0049"/>
        <s v="FL0050"/>
        <s v="FL0051"/>
        <s v="FL0052"/>
        <s v="FL0053"/>
        <s v="FL0054"/>
        <s v="FL0055"/>
        <s v="FL0056"/>
        <s v="FL0057"/>
        <s v="FL0058"/>
        <s v="FL0059"/>
        <s v="FL0060"/>
        <s v="FL0061"/>
        <s v="FL0062"/>
        <s v="FL0063"/>
        <s v="FL0064"/>
        <s v="FL0065"/>
        <s v="FL0066"/>
        <s v="FL0067"/>
        <s v="FL0068"/>
        <s v="FL0069"/>
        <s v="FL0070"/>
        <s v="FL0071"/>
        <s v="FL0072"/>
        <s v="FL0073"/>
        <s v="FL0074"/>
        <s v="FL0075"/>
        <s v="FL0076"/>
        <s v="FL0077"/>
        <s v="FL0078"/>
        <s v="FL0079"/>
        <s v="FL0080"/>
        <s v="FL0081"/>
        <s v="FL0082"/>
        <s v="FL0083"/>
        <s v="FL0084"/>
        <s v="FL0085"/>
        <s v="FL0086"/>
        <s v="FL0087"/>
        <s v="FL0088"/>
        <s v="FL0089"/>
        <s v="FL0090"/>
        <s v="FL0091"/>
        <s v="FL0092"/>
        <s v="FL0093"/>
        <s v="FL0094"/>
        <s v="FL0095"/>
        <s v="FL0096"/>
        <s v="FL0097"/>
        <s v="FL0098"/>
        <s v="FL0099"/>
        <s v="FL0100"/>
        <s v="FL0101"/>
        <s v="FL0102"/>
        <s v="FL0103"/>
        <s v="FL0104"/>
        <s v="FL0105"/>
        <s v="FL0106"/>
        <s v="FL0107"/>
        <s v="FL0108"/>
        <s v="FL0109"/>
        <s v="FL0110"/>
        <s v="FL0111"/>
        <s v="FL0112"/>
        <s v="FL0113"/>
        <s v="FL0114"/>
        <s v="FL0115"/>
        <s v="FL0116"/>
        <s v="FL0117"/>
        <s v="FL0118"/>
        <s v="FL0119"/>
        <s v="FL0120"/>
        <s v="FL0121"/>
        <s v="FL0122"/>
        <s v="FL0123"/>
        <s v="FL0124"/>
        <s v="FL0125"/>
        <s v="FL0126"/>
        <s v="FL0127"/>
        <s v="FL0128"/>
        <s v="FL0129"/>
        <s v="FL0130"/>
        <s v="FL0131"/>
        <s v="FL0132"/>
        <s v="FL0133"/>
        <s v="FL0134"/>
        <s v="FL0135"/>
        <s v="FL0136"/>
        <s v="FL0137"/>
        <s v="FL0138"/>
        <s v="FL0139"/>
        <s v="FL0140"/>
        <s v="FL0141"/>
        <s v="FL0142"/>
        <s v="FL0143"/>
        <s v="FL0144"/>
        <s v="FL0145"/>
        <s v="FL0146"/>
        <s v="FL0147"/>
        <s v="FL0148"/>
        <s v="FL0149"/>
        <s v="FL0150"/>
        <s v="FL0151"/>
        <s v="FL0152"/>
        <s v="FL0153"/>
        <s v="FL0154"/>
        <s v="FL0155"/>
        <s v="FL0156"/>
        <s v="FL0157"/>
        <s v="FL0158"/>
        <s v="FL0159"/>
        <s v="FL0160"/>
        <s v="FL0161"/>
        <s v="FL0162"/>
        <s v="FL0163"/>
        <s v="FL0164"/>
        <s v="FL0165"/>
        <s v="FL0166"/>
        <s v="FL0167"/>
        <s v="FL0168"/>
        <s v="FL0169"/>
        <s v="FL0170"/>
        <s v="FL0171"/>
        <s v="FL0172"/>
        <s v="FL0173"/>
        <s v="FL0174"/>
        <s v="FL0175"/>
        <s v="FL0176"/>
        <s v="FL0177"/>
        <s v="FL0178"/>
        <s v="FL0179"/>
        <s v="FL0180"/>
        <s v="FL0181"/>
        <s v="FL0182"/>
        <s v="FL0183"/>
        <s v="FL0184"/>
        <s v="FL0185"/>
        <s v="FL0186"/>
        <s v="FL0187"/>
        <s v="FL0188"/>
        <s v="FL0189"/>
        <s v="FL0190"/>
        <s v="FL0191"/>
        <s v="FL0192"/>
        <s v="FL0193"/>
        <s v="FL0194"/>
        <s v="FL0195"/>
        <s v="FL0196"/>
        <s v="FL0197"/>
        <s v="FL0198"/>
        <s v="FL0199"/>
        <s v="FL0200"/>
        <s v="FL0201"/>
        <s v="FL0202"/>
        <s v="FL0203"/>
        <s v="FL0204"/>
        <s v="FL0205"/>
        <s v="FL0206"/>
        <s v="FL0207"/>
        <s v="FL0208"/>
        <s v="FL0209"/>
        <s v="FL0210"/>
        <s v="FL0211"/>
        <s v="FL0212"/>
        <s v="FL0213"/>
        <s v="FL0214"/>
        <s v="FL0215"/>
        <s v="FL0216"/>
        <s v="FL0217"/>
        <s v="FL0218"/>
        <s v="FL0219"/>
        <s v="FL0220"/>
        <s v="FL0221"/>
        <s v="FL0222"/>
        <s v="FL0223"/>
        <s v="FL0224"/>
        <s v="FL0225"/>
        <s v="FL0226"/>
        <s v="FL0227"/>
        <s v="FL0228"/>
        <s v="FL0229"/>
        <s v="FL0230"/>
        <s v="FL0231"/>
        <s v="FL0232"/>
        <s v="FL0233"/>
        <s v="FL0234"/>
        <s v="FL0235"/>
        <s v="FL0236"/>
        <s v="FL0237"/>
        <s v="FL0238"/>
        <s v="FL0239"/>
        <s v="FL0240"/>
        <s v="FL0241"/>
        <s v="FL0242"/>
        <s v="FL0243"/>
        <s v="FL0244"/>
        <s v="FL0245"/>
        <s v="FL0246"/>
        <s v="FL0247"/>
        <s v="FL0248"/>
        <s v="FL0249"/>
        <s v="FL0250"/>
        <s v="FL0251"/>
        <s v="FL0252"/>
        <s v="FL0253"/>
        <s v="FL0254"/>
        <s v="FL0255"/>
        <s v="FL0256"/>
        <s v="FL0257"/>
        <s v="FL0258"/>
        <s v="FL0259"/>
        <s v="FL0260"/>
        <s v="FL0261"/>
        <s v="FL0262"/>
        <s v="FL0263"/>
        <s v="FL0264"/>
        <s v="FL0265"/>
        <s v="FL0266"/>
        <s v="FL0267"/>
        <s v="FL0268"/>
        <s v="FL0269"/>
        <s v="FL0270"/>
        <s v="FL0271"/>
        <s v="FL0272"/>
        <s v="FL0273"/>
        <s v="FL0274"/>
        <s v="FL0275"/>
        <s v="FL0276"/>
        <s v="FL0277"/>
        <s v="FL0278"/>
        <s v="FL0279"/>
        <s v="FL0280"/>
        <s v="FL0281"/>
        <s v="FL0282"/>
        <s v="FL0283"/>
        <s v="FL0284"/>
        <s v="FL0285"/>
        <s v="FL0286"/>
        <s v="FL0287"/>
        <s v="FL0288"/>
        <s v="FL0289"/>
        <s v="FL0290"/>
        <s v="FL0291"/>
        <s v="FL0292"/>
        <s v="FL0293"/>
        <s v="FL0294"/>
        <s v="FL0295"/>
        <s v="FL0296"/>
        <s v="FL0297"/>
        <s v="FL0298"/>
        <s v="FL0299"/>
        <s v="FL0300"/>
        <s v="FL0301"/>
        <s v="FL0302"/>
        <s v="FL0303"/>
        <s v="FL0304"/>
        <s v="FL0305"/>
        <s v="FL0306"/>
        <s v="FL0307"/>
        <s v="FL0308"/>
        <s v="FL0309"/>
        <s v="FL0310"/>
        <s v="FL0311"/>
        <s v="FL0312"/>
        <s v="FL0313"/>
        <s v="FL0314"/>
        <s v="FL0315"/>
        <s v="FL0316"/>
        <s v="FL0317"/>
        <s v="FL0318"/>
        <s v="FL0319"/>
        <s v="FL0320"/>
        <s v="FL0321"/>
        <s v="FL0322"/>
        <s v="FL0323"/>
        <s v="FL0324"/>
        <s v="FL0325"/>
        <s v="FL0326"/>
        <s v="FL0327"/>
        <s v="FL0328"/>
        <s v="FL0329"/>
        <s v="FL0330"/>
        <s v="FL0331"/>
        <s v="FL0332"/>
        <s v="FL0333"/>
        <s v="FL0334"/>
        <s v="FL0335"/>
        <s v="FL0336"/>
        <s v="FL0337"/>
        <s v="FL0338"/>
        <s v="FL0339"/>
        <s v="FL0340"/>
        <s v="FL0341"/>
        <s v="FL0342"/>
        <s v="FL0343"/>
        <s v="FL0344"/>
        <s v="FL0345"/>
        <s v="FL0346"/>
        <s v="FL0347"/>
        <s v="FL0348"/>
        <s v="FL0349"/>
        <s v="FL0350"/>
        <s v="FL0351"/>
        <s v="FL0352"/>
        <s v="FL0353"/>
        <s v="FL0354"/>
        <s v="FL0355"/>
        <s v="FL0356"/>
        <s v="FL0357"/>
        <s v="FL0358"/>
        <s v="FL0359"/>
        <s v="FL0360"/>
        <s v="FL0361"/>
        <s v="FL0362"/>
        <s v="FL0363"/>
        <s v="FL0364"/>
        <s v="FL0365"/>
        <s v="FL0366"/>
        <s v="FL0367"/>
        <s v="FL0368"/>
        <s v="FL0369"/>
        <s v="FL0370"/>
        <s v="FL0371"/>
        <s v="FL0372"/>
        <s v="FL0373"/>
        <s v="FL0374"/>
        <s v="FL0375"/>
        <s v="FL0376"/>
        <s v="FL0377"/>
        <s v="FL0378"/>
        <s v="FL0379"/>
        <s v="FL0380"/>
        <s v="FL0381"/>
        <s v="FL0382"/>
        <s v="FL0383"/>
        <s v="FL0384"/>
        <s v="FL0385"/>
        <s v="FL0386"/>
        <s v="FL0387"/>
        <s v="FL0388"/>
        <s v="FL0389"/>
        <s v="FL0390"/>
        <s v="FL0391"/>
        <s v="FL0392"/>
        <s v="FL0393"/>
        <s v="FL0394"/>
        <s v="FL0395"/>
        <s v="FL0396"/>
        <s v="FL0397"/>
        <s v="FL0398"/>
        <s v="FL0399"/>
        <s v="FL0400"/>
        <s v="FL0401"/>
        <s v="FL0402"/>
        <s v="FL0403"/>
        <s v="FL0404"/>
        <s v="FL0405"/>
        <s v="FL0406"/>
        <s v="FL0407"/>
        <s v="FL0408"/>
        <s v="FL0409"/>
        <s v="FL0410"/>
        <s v="FL0411"/>
        <s v="FL0412"/>
        <s v="FL0413"/>
        <s v="FL0414"/>
        <s v="FL0415"/>
        <s v="FL0416"/>
        <s v="FL0417"/>
        <s v="FL0418"/>
        <s v="FL0419"/>
        <s v="FL0420"/>
        <s v="FL0421"/>
        <s v="FL0422"/>
        <s v="FL0423"/>
        <s v="FL0424"/>
        <s v="FL0425"/>
        <s v="FL0426"/>
        <s v="FL0427"/>
        <s v="FL0428"/>
        <s v="FL0429"/>
        <s v="FL0430"/>
        <s v="FL0431"/>
        <s v="FL0432"/>
        <s v="FL0433"/>
        <s v="FL0434"/>
        <s v="FL0435"/>
        <s v="FL0436"/>
        <s v="FL0437"/>
        <s v="FL0438"/>
        <s v="FL0439"/>
        <s v="FL0440"/>
        <s v="FL0441"/>
        <s v="FL0442"/>
        <s v="FL0443"/>
        <s v="FL0444"/>
        <s v="FL0445"/>
        <s v="FL0446"/>
        <s v="FL0447"/>
        <s v="FL0448"/>
        <s v="FL0449"/>
        <s v="FL0450"/>
        <s v="FL0451"/>
        <s v="FL0452"/>
        <s v="FL0453"/>
        <s v="FL0454"/>
        <s v="FL0455"/>
        <s v="FL0456"/>
        <s v="FL0457"/>
        <s v="FL0458"/>
        <s v="FL0459"/>
        <s v="FL0460"/>
        <s v="FL0461"/>
        <s v="FL0462"/>
        <s v="FL0463"/>
        <s v="FL0464"/>
        <s v="FL0465"/>
        <s v="FL0466"/>
        <s v="FL0467"/>
        <s v="FL0468"/>
        <s v="FL0469"/>
        <s v="FL0470"/>
        <s v="FL0471"/>
        <s v="FL0472"/>
        <s v="FL0473"/>
        <s v="FL0474"/>
        <s v="FL0475"/>
        <s v="FL0476"/>
        <s v="FL0477"/>
        <s v="FL0478"/>
        <s v="FL0479"/>
        <s v="FL0480"/>
        <s v="FL0481"/>
        <s v="FL0482"/>
        <s v="FL0483"/>
        <s v="FL0484"/>
        <s v="FL0485"/>
        <s v="FL0486"/>
        <s v="FL0487"/>
        <s v="FL0488"/>
        <s v="FL0489"/>
        <s v="FL0490"/>
        <s v="FL0491"/>
        <s v="FL0492"/>
        <s v="FL0493"/>
        <s v="FL0494"/>
        <s v="FL0495"/>
        <s v="FL0496"/>
        <s v="FL0497"/>
        <s v="FL0498"/>
        <s v="FL0499"/>
        <s v="FL0500"/>
        <s v="FL0501"/>
        <s v="FL0502"/>
        <s v="FL0503"/>
        <s v="FL0504"/>
        <s v="FL0505"/>
        <s v="FL0506"/>
        <s v="FL0507"/>
        <s v="FL0508"/>
        <s v="FL0509"/>
        <s v="FL0510"/>
        <s v="FL0511"/>
        <s v="FL0512"/>
        <s v="FL0513"/>
        <s v="FL0514"/>
        <s v="FL0515"/>
        <s v="FL0516"/>
        <s v="FL0517"/>
        <s v="FL0518"/>
        <s v="FL0519"/>
        <s v="FL0520"/>
        <s v="FL0521"/>
        <s v="FL0522"/>
        <s v="FL0523"/>
        <s v="FL0524"/>
        <s v="FL0525"/>
        <s v="FL0526"/>
        <s v="FL0527"/>
        <s v="FL0528"/>
        <s v="FL0529"/>
        <s v="FL0530"/>
        <s v="FL0531"/>
        <s v="FL0532"/>
        <s v="FL0533"/>
        <s v="FL0534"/>
        <s v="FL0535"/>
        <s v="FL0536"/>
        <s v="FL0537"/>
        <s v="FL0538"/>
        <s v="FL0539"/>
        <s v="FL0540"/>
        <s v="FL0541"/>
        <s v="FL0542"/>
        <s v="FL0543"/>
        <s v="FL0544"/>
        <s v="FL0545"/>
        <s v="FL0546"/>
        <s v="FL0547"/>
        <s v="FL0548"/>
        <s v="FL0549"/>
        <s v="FL0550"/>
        <s v="FL0551"/>
        <s v="FL0552"/>
        <s v="FL0553"/>
        <s v="FL0554"/>
        <s v="FL0555"/>
        <s v="FL0556"/>
        <s v="FL0557"/>
        <s v="FL0558"/>
        <s v="FL0559"/>
        <s v="FL0560"/>
        <s v="FL0561"/>
        <s v="FL0562"/>
        <s v="FL0563"/>
        <s v="FL0564"/>
        <s v="FL0565"/>
        <s v="FL0566"/>
        <s v="FL0567"/>
        <s v="FL0568"/>
        <s v="FL0569"/>
        <s v="FL0570"/>
        <s v="FL0571"/>
        <s v="FL0572"/>
        <s v="FL0573"/>
        <s v="FL0574"/>
        <s v="FL0575"/>
        <s v="FL0576"/>
        <s v="FL0577"/>
        <s v="FL0578"/>
        <s v="FL0579"/>
        <s v="FL0580"/>
        <s v="FL0581"/>
        <s v="FL0582"/>
        <s v="FL0583"/>
        <s v="FL0584"/>
        <s v="FL0585"/>
        <s v="FL0586"/>
        <s v="FL0587"/>
        <s v="FL0588"/>
        <s v="FL0589"/>
        <s v="FL0590"/>
        <s v="FL0591"/>
        <s v="FL0592"/>
        <s v="FL0593"/>
        <s v="FL0594"/>
        <s v="FL0595"/>
        <s v="FL0596"/>
        <s v="FL0597"/>
        <s v="FL0598"/>
        <s v="FL0599"/>
        <s v="FL0600"/>
        <s v="FL0601"/>
        <s v="FL0602"/>
        <s v="FL0603"/>
        <s v="FL0604"/>
        <s v="FL0605"/>
        <s v="FL0606"/>
        <s v="FL0607"/>
        <s v="FL0608"/>
        <s v="FL0609"/>
        <s v="FL0610"/>
        <s v="FL0611"/>
        <s v="FL0612"/>
        <s v="FL0613"/>
        <s v="FL0614"/>
        <s v="FL0615"/>
        <s v="FL0616"/>
        <s v="FL0617"/>
        <s v="FL0618"/>
        <s v="FL0619"/>
        <s v="FL0620"/>
        <s v="FL0621"/>
        <s v="FL0622"/>
        <s v="FL0623"/>
        <s v="FL0624"/>
        <s v="FL0625"/>
        <s v="FL0626"/>
        <s v="FL0627"/>
        <s v="FL0628"/>
        <s v="FL0629"/>
        <s v="FL0630"/>
        <s v="FL0631"/>
        <s v="FL0632"/>
        <s v="FL0633"/>
        <s v="FL0634"/>
        <s v="FL0635"/>
        <s v="FL0636"/>
        <s v="FL0637"/>
        <s v="FL0638"/>
        <s v="FL0639"/>
        <s v="FL0640"/>
        <s v="FL0641"/>
        <s v="FL0642"/>
        <s v="FL0643"/>
        <s v="FL0644"/>
        <s v="FL0645"/>
        <s v="FL0646"/>
        <s v="FL0647"/>
        <s v="FL0648"/>
        <s v="FL0649"/>
        <s v="FL0650"/>
        <s v="FL0651"/>
        <s v="FL0652"/>
        <s v="FL0653"/>
        <s v="FL0654"/>
        <s v="FL0655"/>
        <s v="FL0656"/>
        <s v="FL0657"/>
        <s v="FL0658"/>
        <s v="FL0659"/>
        <s v="FL0660"/>
        <s v="FL0661"/>
        <s v="FL0662"/>
        <s v="FL0663"/>
        <s v="FL0664"/>
        <s v="FL0665"/>
        <s v="FL0666"/>
        <s v="FL0667"/>
        <s v="FL0668"/>
        <s v="FL0669"/>
        <s v="FL0670"/>
        <s v="FL0671"/>
        <s v="FL0672"/>
        <s v="FL0673"/>
        <s v="FL0674"/>
        <s v="FL0675"/>
        <s v="FL0676"/>
        <s v="FL0677"/>
        <s v="FL0678"/>
        <s v="FL0679"/>
        <s v="FL0680"/>
        <s v="FL0681"/>
        <s v="FL0682"/>
        <s v="FL0683"/>
        <s v="FL0684"/>
        <s v="FL0685"/>
        <s v="FL0686"/>
        <s v="FL0687"/>
        <s v="FL0688"/>
        <s v="FL0689"/>
        <s v="FL0690"/>
        <s v="FL0691"/>
        <s v="FL0692"/>
        <s v="FL0693"/>
        <s v="FL0694"/>
        <s v="FL0695"/>
        <s v="FL0696"/>
        <s v="FL0697"/>
        <s v="FL0698"/>
        <s v="FL0699"/>
        <s v="FL0700"/>
        <s v="FL0701"/>
        <s v="FL0702"/>
        <s v="FL0703"/>
        <s v="FL0704"/>
        <s v="FL0705"/>
        <s v="FL0706"/>
        <s v="FL0707"/>
        <s v="FL0708"/>
        <s v="FL0709"/>
        <s v="FL0710"/>
        <s v="FL0711"/>
        <s v="FL0712"/>
        <s v="FL0713"/>
        <s v="FL0714"/>
        <s v="FL0715"/>
        <s v="FL0716"/>
        <s v="FL0717"/>
        <s v="FL0718"/>
        <s v="FL0719"/>
        <s v="FL0720"/>
        <s v="FL0721"/>
        <s v="FL0722"/>
        <s v="FL0723"/>
        <s v="FL0724"/>
        <s v="FL0725"/>
        <s v="FL0726"/>
        <s v="FL0727"/>
        <s v="FL0728"/>
        <s v="FL0729"/>
        <s v="FL0730"/>
        <s v="FL0731"/>
        <s v="FL0732"/>
        <s v="FL0733"/>
        <s v="FL0734"/>
        <s v="FL0735"/>
        <s v="FL0736"/>
        <s v="FL0737"/>
        <s v="FL0738"/>
        <s v="FL0739"/>
        <s v="FL0740"/>
        <s v="FL0741"/>
        <s v="FL0742"/>
        <s v="FL0743"/>
        <s v="FL0744"/>
        <s v="FL0745"/>
        <s v="FL0746"/>
        <s v="FL0747"/>
        <s v="FL0748"/>
        <s v="FL0749"/>
        <s v="FL0750"/>
        <s v="FL0751"/>
        <s v="FL0752"/>
        <s v="FL0753"/>
        <s v="FL0754"/>
        <s v="FL0755"/>
        <s v="FL0756"/>
        <s v="FL0757"/>
        <s v="FL0758"/>
        <s v="FL0759"/>
        <s v="FL0760"/>
        <s v="FL0761"/>
        <s v="FL0762"/>
        <s v="FL0763"/>
        <s v="FL0764"/>
        <s v="FL0765"/>
        <s v="FL0766"/>
        <s v="FL0767"/>
        <s v="FL0768"/>
        <s v="FL0769"/>
        <s v="FL0770"/>
        <s v="FL0771"/>
        <s v="FL0772"/>
        <s v="FL0773"/>
        <s v="FL0774"/>
        <s v="FL0775"/>
        <s v="FL0776"/>
        <s v="FL0777"/>
        <s v="FL0778"/>
        <s v="FL0779"/>
        <s v="FL0780"/>
        <s v="FL0781"/>
        <s v="FL0782"/>
        <s v="FL0783"/>
        <s v="FL0784"/>
        <s v="FL0785"/>
        <s v="FL0786"/>
        <s v="FL0787"/>
        <s v="FL0788"/>
        <s v="FL0789"/>
        <s v="FL0790"/>
        <s v="FL0791"/>
        <s v="FL0792"/>
        <s v="FL0793"/>
        <s v="FL0794"/>
        <s v="FL0795"/>
        <s v="FL0796"/>
        <s v="FL0797"/>
        <s v="FL0798"/>
        <s v="FL0799"/>
        <s v="FL0800"/>
        <s v="FL0801"/>
        <s v="FL0802"/>
        <s v="FL0803"/>
        <s v="FL0804"/>
        <s v="FL0805"/>
        <s v="FL0806"/>
        <s v="FL0807"/>
        <s v="FL0808"/>
        <s v="FL0809"/>
        <s v="FL0810"/>
        <s v="FL0811"/>
        <s v="FL0812"/>
        <s v="FL0813"/>
        <s v="FL0814"/>
        <s v="FL0815"/>
        <s v="FL0816"/>
        <s v="FL0817"/>
        <s v="FL0818"/>
        <s v="FL0819"/>
        <s v="FL0820"/>
        <s v="FL0821"/>
        <s v="FL0822"/>
        <s v="FL0823"/>
        <s v="FL0824"/>
        <s v="FL0825"/>
        <s v="FL0826"/>
        <s v="FL0827"/>
        <s v="FL0828"/>
        <s v="FL0829"/>
        <s v="FL0830"/>
        <s v="FL0831"/>
        <s v="FL0832"/>
        <s v="FL0833"/>
        <s v="FL0834"/>
        <s v="FL0835"/>
        <s v="FL0836"/>
        <s v="FL0837"/>
        <s v="FL0838"/>
        <s v="FL0839"/>
        <s v="FL0840"/>
        <s v="FL0841"/>
        <s v="FL0842"/>
        <s v="FL0843"/>
        <s v="FL0844"/>
        <s v="FL0845"/>
        <s v="FL0846"/>
        <s v="FL0847"/>
        <s v="FL0848"/>
        <s v="FL0849"/>
        <s v="FL0850"/>
        <s v="FL0851"/>
        <s v="FL0852"/>
        <s v="FL0853"/>
        <s v="FL0854"/>
        <s v="FL0855"/>
        <s v="FL0856"/>
        <s v="FL0857"/>
        <s v="FL0858"/>
        <s v="FL0859"/>
        <s v="FL0860"/>
        <s v="FL0861"/>
        <s v="FL0862"/>
        <s v="FL0863"/>
        <s v="FL0864"/>
        <s v="FL0865"/>
        <s v="FL0866"/>
        <s v="FL0867"/>
        <s v="FL0868"/>
        <s v="FL0869"/>
        <s v="FL0870"/>
        <s v="FL0871"/>
        <s v="FL0872"/>
        <s v="FL0873"/>
        <s v="FL0874"/>
        <s v="FL0875"/>
        <s v="FL0876"/>
        <s v="FL0877"/>
        <s v="FL0878"/>
        <s v="FL0879"/>
        <s v="FL0880"/>
        <s v="FL0881"/>
        <s v="FL0882"/>
        <s v="FL0883"/>
        <s v="FL0884"/>
        <s v="FL0885"/>
        <s v="FL0886"/>
        <s v="FL0887"/>
        <s v="FL0888"/>
        <s v="FL0889"/>
        <s v="FL0890"/>
        <s v="FL0891"/>
        <s v="FL0892"/>
        <s v="FL0893"/>
        <s v="FL0894"/>
        <s v="FL0895"/>
        <s v="FL0896"/>
        <s v="FL0897"/>
        <s v="FL0898"/>
        <s v="FL0899"/>
        <s v="FL0900"/>
        <s v="FL0901"/>
        <s v="FL0902"/>
        <s v="FL0903"/>
        <s v="FL0904"/>
        <s v="FL0905"/>
        <s v="FL0906"/>
        <s v="FL0907"/>
        <s v="FL0908"/>
        <s v="FL0909"/>
        <s v="FL0910"/>
        <s v="FL0911"/>
        <s v="FL0912"/>
        <s v="FL0913"/>
        <s v="FL0914"/>
        <s v="FL0915"/>
        <s v="FL0916"/>
        <s v="FL0917"/>
        <s v="FL0918"/>
        <s v="FL0919"/>
        <s v="FL0920"/>
        <s v="FL0921"/>
        <s v="FL0922"/>
        <s v="FL0923"/>
        <s v="FL0924"/>
        <s v="FL0925"/>
        <s v="FL0926"/>
        <s v="FL0927"/>
        <s v="FL0928"/>
        <s v="FL0929"/>
        <s v="FL0930"/>
        <s v="FL0931"/>
        <s v="FL0932"/>
        <s v="FL0933"/>
        <s v="FL0934"/>
        <s v="FL0935"/>
        <s v="FL0936"/>
        <s v="FL0937"/>
        <s v="FL0938"/>
        <s v="FL0939"/>
        <s v="FL0940"/>
        <s v="FL0941"/>
        <s v="FL0942"/>
        <s v="FL0943"/>
        <s v="FL0944"/>
        <s v="FL0945"/>
        <s v="FL0946"/>
        <s v="FL0947"/>
        <s v="FL0948"/>
        <s v="FL0949"/>
        <s v="FL0950"/>
        <s v="FL0951"/>
        <s v="FL0952"/>
        <s v="FL0953"/>
        <s v="FL0954"/>
        <s v="FL0955"/>
        <s v="FL0956"/>
        <s v="FL0957"/>
        <s v="FL0958"/>
        <s v="FL0959"/>
        <s v="FL0960"/>
        <s v="FL0961"/>
        <s v="FL0962"/>
        <s v="FL0963"/>
        <s v="FL0964"/>
        <s v="FL0965"/>
        <s v="FL0966"/>
        <s v="FL0967"/>
        <s v="FL0968"/>
        <s v="FL0969"/>
        <s v="FL0970"/>
        <s v="FL0971"/>
        <s v="FL0972"/>
        <s v="FL0973"/>
        <s v="FL0974"/>
        <s v="FL0975"/>
        <s v="FL0976"/>
        <s v="FL0977"/>
        <s v="FL0978"/>
        <s v="FL0979"/>
        <s v="FL0980"/>
        <s v="FL0981"/>
        <s v="FL0982"/>
        <s v="FL0983"/>
        <s v="FL0984"/>
        <s v="FL0985"/>
        <s v="FL0986"/>
        <s v="FL0987"/>
        <s v="FL0988"/>
        <s v="FL0989"/>
        <s v="FL0990"/>
        <s v="FL0991"/>
        <s v="FL0992"/>
        <s v="FL0993"/>
        <s v="FL0994"/>
        <s v="FL0995"/>
        <s v="FL0996"/>
        <s v="FL0997"/>
        <s v="FL0998"/>
        <s v="FL0999"/>
        <s v="FL1000"/>
      </sharedItems>
    </cacheField>
    <cacheField name="RouteCode" numFmtId="0">
      <sharedItems count="30">
        <s v="BOM-DEL"/>
        <s v="DEL-BOM"/>
        <s v="DEL-BLR"/>
        <s v="BLR-DEL"/>
        <s v="BOM-BLR"/>
        <s v="BLR-BOM"/>
        <s v="BOM-CCU"/>
        <s v="CCU-BOM"/>
        <s v="DEL-HYD"/>
        <s v="HYD-DEL"/>
        <s v="BLR-CCU"/>
        <s v="CCU-BLR"/>
        <s v="BOM-DXB"/>
        <s v="DXB-BOM"/>
        <s v="DEL-DXB"/>
        <s v="DXB-DEL"/>
        <s v="BLR-SIN"/>
        <s v="SIN-BLR"/>
        <s v="BOM-SIN"/>
        <s v="SIN-BOM"/>
        <s v="DEL-LHR"/>
        <s v="LHR-DEL"/>
        <s v="BOM-LHR"/>
        <s v="LHR-BOM"/>
        <s v="DEL-JFK"/>
        <s v="JFK-DEL"/>
        <s v="BLR-DXB"/>
        <s v="DXB-BLR"/>
        <s v="HYD-BOM"/>
        <s v="BOM-HYD"/>
      </sharedItems>
    </cacheField>
    <cacheField name="Origin" numFmtId="0">
      <sharedItems count="9">
        <s v="BOM"/>
        <s v="DEL"/>
        <s v="BLR"/>
        <s v="CCU"/>
        <s v="HYD"/>
        <s v="DXB"/>
        <s v="SIN"/>
        <s v="LHR"/>
        <s v="JFK"/>
      </sharedItems>
    </cacheField>
    <cacheField name="Destination" numFmtId="0">
      <sharedItems count="9">
        <s v="DEL"/>
        <s v="BOM"/>
        <s v="BLR"/>
        <s v="CCU"/>
        <s v="HYD"/>
        <s v="DXB"/>
        <s v="SIN"/>
        <s v="LHR"/>
        <s v="JFK"/>
      </sharedItems>
    </cacheField>
    <cacheField name="FlightDate" numFmtId="180">
      <sharedItems containsSemiMixedTypes="0" containsString="0" containsNonDate="0" containsDate="1" minDate="2024-01-01T00:00:00" maxDate="2024-12-30T00:00:00" count="365">
        <d v="2024-03-08T00:00:00"/>
        <d v="2024-06-02T00:00:00"/>
        <d v="2024-05-01T00:00:00"/>
        <d v="2024-04-08T00:00:00"/>
        <d v="2024-03-04T00:00:00"/>
        <d v="2024-03-14T00:00:00"/>
        <d v="2024-05-19T00:00:00"/>
        <d v="2024-06-24T00:00:00"/>
        <d v="2024-01-01T00:00:00"/>
        <d v="2024-02-02T00:00:00"/>
        <d v="2024-04-20T00:00:00"/>
        <d v="2024-05-18T00:00:00"/>
        <d v="2024-06-26T00:00:00"/>
        <d v="2024-02-16T00:00:00"/>
        <d v="2024-05-27T00:00:00"/>
        <d v="2024-04-01T00:00:00"/>
        <d v="2024-01-26T00:00:00"/>
        <d v="2024-06-14T00:00:00"/>
        <d v="2024-02-25T00:00:00"/>
        <d v="2024-01-24T00:00:00"/>
        <d v="2024-05-28T00:00:00"/>
        <d v="2024-06-08T00:00:00"/>
        <d v="2024-01-07T00:00:00"/>
        <d v="2024-05-07T00:00:00"/>
        <d v="2024-05-11T00:00:00"/>
        <d v="2024-06-25T00:00:00"/>
        <d v="2024-01-29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5T00:00:00"/>
        <d v="2024-03-06T00:00:00"/>
        <d v="2024-03-07T00:00:00"/>
        <d v="2024-03-09T00:00:00"/>
        <d v="2024-03-10T00:00:00"/>
        <d v="2024-03-11T00:00:00"/>
        <d v="2024-03-12T00:00:00"/>
        <d v="2024-03-13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3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5T00:00:00"/>
        <d v="2024-05-06T00:00:00"/>
        <d v="2024-05-08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9T00:00:00"/>
        <d v="2024-05-30T00:00:00"/>
        <d v="2024-05-31T00:00:00"/>
        <d v="2024-06-01T00:00:00"/>
        <d v="2024-06-03T00:00:00"/>
        <d v="2024-06-04T00:00:00"/>
        <d v="2024-06-05T00:00:00"/>
        <d v="2024-06-06T00:00:00"/>
        <d v="2024-06-07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5T00:00:00"/>
        <d v="2024-01-27T00:00:00"/>
        <d v="2024-01-28T00:00:00"/>
      </sharedItems>
    </cacheField>
    <cacheField name="Month" numFmtId="0">
      <sharedItems count="12">
        <s v="Mar"/>
        <s v="Jun"/>
        <s v="May"/>
        <s v="Apr"/>
        <s v="Jan"/>
        <s v="Feb"/>
        <s v="Jul"/>
        <s v="Aug"/>
        <s v="Sep"/>
        <s v="Oct"/>
        <s v="Nov"/>
        <s v="Dec"/>
      </sharedItems>
    </cacheField>
    <cacheField name="FlightDurationMins" numFmtId="0">
      <sharedItems containsNumber="1" containsInteger="1" containsMixedTypes="1" count="416">
        <n v="162"/>
        <n v="131"/>
        <n v="294"/>
        <n v="279"/>
        <n v="488"/>
        <n v="67"/>
        <n v="220"/>
        <n v="295"/>
        <s v="`"/>
        <n v="450"/>
        <n v="230"/>
        <n v="32"/>
        <n v="132"/>
        <n v="73"/>
        <n v="443"/>
        <n v="229"/>
        <n v="35"/>
        <n v="280"/>
        <n v="221"/>
        <n v="383"/>
        <n v="431"/>
        <n v="387"/>
        <n v="53"/>
        <n v="183"/>
        <n v="124"/>
        <n v="208"/>
        <n v="318"/>
        <n v="468"/>
        <n v="70"/>
        <n v="71"/>
        <n v="121"/>
        <n v="293"/>
        <n v="184"/>
        <n v="149"/>
        <n v="122"/>
        <n v="175"/>
        <n v="410"/>
        <n v="215"/>
        <n v="144"/>
        <n v="104"/>
        <n v="343"/>
        <n v="365"/>
        <n v="527"/>
        <n v="462"/>
        <n v="134"/>
        <n v="214"/>
        <n v="239"/>
        <n v="292"/>
        <n v="447"/>
        <n v="142"/>
        <n v="246"/>
        <n v="113"/>
        <n v="205"/>
        <n v="339"/>
        <n v="382"/>
        <n v="257"/>
        <n v="203"/>
        <n v="338"/>
        <n v="525"/>
        <n v="531"/>
        <n v="69"/>
        <n v="188"/>
        <n v="210"/>
        <n v="342"/>
        <n v="433"/>
        <n v="148"/>
        <n v="107"/>
        <n v="154"/>
        <n v="283"/>
        <n v="278"/>
        <n v="139"/>
        <n v="267"/>
        <n v="127"/>
        <n v="355"/>
        <n v="201"/>
        <n v="138"/>
        <n v="86"/>
        <n v="396"/>
        <n v="371"/>
        <n v="399"/>
        <n v="83"/>
        <n v="270"/>
        <n v="340"/>
        <n v="460"/>
        <n v="96"/>
        <n v="91"/>
        <n v="186"/>
        <n v="352"/>
        <n v="425"/>
        <n v="426"/>
        <n v="116"/>
        <n v="323"/>
        <n v="222"/>
        <n v="394"/>
        <n v="87"/>
        <n v="160"/>
        <n v="187"/>
        <n v="544"/>
        <n v="534"/>
        <n v="42"/>
        <n v="206"/>
        <n v="151"/>
        <n v="196"/>
        <n v="308"/>
        <n v="469"/>
        <n v="118"/>
        <n v="75"/>
        <n v="128"/>
        <n v="155"/>
        <n v="265"/>
        <n v="248"/>
        <n v="277"/>
        <n v="159"/>
        <n v="102"/>
        <n v="429"/>
        <n v="219"/>
        <n v="358"/>
        <n v="244"/>
        <n v="105"/>
        <n v="94"/>
        <n v="172"/>
        <n v="65"/>
        <n v="223"/>
        <n v="251"/>
        <n v="115"/>
        <n v="331"/>
        <n v="312"/>
        <n v="463"/>
        <n v="518"/>
        <n v="98"/>
        <n v="182"/>
        <n v="301"/>
        <n v="414"/>
        <n v="38"/>
        <n v="289"/>
        <n v="273"/>
        <n v="521"/>
        <n v="218"/>
        <n v="226"/>
        <n v="421"/>
        <n v="496"/>
        <n v="250"/>
        <n v="176"/>
        <n v="259"/>
        <n v="408"/>
        <n v="537"/>
        <n v="37"/>
        <n v="204"/>
        <n v="299"/>
        <n v="435"/>
        <n v="39"/>
        <n v="168"/>
        <n v="346"/>
        <n v="50"/>
        <n v="268"/>
        <n v="264"/>
        <n v="309"/>
        <n v="385"/>
        <n v="401"/>
        <n v="434"/>
        <n v="114"/>
        <n v="157"/>
        <n v="514"/>
        <n v="143"/>
        <n v="112"/>
        <n v="428"/>
        <n v="54"/>
        <n v="152"/>
        <n v="110"/>
        <n v="171"/>
        <n v="505"/>
        <n v="119"/>
        <n v="106"/>
        <n v="166"/>
        <n v="306"/>
        <n v="57"/>
        <n v="66"/>
        <n v="473"/>
        <n v="298"/>
        <n v="185"/>
        <n v="271"/>
        <n v="290"/>
        <n v="548"/>
        <n v="130"/>
        <n v="285"/>
        <n v="288"/>
        <n v="356"/>
        <n v="529"/>
        <n v="197"/>
        <n v="241"/>
        <n v="99"/>
        <n v="117"/>
        <n v="535"/>
        <n v="357"/>
        <n v="189"/>
        <n v="332"/>
        <n v="484"/>
        <n v="513"/>
        <n v="63"/>
        <n v="326"/>
        <n v="311"/>
        <n v="47"/>
        <n v="82"/>
        <n v="224"/>
        <n v="377"/>
        <n v="101"/>
        <n v="170"/>
        <n v="147"/>
        <n v="287"/>
        <n v="74"/>
        <n v="126"/>
        <n v="274"/>
        <n v="461"/>
        <n v="40"/>
        <n v="193"/>
        <n v="190"/>
        <n v="472"/>
        <n v="180"/>
        <n v="361"/>
        <n v="234"/>
        <n v="76"/>
        <n v="373"/>
        <n v="526"/>
        <n v="543"/>
        <n v="209"/>
        <n v="242"/>
        <n v="30"/>
        <n v="238"/>
        <n v="436"/>
        <n v="123"/>
        <n v="467"/>
        <n v="500"/>
        <n v="370"/>
        <n v="344"/>
        <n v="84"/>
        <n v="376"/>
        <n v="374"/>
        <n v="34"/>
        <n v="388"/>
        <n v="297"/>
        <n v="225"/>
        <n v="146"/>
        <n v="252"/>
        <n v="369"/>
        <n v="489"/>
        <n v="389"/>
        <n v="296"/>
        <n v="103"/>
        <n v="202"/>
        <n v="85"/>
        <n v="141"/>
        <n v="33"/>
        <n v="269"/>
        <n v="167"/>
        <n v="249"/>
        <n v="448"/>
        <n v="406"/>
        <n v="58"/>
        <n v="321"/>
        <n v="325"/>
        <n v="199"/>
        <n v="523"/>
        <n v="320"/>
        <n v="237"/>
        <n v="62"/>
        <n v="247"/>
        <n v="284"/>
        <n v="135"/>
        <n v="495"/>
        <n v="316"/>
        <n v="515"/>
        <n v="192"/>
        <n v="542"/>
        <n v="261"/>
        <n v="72"/>
        <n v="253"/>
        <n v="51"/>
        <n v="464"/>
        <n v="140"/>
        <n v="254"/>
        <n v="263"/>
        <n v="336"/>
        <n v="341"/>
        <n v="137"/>
        <n v="233"/>
        <n v="360"/>
        <n v="100"/>
        <n v="517"/>
        <n v="61"/>
        <n v="161"/>
        <n v="125"/>
        <n v="136"/>
        <n v="302"/>
        <n v="493"/>
        <n v="181"/>
        <n v="362"/>
        <n v="390"/>
        <n v="266"/>
        <n v="80"/>
        <n v="416"/>
        <n v="404"/>
        <n v="524"/>
        <n v="349"/>
        <n v="511"/>
        <n v="455"/>
        <n v="49"/>
        <n v="478"/>
        <n v="97"/>
        <n v="368"/>
        <n v="93"/>
        <n v="228"/>
        <n v="304"/>
        <n v="177"/>
        <n v="281"/>
        <n v="458"/>
        <n v="272"/>
        <n v="258"/>
        <n v="470"/>
        <n v="95"/>
        <n v="212"/>
        <n v="479"/>
        <n v="522"/>
        <n v="231"/>
        <n v="477"/>
        <n v="179"/>
        <n v="200"/>
        <n v="78"/>
        <n v="109"/>
        <n v="243"/>
        <n v="405"/>
        <n v="337"/>
        <n v="471"/>
        <n v="245"/>
        <n v="395"/>
        <n v="418"/>
        <n v="191"/>
        <n v="345"/>
        <n v="262"/>
        <n v="319"/>
        <n v="36"/>
        <n v="335"/>
        <n v="375"/>
        <n v="81"/>
        <n v="411"/>
        <n v="236"/>
        <n v="232"/>
        <n v="133"/>
        <n v="198"/>
        <n v="499"/>
        <n v="547"/>
        <n v="328"/>
        <n v="437"/>
        <n v="392"/>
        <n v="317"/>
        <n v="111"/>
        <n v="474"/>
        <n v="303"/>
        <n v="398"/>
        <n v="145"/>
        <n v="129"/>
        <n v="310"/>
        <n v="120"/>
        <n v="424"/>
        <n v="359"/>
        <n v="165"/>
        <n v="363"/>
        <n v="333"/>
        <n v="492"/>
        <n v="275"/>
        <n v="240"/>
        <n v="46"/>
        <n v="347"/>
        <n v="92"/>
        <n v="286"/>
        <n v="305"/>
        <n v="381"/>
        <n v="444"/>
        <n v="77"/>
        <n v="348"/>
        <n v="52"/>
        <n v="163"/>
        <n v="449"/>
        <n v="48"/>
        <n v="465"/>
        <n v="487"/>
        <n v="44"/>
        <n v="211"/>
        <n v="439"/>
        <n v="541"/>
        <n v="420"/>
        <n v="169"/>
        <n v="412"/>
        <n v="256"/>
        <n v="217"/>
        <n v="503"/>
        <n v="386"/>
        <n v="56"/>
        <n v="314"/>
        <n v="536"/>
        <n v="402"/>
        <n v="90"/>
        <n v="334"/>
        <n v="413"/>
        <n v="457"/>
        <n v="329"/>
        <n v="354"/>
        <n v="64"/>
        <n v="393"/>
        <n v="195"/>
        <n v="313"/>
        <n v="501"/>
        <n v="504"/>
        <n v="397"/>
        <n v="380"/>
        <n v="315"/>
        <n v="322"/>
      </sharedItems>
    </cacheField>
    <cacheField name="AircraftType" numFmtId="0">
      <sharedItems count="6">
        <s v="A320"/>
        <s v="B737"/>
        <s v="A321"/>
        <s v="B787"/>
        <s v="A380"/>
        <s v="ATR72"/>
      </sharedItems>
    </cacheField>
    <cacheField name="SeatsAvailable" numFmtId="0">
      <sharedItems containsSemiMixedTypes="0" containsString="0" containsNumber="1" containsInteger="1" minValue="72" maxValue="500" count="6">
        <n v="180"/>
        <n v="190"/>
        <n v="200"/>
        <n v="260"/>
        <n v="500"/>
        <n v="72"/>
      </sharedItems>
    </cacheField>
    <cacheField name="SeatsSold" numFmtId="0">
      <sharedItems containsSemiMixedTypes="0" containsString="0" containsNumber="1" containsInteger="1" minValue="43" maxValue="474" count="261">
        <n v="158"/>
        <n v="153"/>
        <n v="124"/>
        <n v="169"/>
        <n v="469"/>
        <n v="43"/>
        <n v="127"/>
        <n v="115"/>
        <n v="123"/>
        <n v="197"/>
        <n v="366"/>
        <n v="64"/>
        <n v="112"/>
        <n v="167"/>
        <n v="136"/>
        <n v="159"/>
        <n v="415"/>
        <n v="48"/>
        <n v="140"/>
        <n v="142"/>
        <n v="160"/>
        <n v="430"/>
        <n v="52"/>
        <n v="125"/>
        <n v="133"/>
        <n v="174"/>
        <n v="406"/>
        <n v="66"/>
        <n v="128"/>
        <n v="135"/>
        <n v="182"/>
        <n v="244"/>
        <n v="398"/>
        <n v="44"/>
        <n v="109"/>
        <n v="173"/>
        <n v="168"/>
        <n v="193"/>
        <n v="464"/>
        <n v="47"/>
        <n v="126"/>
        <n v="181"/>
        <n v="188"/>
        <n v="374"/>
        <n v="50"/>
        <n v="134"/>
        <n v="156"/>
        <n v="161"/>
        <n v="344"/>
        <n v="46"/>
        <n v="146"/>
        <n v="116"/>
        <n v="130"/>
        <n v="206"/>
        <n v="364"/>
        <n v="202"/>
        <n v="316"/>
        <n v="150"/>
        <n v="166"/>
        <n v="179"/>
        <n v="457"/>
        <n v="51"/>
        <n v="165"/>
        <n v="185"/>
        <n v="211"/>
        <n v="470"/>
        <n v="57"/>
        <n v="170"/>
        <n v="129"/>
        <n v="164"/>
        <n v="342"/>
        <n v="55"/>
        <n v="154"/>
        <n v="214"/>
        <n v="382"/>
        <n v="178"/>
        <n v="141"/>
        <n v="184"/>
        <n v="369"/>
        <n v="148"/>
        <n v="373"/>
        <n v="147"/>
        <n v="217"/>
        <n v="394"/>
        <n v="163"/>
        <n v="411"/>
        <n v="67"/>
        <n v="171"/>
        <n v="341"/>
        <n v="59"/>
        <n v="157"/>
        <n v="60"/>
        <n v="463"/>
        <n v="176"/>
        <n v="230"/>
        <n v="468"/>
        <n v="410"/>
        <n v="53"/>
        <n v="119"/>
        <n v="152"/>
        <n v="234"/>
        <n v="375"/>
        <n v="49"/>
        <n v="139"/>
        <n v="120"/>
        <n v="242"/>
        <n v="386"/>
        <n v="121"/>
        <n v="196"/>
        <n v="423"/>
        <n v="62"/>
        <n v="113"/>
        <n v="208"/>
        <n v="442"/>
        <n v="58"/>
        <n v="138"/>
        <n v="198"/>
        <n v="443"/>
        <n v="204"/>
        <n v="56"/>
        <n v="187"/>
        <n v="329"/>
        <n v="132"/>
        <n v="401"/>
        <n v="118"/>
        <n v="145"/>
        <n v="231"/>
        <n v="306"/>
        <n v="172"/>
        <n v="348"/>
        <n v="228"/>
        <n v="305"/>
        <n v="192"/>
        <n v="422"/>
        <n v="137"/>
        <n v="331"/>
        <n v="65"/>
        <n v="144"/>
        <n v="456"/>
        <n v="175"/>
        <n v="180"/>
        <n v="461"/>
        <n v="111"/>
        <n v="122"/>
        <n v="223"/>
        <n v="233"/>
        <n v="330"/>
        <n v="240"/>
        <n v="379"/>
        <n v="68"/>
        <n v="177"/>
        <n v="216"/>
        <n v="355"/>
        <n v="63"/>
        <n v="143"/>
        <n v="238"/>
        <n v="210"/>
        <n v="239"/>
        <n v="232"/>
        <n v="339"/>
        <n v="459"/>
        <n v="474"/>
        <n v="226"/>
        <n v="393"/>
        <n v="221"/>
        <n v="396"/>
        <n v="229"/>
        <n v="324"/>
        <n v="403"/>
        <n v="200"/>
        <n v="387"/>
        <n v="203"/>
        <n v="429"/>
        <n v="117"/>
        <n v="300"/>
        <n v="222"/>
        <n v="426"/>
        <n v="151"/>
        <n v="189"/>
        <n v="427"/>
        <n v="400"/>
        <n v="312"/>
        <n v="183"/>
        <n v="340"/>
        <n v="390"/>
        <n v="368"/>
        <n v="110"/>
        <n v="201"/>
        <n v="319"/>
        <n v="215"/>
        <n v="328"/>
        <n v="195"/>
        <n v="311"/>
        <n v="108"/>
        <n v="414"/>
        <n v="425"/>
        <n v="380"/>
        <n v="383"/>
        <n v="357"/>
        <n v="162"/>
        <n v="227"/>
        <n v="392"/>
        <n v="61"/>
        <n v="131"/>
        <n v="388"/>
        <n v="323"/>
        <n v="209"/>
        <n v="402"/>
        <n v="205"/>
        <n v="309"/>
        <n v="451"/>
        <n v="235"/>
        <n v="191"/>
        <n v="361"/>
        <n v="376"/>
        <n v="54"/>
        <n v="199"/>
        <n v="417"/>
        <n v="220"/>
        <n v="460"/>
        <n v="458"/>
        <n v="445"/>
        <n v="473"/>
        <n v="418"/>
        <n v="243"/>
        <n v="45"/>
        <n v="378"/>
        <n v="302"/>
        <n v="194"/>
        <n v="405"/>
        <n v="413"/>
        <n v="207"/>
        <n v="332"/>
        <n v="155"/>
        <n v="114"/>
        <n v="367"/>
        <n v="149"/>
        <n v="318"/>
        <n v="245"/>
        <n v="213"/>
        <n v="447"/>
        <n v="431"/>
        <n v="308"/>
        <n v="441"/>
        <n v="472"/>
        <n v="356"/>
        <n v="432"/>
        <n v="352"/>
        <n v="190"/>
        <n v="345"/>
        <n v="408"/>
        <n v="452"/>
        <n v="381"/>
        <n v="317"/>
        <n v="404"/>
        <n v="225"/>
        <n v="336"/>
        <n v="455"/>
        <n v="347"/>
        <n v="237"/>
        <n v="416"/>
      </sharedItems>
    </cacheField>
    <cacheField name="Revenue" numFmtId="0">
      <sharedItems containsSemiMixedTypes="0" containsString="0" containsNumber="1" containsInteger="1" minValue="94618" maxValue="11555671" count="1000">
        <n v="1213946"/>
        <n v="1097889"/>
        <n v="2997545"/>
        <n v="4311293"/>
        <n v="10408928"/>
        <n v="257584"/>
        <n v="1768714"/>
        <n v="2668155"/>
        <n v="2589633"/>
        <n v="7134987"/>
        <n v="5044572"/>
        <n v="116038"/>
        <n v="1150804"/>
        <n v="631326"/>
        <n v="1189049"/>
        <n v="7188986"/>
        <n v="4407527"/>
        <n v="124158"/>
        <n v="2363259"/>
        <n v="2158724"/>
        <n v="3689762"/>
        <n v="6239152"/>
        <n v="7801443"/>
        <n v="177372"/>
        <n v="1404348"/>
        <n v="1098903"/>
        <n v="1780582"/>
        <n v="4971620"/>
        <n v="10158035"/>
        <n v="262151"/>
        <n v="518420"/>
        <n v="1139008"/>
        <n v="2768032"/>
        <n v="4493087"/>
        <n v="3879431"/>
        <n v="481465"/>
        <n v="1098521"/>
        <n v="1092591"/>
        <n v="1542577"/>
        <n v="6464327"/>
        <n v="4385024"/>
        <n v="547313"/>
        <n v="766354"/>
        <n v="2893488"/>
        <n v="3345683"/>
        <n v="8548195"/>
        <n v="9827691"/>
        <n v="437544"/>
        <n v="1616849"/>
        <n v="2870590"/>
        <n v="2362690"/>
        <n v="4164429"/>
        <n v="8935080"/>
        <n v="546475"/>
        <n v="1969054"/>
        <n v="985487"/>
        <n v="1943391"/>
        <n v="5179272"/>
        <n v="7246020"/>
        <n v="240705"/>
        <n v="2186116"/>
        <n v="1761513"/>
        <n v="3325031"/>
        <n v="7444230"/>
        <n v="11555671"/>
        <n v="262594"/>
        <n v="1574753"/>
        <n v="1964006"/>
        <n v="3455130"/>
        <n v="3940813"/>
        <n v="9353524"/>
        <n v="502378"/>
        <n v="917002"/>
        <n v="1045889"/>
        <n v="1546490"/>
        <n v="3828308"/>
        <n v="5319720"/>
        <n v="505171"/>
        <n v="1997555"/>
        <n v="1103086"/>
        <n v="1954957"/>
        <n v="5184117"/>
        <n v="4400300"/>
        <n v="522229"/>
        <n v="688362"/>
        <n v="3311837"/>
        <n v="3816175"/>
        <n v="5205624"/>
        <n v="7628178"/>
        <n v="110628"/>
        <n v="671007"/>
        <n v="1483854"/>
        <n v="2406437"/>
        <n v="4762882"/>
        <n v="9833352"/>
        <n v="308930"/>
        <n v="707418"/>
        <n v="1800344"/>
        <n v="3100972"/>
        <n v="6111829"/>
        <n v="8104576"/>
        <n v="185920"/>
        <n v="871257"/>
        <n v="3078973"/>
        <n v="1937741"/>
        <n v="5706876"/>
        <n v="6988350"/>
        <n v="289290"/>
        <n v="1780773"/>
        <n v="1517758"/>
        <n v="1629173"/>
        <n v="8015329"/>
        <n v="11162931"/>
        <n v="153309"/>
        <n v="1572466"/>
        <n v="1291283"/>
        <n v="1835304"/>
        <n v="4302547"/>
        <n v="8618106"/>
        <n v="394822"/>
        <n v="618853"/>
        <n v="1133475"/>
        <n v="1371971"/>
        <n v="3669777"/>
        <n v="4772922"/>
        <n v="316854"/>
        <n v="2352023"/>
        <n v="1412068"/>
        <n v="1056044"/>
        <n v="4080050"/>
        <n v="8581784"/>
        <n v="486344"/>
        <n v="722996"/>
        <n v="2000751"/>
        <n v="2260096"/>
        <n v="5505259"/>
        <n v="5275622"/>
        <n v="240915"/>
        <n v="771866"/>
        <n v="872348"/>
        <n v="1478205"/>
        <n v="4073221"/>
        <n v="6302397"/>
        <n v="248774"/>
        <n v="1873419"/>
        <n v="2363658"/>
        <n v="1152896"/>
        <n v="5026433"/>
        <n v="9388557"/>
        <n v="402900"/>
        <n v="1465841"/>
        <n v="2016283"/>
        <n v="2877987"/>
        <n v="7570893"/>
        <n v="9496565"/>
        <n v="331246"/>
        <n v="1585931"/>
        <n v="1677626"/>
        <n v="1263514"/>
        <n v="4865096"/>
        <n v="9056087"/>
        <n v="136144"/>
        <n v="2404928"/>
        <n v="2222539"/>
        <n v="2378155"/>
        <n v="8334317"/>
        <n v="11352066"/>
        <n v="400628"/>
        <n v="1701442"/>
        <n v="2199304"/>
        <n v="1065775"/>
        <n v="5754611"/>
        <n v="10404515"/>
        <n v="122352"/>
        <n v="1833156"/>
        <n v="1429450"/>
        <n v="2189981"/>
        <n v="4268033"/>
        <n v="8478910"/>
        <n v="308789"/>
        <n v="641913"/>
        <n v="1098595"/>
        <n v="788054"/>
        <n v="8248533"/>
        <n v="3849842"/>
        <n v="131666"/>
        <n v="2124841"/>
        <n v="1803395"/>
        <n v="2632112"/>
        <n v="3498771"/>
        <n v="9429367"/>
        <n v="146493"/>
        <n v="1320145"/>
        <n v="1224315"/>
        <n v="3208697"/>
        <n v="7922974"/>
        <n v="5134308"/>
        <n v="187765"/>
        <n v="2251161"/>
        <n v="3015968"/>
        <n v="2261371"/>
        <n v="3666294"/>
        <n v="4330649"/>
        <n v="336772"/>
        <n v="1092559"/>
        <n v="2932463"/>
        <n v="3695469"/>
        <n v="6123216"/>
        <n v="9122918"/>
        <n v="423342"/>
        <n v="1170169"/>
        <n v="1428490"/>
        <n v="3640404"/>
        <n v="7898257"/>
        <n v="4872754"/>
        <n v="136284"/>
        <n v="1253831"/>
        <n v="949360"/>
        <n v="1060685"/>
        <n v="6528839"/>
        <n v="3886983"/>
        <n v="188015"/>
        <n v="1240790"/>
        <n v="924449"/>
        <n v="1472383"/>
        <n v="7515579"/>
        <n v="9720371"/>
        <n v="378124"/>
        <n v="777066"/>
        <n v="1362850"/>
        <n v="914611"/>
        <n v="7544377"/>
        <n v="5797006"/>
        <n v="198005"/>
        <n v="1249312"/>
        <n v="634919"/>
        <n v="3242871"/>
        <n v="6729565"/>
        <n v="5387924"/>
        <n v="276270"/>
        <n v="1595596"/>
        <n v="2368319"/>
        <n v="2719126"/>
        <n v="4400235"/>
        <n v="10694269"/>
        <n v="468278"/>
        <n v="2279200"/>
        <n v="2336705"/>
        <n v="3210165"/>
        <n v="2518750"/>
        <n v="11419555"/>
        <n v="468089"/>
        <n v="2125227"/>
        <n v="2262561"/>
        <n v="1748313"/>
        <n v="3656039"/>
        <n v="4320984"/>
        <n v="361119"/>
        <n v="2056308"/>
        <n v="1005092"/>
        <n v="1034664"/>
        <n v="8175682"/>
        <n v="7209405"/>
        <n v="131650"/>
        <n v="1402780"/>
        <n v="2971964"/>
        <n v="1077903"/>
        <n v="7617155"/>
        <n v="11267387"/>
        <n v="201382"/>
        <n v="720418"/>
        <n v="2758914"/>
        <n v="3250021"/>
        <n v="7805843"/>
        <n v="6329853"/>
        <n v="162497"/>
        <n v="598495"/>
        <n v="749436"/>
        <n v="2078584"/>
        <n v="7501884"/>
        <n v="7732583"/>
        <n v="329937"/>
        <n v="1369101"/>
        <n v="2869795"/>
        <n v="1765154"/>
        <n v="7118125"/>
        <n v="3972504"/>
        <n v="474434"/>
        <n v="2343737"/>
        <n v="619369"/>
        <n v="1262088"/>
        <n v="4163847"/>
        <n v="8935463"/>
        <n v="135590"/>
        <n v="1532267"/>
        <n v="2495936"/>
        <n v="1838559"/>
        <n v="8490585"/>
        <n v="8783993"/>
        <n v="386987"/>
        <n v="956448"/>
        <n v="2271649"/>
        <n v="1825903"/>
        <n v="5233214"/>
        <n v="4780989"/>
        <n v="257232"/>
        <n v="1951663"/>
        <n v="1177828"/>
        <n v="3435035"/>
        <n v="7455426"/>
        <n v="10313147"/>
        <n v="185935"/>
        <n v="1241972"/>
        <n v="1772910"/>
        <n v="1328132"/>
        <n v="5725154"/>
        <n v="4842124"/>
        <n v="102843"/>
        <n v="2055579"/>
        <n v="839471"/>
        <n v="3528149"/>
        <n v="6478901"/>
        <n v="7431783"/>
        <n v="400816"/>
        <n v="1376311"/>
        <n v="1631594"/>
        <n v="2072174"/>
        <n v="7227652"/>
        <n v="9507777"/>
        <n v="367000"/>
        <n v="916555"/>
        <n v="938160"/>
        <n v="3671253"/>
        <n v="4899996"/>
        <n v="6751195"/>
        <n v="265364"/>
        <n v="564762"/>
        <n v="1564560"/>
        <n v="2744809"/>
        <n v="5368629"/>
        <n v="7133023"/>
        <n v="125517"/>
        <n v="1503544"/>
        <n v="3091136"/>
        <n v="1389622"/>
        <n v="5834500"/>
        <n v="3860375"/>
        <n v="475403"/>
        <n v="2388207"/>
        <n v="1567394"/>
        <n v="2272185"/>
        <n v="3335757"/>
        <n v="6932429"/>
        <n v="473889"/>
        <n v="971093"/>
        <n v="1459639"/>
        <n v="2348217"/>
        <n v="5033491"/>
        <n v="8963954"/>
        <n v="207855"/>
        <n v="543835"/>
        <n v="1582181"/>
        <n v="3816469"/>
        <n v="6354287"/>
        <n v="8172045"/>
        <n v="479038"/>
        <n v="1377151"/>
        <n v="1242217"/>
        <n v="2867276"/>
        <n v="3255290"/>
        <n v="8923285"/>
        <n v="445751"/>
        <n v="900153"/>
        <n v="676613"/>
        <n v="3961540"/>
        <n v="8246396"/>
        <n v="8096276"/>
        <n v="352752"/>
        <n v="1471075"/>
        <n v="796453"/>
        <n v="2670477"/>
        <n v="3604487"/>
        <n v="5556037"/>
        <n v="384909"/>
        <n v="1027581"/>
        <n v="1486072"/>
        <n v="1626191"/>
        <n v="6996501"/>
        <n v="11520237"/>
        <n v="111313"/>
        <n v="2120502"/>
        <n v="1360034"/>
        <n v="2129062"/>
        <n v="7310106"/>
        <n v="7323404"/>
        <n v="199018"/>
        <n v="2536375"/>
        <n v="2462987"/>
        <n v="1261425"/>
        <n v="5154767"/>
        <n v="5904721"/>
        <n v="299067"/>
        <n v="1674062"/>
        <n v="1897739"/>
        <n v="2833703"/>
        <n v="8022942"/>
        <n v="6062301"/>
        <n v="364080"/>
        <n v="1301087"/>
        <n v="1410481"/>
        <n v="3238333"/>
        <n v="3018944"/>
        <n v="7258518"/>
        <n v="486686"/>
        <n v="2084210"/>
        <n v="527247"/>
        <n v="1714632"/>
        <n v="3402291"/>
        <n v="5422081"/>
        <n v="221499"/>
        <n v="1043075"/>
        <n v="693552"/>
        <n v="1835837"/>
        <n v="4878814"/>
        <n v="10681070"/>
        <n v="370639"/>
        <n v="2448069"/>
        <n v="1044062"/>
        <n v="3014764"/>
        <n v="8266648"/>
        <n v="4601976"/>
        <n v="268331"/>
        <n v="1875688"/>
        <n v="1856509"/>
        <n v="967433"/>
        <n v="8794548"/>
        <n v="5566748"/>
        <n v="400793"/>
        <n v="631432"/>
        <n v="667131"/>
        <n v="2199381"/>
        <n v="4053152"/>
        <n v="5022536"/>
        <n v="185207"/>
        <n v="1058300"/>
        <n v="2075081"/>
        <n v="3005492"/>
        <n v="7165422"/>
        <n v="3959205"/>
        <n v="516499"/>
        <n v="872153"/>
        <n v="2527131"/>
        <n v="1194071"/>
        <n v="3491774"/>
        <n v="5021469"/>
        <n v="348910"/>
        <n v="2204037"/>
        <n v="1228882"/>
        <n v="3335271"/>
        <n v="4635350"/>
        <n v="9315460"/>
        <n v="524399"/>
        <n v="1711586"/>
        <n v="644580"/>
        <n v="2446223"/>
        <n v="5904912"/>
        <n v="4051108"/>
        <n v="362989"/>
        <n v="2169968"/>
        <n v="2343483"/>
        <n v="1421652"/>
        <n v="3900883"/>
        <n v="10546842"/>
        <n v="224476"/>
        <n v="1345775"/>
        <n v="2031492"/>
        <n v="1187235"/>
        <n v="3852583"/>
        <n v="8449826"/>
        <n v="198880"/>
        <n v="1065570"/>
        <n v="2140771"/>
        <n v="1794987"/>
        <n v="6714367"/>
        <n v="6566944"/>
        <n v="443412"/>
        <n v="2194087"/>
        <n v="1368035"/>
        <n v="825660"/>
        <n v="7366756"/>
        <n v="6403465"/>
        <n v="370790"/>
        <n v="610234"/>
        <n v="1619285"/>
        <n v="2532707"/>
        <n v="5062576"/>
        <n v="8574280"/>
        <n v="429747"/>
        <n v="739727"/>
        <n v="2376103"/>
        <n v="2908653"/>
        <n v="6897390"/>
        <n v="4014467"/>
        <n v="276562"/>
        <n v="1437902"/>
        <n v="3173354"/>
        <n v="2371818"/>
        <n v="6659325"/>
        <n v="8428773"/>
        <n v="506581"/>
        <n v="546738"/>
        <n v="966734"/>
        <n v="1833668"/>
        <n v="3679520"/>
        <n v="9973047"/>
        <n v="463045"/>
        <n v="2301700"/>
        <n v="2848373"/>
        <n v="3281534"/>
        <n v="7559050"/>
        <n v="9916421"/>
        <n v="280990"/>
        <n v="1398738"/>
        <n v="2529930"/>
        <n v="1253617"/>
        <n v="3903935"/>
        <n v="10323959"/>
        <n v="176302"/>
        <n v="817254"/>
        <n v="1798462"/>
        <n v="3686222"/>
        <n v="6916369"/>
        <n v="9195997"/>
        <n v="474580"/>
        <n v="703051"/>
        <n v="2458940"/>
        <n v="1840115"/>
        <n v="7534888"/>
        <n v="10277912"/>
        <n v="251857"/>
        <n v="1751008"/>
        <n v="1286809"/>
        <n v="3804260"/>
        <n v="4960637"/>
        <n v="5013393"/>
        <n v="356564"/>
        <n v="1916085"/>
        <n v="2866479"/>
        <n v="1623331"/>
        <n v="4553359"/>
        <n v="9742272"/>
        <n v="421709"/>
        <n v="2117884"/>
        <n v="2266466"/>
        <n v="1548229"/>
        <n v="6448206"/>
        <n v="10984542"/>
        <n v="324505"/>
        <n v="727214"/>
        <n v="1460105"/>
        <n v="2046293"/>
        <n v="7033202"/>
        <n v="10895440"/>
        <n v="236667"/>
        <n v="1200521"/>
        <n v="2986605"/>
        <n v="3175399"/>
        <n v="7320679"/>
        <n v="5016955"/>
        <n v="191971"/>
        <n v="1748286"/>
        <n v="1131437"/>
        <n v="3041998"/>
        <n v="4671373"/>
        <n v="9395998"/>
        <n v="519668"/>
        <n v="1320963"/>
        <n v="1914907"/>
        <n v="2947027"/>
        <n v="6629888"/>
        <n v="6408252"/>
        <n v="288316"/>
        <n v="933244"/>
        <n v="1869463"/>
        <n v="2273385"/>
        <n v="3896234"/>
        <n v="8157280"/>
        <n v="183568"/>
        <n v="2293585"/>
        <n v="1124114"/>
        <n v="3263639"/>
        <n v="4804994"/>
        <n v="6249896"/>
        <n v="170812"/>
        <n v="2395728"/>
        <n v="1386703"/>
        <n v="2226950"/>
        <n v="3413359"/>
        <n v="4714677"/>
        <n v="257544"/>
        <n v="2395293"/>
        <n v="1088693"/>
        <n v="2716440"/>
        <n v="7000939"/>
        <n v="8131295"/>
        <n v="356034"/>
        <n v="838433"/>
        <n v="1458400"/>
        <n v="2217002"/>
        <n v="6831757"/>
        <n v="6447277"/>
        <n v="495952"/>
        <n v="1049991"/>
        <n v="2666629"/>
        <n v="1014379"/>
        <n v="6730278"/>
        <n v="4749395"/>
        <n v="380225"/>
        <n v="2032076"/>
        <n v="2887245"/>
        <n v="3533737"/>
        <n v="6319824"/>
        <n v="9461064"/>
        <n v="396223"/>
        <n v="1844134"/>
        <n v="2075902"/>
        <n v="2783836"/>
        <n v="3047364"/>
        <n v="9335779"/>
        <n v="518544"/>
        <n v="1873248"/>
        <n v="698810"/>
        <n v="905001"/>
        <n v="2826321"/>
        <n v="6881414"/>
        <n v="439026"/>
        <n v="1240940"/>
        <n v="1724190"/>
        <n v="3267406"/>
        <n v="5563882"/>
        <n v="4794212"/>
        <n v="183581"/>
        <n v="1138254"/>
        <n v="3051281"/>
        <n v="3791003"/>
        <n v="6509275"/>
        <n v="6948041"/>
        <n v="125537"/>
        <n v="2175169"/>
        <n v="2169873"/>
        <n v="3138226"/>
        <n v="7570924"/>
        <n v="3641242"/>
        <n v="364256"/>
        <n v="1615251"/>
        <n v="2222703"/>
        <n v="3175015"/>
        <n v="5336412"/>
        <n v="5090427"/>
        <n v="277398"/>
        <n v="881582"/>
        <n v="744579"/>
        <n v="1888079"/>
        <n v="2694984"/>
        <n v="8445559"/>
        <n v="218300"/>
        <n v="1724367"/>
        <n v="2187152"/>
        <n v="1432443"/>
        <n v="3648523"/>
        <n v="6631358"/>
        <n v="446557"/>
        <n v="1724125"/>
        <n v="769239"/>
        <n v="3400784"/>
        <n v="6860178"/>
        <n v="10492433"/>
        <n v="454508"/>
        <n v="1803252"/>
        <n v="1346393"/>
        <n v="2057245"/>
        <n v="4894746"/>
        <n v="8884074"/>
        <n v="444112"/>
        <n v="2206249"/>
        <n v="2123982"/>
        <n v="1798782"/>
        <n v="5875352"/>
        <n v="5589939"/>
        <n v="229694"/>
        <n v="539854"/>
        <n v="1964923"/>
        <n v="3105556"/>
        <n v="6020152"/>
        <n v="9522492"/>
        <n v="402897"/>
        <n v="1802446"/>
        <n v="1300089"/>
        <n v="2603000"/>
        <n v="4623296"/>
        <n v="10195054"/>
        <n v="451501"/>
        <n v="1702508"/>
        <n v="513268"/>
        <n v="2969207"/>
        <n v="3013672"/>
        <n v="7729772"/>
        <n v="147710"/>
        <n v="2126153"/>
        <n v="2532380"/>
        <n v="874455"/>
        <n v="4105761"/>
        <n v="6398346"/>
        <n v="139040"/>
        <n v="691488"/>
        <n v="2281110"/>
        <n v="1266761"/>
        <n v="3856744"/>
        <n v="7466193"/>
        <n v="518003"/>
        <n v="1804118"/>
        <n v="2222224"/>
        <n v="2663665"/>
        <n v="2953070"/>
        <n v="10572025"/>
        <n v="472766"/>
        <n v="2145046"/>
        <n v="2938756"/>
        <n v="3830182"/>
        <n v="5978071"/>
        <n v="7912807"/>
        <n v="470109"/>
        <n v="895736"/>
        <n v="1593111"/>
        <n v="2525569"/>
        <n v="6808670"/>
        <n v="4648612"/>
        <n v="296879"/>
        <n v="1165305"/>
        <n v="2823701"/>
        <n v="3591606"/>
        <n v="5015751"/>
        <n v="4868165"/>
        <n v="217614"/>
        <n v="1257090"/>
        <n v="2112735"/>
        <n v="2650481"/>
        <n v="3725715"/>
        <n v="7433803"/>
        <n v="479086"/>
        <n v="1614421"/>
        <n v="2153670"/>
        <n v="2064056"/>
        <n v="4755397"/>
        <n v="10783756"/>
        <n v="322289"/>
        <n v="2115827"/>
        <n v="1871225"/>
        <n v="1574833"/>
        <n v="3530864"/>
        <n v="4624557"/>
        <n v="152181"/>
        <n v="1172042"/>
        <n v="517826"/>
        <n v="1668102"/>
        <n v="4735639"/>
        <n v="9382881"/>
        <n v="325321"/>
        <n v="679181"/>
        <n v="1147431"/>
        <n v="3178794"/>
        <n v="4428116"/>
        <n v="7317553"/>
        <n v="295863"/>
        <n v="1531765"/>
        <n v="2654710"/>
        <n v="1466215"/>
        <n v="5305848"/>
        <n v="4914951"/>
        <n v="251594"/>
        <n v="856521"/>
        <n v="2490142"/>
        <n v="3371312"/>
        <n v="7795908"/>
        <n v="4465946"/>
        <n v="558817"/>
        <n v="1409293"/>
        <n v="2535086"/>
        <n v="3973064"/>
        <n v="4465082"/>
        <n v="9850764"/>
        <n v="401868"/>
        <n v="1029611"/>
        <n v="2882368"/>
        <n v="1948279"/>
        <n v="6714337"/>
        <n v="8561382"/>
        <n v="329791"/>
        <n v="2314939"/>
        <n v="1135724"/>
        <n v="3102768"/>
        <n v="4973987"/>
        <n v="10652573"/>
        <n v="282331"/>
        <n v="1464016"/>
        <n v="3242357"/>
        <n v="1240801"/>
        <n v="3631189"/>
        <n v="5542077"/>
        <n v="345595"/>
        <n v="799264"/>
        <n v="2526796"/>
        <n v="1987287"/>
        <n v="8648953"/>
        <n v="6080781"/>
        <n v="177987"/>
        <n v="901246"/>
        <n v="2454701"/>
        <n v="1524171"/>
        <n v="6438710"/>
        <n v="5581688"/>
        <n v="151805"/>
        <n v="1052310"/>
        <n v="1575033"/>
        <n v="1905888"/>
        <n v="7068703"/>
        <n v="9931600"/>
        <n v="468630"/>
        <n v="864463"/>
        <n v="2808399"/>
        <n v="1468851"/>
        <n v="5797233"/>
        <n v="6426962"/>
        <n v="488586"/>
        <n v="966702"/>
        <n v="1910125"/>
        <n v="1165086"/>
        <n v="3802337"/>
        <n v="10147301"/>
        <n v="166089"/>
        <n v="1324979"/>
        <n v="908379"/>
        <n v="1856845"/>
        <n v="6568757"/>
        <n v="9943949"/>
        <n v="420526"/>
        <n v="1259449"/>
        <n v="2407681"/>
        <n v="2674136"/>
        <n v="7841276"/>
        <n v="8349169"/>
        <n v="253706"/>
        <n v="1713323"/>
        <n v="2395147"/>
        <n v="1585764"/>
        <n v="5335153"/>
        <n v="7559528"/>
        <n v="246548"/>
        <n v="1014653"/>
        <n v="2481654"/>
        <n v="1915737"/>
        <n v="4634124"/>
        <n v="5540397"/>
        <n v="282518"/>
        <n v="2103870"/>
        <n v="1780950"/>
        <n v="2295580"/>
        <n v="7478960"/>
        <n v="5320559"/>
        <n v="220779"/>
        <n v="1520356"/>
        <n v="2954949"/>
        <n v="3307730"/>
        <n v="5386565"/>
        <n v="4555304"/>
        <n v="197175"/>
        <n v="1411209"/>
        <n v="1268188"/>
        <n v="3029057"/>
        <n v="8134296"/>
        <n v="8549290"/>
        <n v="243527"/>
        <n v="1501457"/>
        <n v="1256662"/>
        <n v="2477774"/>
        <n v="6077464"/>
        <n v="5217183"/>
        <n v="217815"/>
        <n v="1278566"/>
        <n v="3097358"/>
        <n v="2749346"/>
        <n v="3068253"/>
        <n v="5613537"/>
        <n v="316685"/>
        <n v="1416712"/>
        <n v="751769"/>
        <n v="1354878"/>
        <n v="5436488"/>
        <n v="7951416"/>
        <n v="142605"/>
        <n v="1580034"/>
        <n v="863417"/>
        <n v="2547431"/>
        <n v="4470243"/>
        <n v="8507777"/>
        <n v="254891"/>
        <n v="885327"/>
        <n v="946998"/>
        <n v="3027014"/>
        <n v="3034625"/>
        <n v="5961689"/>
        <n v="146673"/>
        <n v="1993327"/>
        <n v="1552825"/>
        <n v="3292469"/>
        <n v="7237918"/>
        <n v="6641290"/>
        <n v="447468"/>
        <n v="1670281"/>
        <n v="550168"/>
        <n v="1299031"/>
        <n v="4492611"/>
        <n v="9912849"/>
        <n v="424701"/>
        <n v="2246532"/>
        <n v="2293914"/>
        <n v="2429421"/>
        <n v="4280061"/>
        <n v="8738704"/>
        <n v="321526"/>
        <n v="1208052"/>
        <n v="1763542"/>
        <n v="825186"/>
        <n v="6303367"/>
        <n v="8162660"/>
        <n v="255680"/>
        <n v="2010902"/>
        <n v="2315330"/>
        <n v="2380302"/>
        <n v="3944030"/>
        <n v="5248798"/>
        <n v="94618"/>
        <n v="1609464"/>
        <n v="1740971"/>
        <n v="2558653"/>
        <n v="6013434"/>
        <n v="10962143"/>
        <n v="339265"/>
        <n v="1030837"/>
        <n v="1125140"/>
        <n v="2960571"/>
        <n v="7369018"/>
        <n v="6221544"/>
        <n v="364844"/>
        <n v="1338519"/>
        <n v="2466987"/>
        <n v="2687559"/>
        <n v="3660689"/>
        <n v="4202590"/>
        <n v="338975"/>
        <n v="937017"/>
        <n v="622133"/>
        <n v="1267167"/>
        <n v="6012638"/>
        <n v="8854144"/>
        <n v="398750"/>
        <n v="1561996"/>
        <n v="1164757"/>
        <n v="2254886"/>
        <n v="6214990"/>
        <n v="9238754"/>
        <n v="193923"/>
        <n v="1768814"/>
        <n v="1557781"/>
        <n v="1501238"/>
        <n v="5570858"/>
        <n v="8623111"/>
        <n v="372060"/>
        <n v="705267"/>
        <n v="1515178"/>
        <n v="3640935"/>
        <n v="6021279"/>
        <n v="5875735"/>
        <n v="514541"/>
        <n v="737756"/>
        <n v="2761184"/>
        <n v="930317"/>
        <n v="3068831"/>
        <n v="7424616"/>
        <n v="463404"/>
        <n v="2195894"/>
        <n v="3035421"/>
        <n v="2152204"/>
        <n v="3504383"/>
        <n v="8645054"/>
        <n v="276997"/>
        <n v="849746"/>
        <n v="1309701"/>
        <n v="2158885"/>
        <n v="4295196"/>
      </sharedItems>
    </cacheField>
    <cacheField name="OperationalCost" numFmtId="0">
      <sharedItems containsSemiMixedTypes="0" containsString="0" containsNumber="1" containsInteger="1" minValue="72600" maxValue="3972430" count="989">
        <n v="364980"/>
        <n v="329715"/>
        <n v="368280"/>
        <n v="489255"/>
        <n v="1847860"/>
        <n v="78905"/>
        <n v="330200"/>
        <n v="342125"/>
        <n v="337635"/>
        <n v="738750"/>
        <n v="969900"/>
        <n v="106240"/>
        <n v="483840"/>
        <n v="622910"/>
        <n v="293760"/>
        <n v="590685"/>
        <n v="2195350"/>
        <n v="160800"/>
        <n v="980200"/>
        <n v="729400"/>
        <n v="969860"/>
        <n v="1169600"/>
        <n v="2954100"/>
        <n v="183560"/>
        <n v="603750"/>
        <n v="487600"/>
        <n v="675640"/>
        <n v="1075320"/>
        <n v="1559040"/>
        <n v="122100"/>
        <n v="237440"/>
        <n v="284175"/>
        <n v="539630"/>
        <n v="707600"/>
        <n v="963160"/>
        <n v="95040"/>
        <n v="244705"/>
        <n v="365030"/>
        <n v="399000"/>
        <n v="685150"/>
        <n v="1194800"/>
        <n v="104340"/>
        <n v="509040"/>
        <n v="1073810"/>
        <n v="601825"/>
        <n v="777380"/>
        <n v="2849880"/>
        <n v="217000"/>
        <n v="688760"/>
        <n v="806480"/>
        <n v="840840"/>
        <n v="953120"/>
        <n v="2569680"/>
        <n v="203320"/>
        <n v="797160"/>
        <n v="479080"/>
        <n v="656500"/>
        <n v="1316340"/>
        <n v="1241240"/>
        <n v="95420"/>
        <n v="370405"/>
        <n v="425035"/>
        <n v="513590"/>
        <n v="833250"/>
        <n v="1312980"/>
        <n v="95940"/>
        <n v="366000"/>
        <n v="382500"/>
        <n v="532860"/>
        <n v="482405"/>
        <n v="1674905"/>
        <n v="114240"/>
        <n v="655270"/>
        <n v="681450"/>
        <n v="419950"/>
        <n v="615065"/>
        <n v="2716600"/>
        <n v="250230"/>
        <n v="963900"/>
        <n v="550830"/>
        <n v="873800"/>
        <n v="1074200"/>
        <n v="1713420"/>
        <n v="240900"/>
        <n v="609880"/>
        <n v="1015940"/>
        <n v="1071840"/>
        <n v="1435940"/>
        <n v="1335090"/>
        <n v="87100"/>
        <n v="245120"/>
        <n v="404060"/>
        <n v="401850"/>
        <n v="588800"/>
        <n v="1402200"/>
        <n v="112860"/>
        <n v="293250"/>
        <n v="359640"/>
        <n v="583540"/>
        <n v="681500"/>
        <n v="1353990"/>
        <n v="116490"/>
        <n v="611520"/>
        <n v="996800"/>
        <n v="381060"/>
        <n v="752990"/>
        <n v="2620100"/>
        <n v="247680"/>
        <n v="841110"/>
        <n v="680800"/>
        <n v="793810"/>
        <n v="1460120"/>
        <n v="3427740"/>
        <n v="229140"/>
        <n v="799480"/>
        <n v="735130"/>
        <n v="620000"/>
        <n v="1039680"/>
        <n v="1311145"/>
        <n v="123310"/>
        <n v="262500"/>
        <n v="329560"/>
        <n v="361725"/>
        <n v="443525"/>
        <n v="865840"/>
        <n v="117300"/>
        <n v="450060"/>
        <n v="286875"/>
        <n v="247230"/>
        <n v="463200"/>
        <n v="1687635"/>
        <n v="132455"/>
        <n v="639610"/>
        <n v="913440"/>
        <n v="445600"/>
        <n v="756700"/>
        <n v="2545920"/>
        <n v="186500"/>
        <n v="441450"/>
        <n v="535840"/>
        <n v="844880"/>
        <n v="1075140"/>
        <n v="2431300"/>
        <n v="193450"/>
        <n v="622370"/>
        <n v="837520"/>
        <n v="605900"/>
        <n v="1476540"/>
        <n v="1400625"/>
        <n v="102410"/>
        <n v="328040"/>
        <n v="327600"/>
        <n v="547740"/>
        <n v="923230"/>
        <n v="1578740"/>
        <n v="99500"/>
        <n v="291610"/>
        <n v="417490"/>
        <n v="395740"/>
        <n v="588980"/>
        <n v="1510110"/>
        <n v="104780"/>
        <n v="665570"/>
        <n v="740600"/>
        <n v="358125"/>
        <n v="850720"/>
        <n v="3628820"/>
        <n v="242440"/>
        <n v="714840"/>
        <n v="746920"/>
        <n v="627000"/>
        <n v="1427580"/>
        <n v="3526280"/>
        <n v="189240"/>
        <n v="759000"/>
        <n v="847280"/>
        <n v="851620"/>
        <n v="1140360"/>
        <n v="1217760"/>
        <n v="108080"/>
        <n v="234990"/>
        <n v="313880"/>
        <n v="365585"/>
        <n v="824445"/>
        <n v="801115"/>
        <n v="87620"/>
        <n v="376350"/>
        <n v="332640"/>
        <n v="413310"/>
        <n v="591100"/>
        <n v="1473675"/>
        <n v="111870"/>
        <n v="552240"/>
        <n v="614800"/>
        <n v="520030"/>
        <n v="948255"/>
        <n v="1765620"/>
        <n v="154000"/>
        <n v="800880"/>
        <n v="927000"/>
        <n v="935680"/>
        <n v="1105440"/>
        <n v="1844400"/>
        <n v="236400"/>
        <n v="559240"/>
        <n v="901320"/>
        <n v="1226150"/>
        <n v="1598280"/>
        <n v="1119350"/>
        <n v="122130"/>
        <n v="267960"/>
        <n v="356460"/>
        <n v="542730"/>
        <n v="781440"/>
        <n v="1118300"/>
        <n v="301240"/>
        <n v="282220"/>
        <n v="286960"/>
        <n v="717080"/>
        <n v="805985"/>
        <n v="115050"/>
        <n v="763880"/>
        <n v="475600"/>
        <n v="339120"/>
        <n v="668150"/>
        <n v="3762000"/>
        <n v="251400"/>
        <n v="596820"/>
        <n v="815500"/>
        <n v="729000"/>
        <n v="1434480"/>
        <n v="2793660"/>
        <n v="185640"/>
        <n v="519480"/>
        <n v="581940"/>
        <n v="753960"/>
        <n v="1576920"/>
        <n v="1094340"/>
        <n v="123520"/>
        <n v="278875"/>
        <n v="413975"/>
        <n v="471240"/>
        <n v="657850"/>
        <n v="1687520"/>
        <n v="111800"/>
        <n v="359775"/>
        <n v="517440"/>
        <n v="426400"/>
        <n v="562695"/>
        <n v="1367850"/>
        <n v="98560"/>
        <n v="993720"/>
        <n v="1013250"/>
        <n v="342930"/>
        <n v="649200"/>
        <n v="1757400"/>
        <n v="267330"/>
        <n v="793690"/>
        <n v="653660"/>
        <n v="667200"/>
        <n v="1544750"/>
        <n v="2490030"/>
        <n v="230520"/>
        <n v="552570"/>
        <n v="764720"/>
        <n v="617160"/>
        <n v="1826720"/>
        <n v="1882095"/>
        <n v="85305"/>
        <n v="305235"/>
        <n v="519580"/>
        <n v="588525"/>
        <n v="883440"/>
        <n v="1084525"/>
        <n v="109305"/>
        <n v="305860"/>
        <n v="273130"/>
        <n v="476840"/>
        <n v="937720"/>
        <n v="1570640"/>
        <n v="120300"/>
        <n v="690900"/>
        <n v="896800"/>
        <n v="402220"/>
        <n v="610560"/>
        <n v="1887540"/>
        <n v="281610"/>
        <n v="798320"/>
        <n v="624580"/>
        <n v="630480"/>
        <n v="1205400"/>
        <n v="2617840"/>
        <n v="227800"/>
        <n v="655690"/>
        <n v="877040"/>
        <n v="833000"/>
        <n v="1995650"/>
        <n v="1632780"/>
        <n v="109460"/>
        <n v="315700"/>
        <n v="498510"/>
        <n v="451200"/>
        <n v="766760"/>
        <n v="905130"/>
        <n v="82720"/>
        <n v="423115"/>
        <n v="297510"/>
        <n v="484560"/>
        <n v="813610"/>
        <n v="1934685"/>
        <n v="97350"/>
        <n v="567690"/>
        <n v="651520"/>
        <n v="282480"/>
        <n v="675680"/>
        <n v="2569080"/>
        <n v="168300"/>
        <n v="650980"/>
        <n v="566950"/>
        <n v="1183700"/>
        <n v="1663360"/>
        <n v="2644890"/>
        <n v="241110"/>
        <n v="629520"/>
        <n v="676200"/>
        <n v="800680"/>
        <n v="1695070"/>
        <n v="1584000"/>
        <n v="124800"/>
        <n v="266385"/>
        <n v="321850"/>
        <n v="458950"/>
        <n v="685855"/>
        <n v="1043280"/>
        <n v="281820"/>
        <n v="296730"/>
        <n v="479115"/>
        <n v="632060"/>
        <n v="1358110"/>
        <n v="85170"/>
        <n v="669600"/>
        <n v="773190"/>
        <n v="398580"/>
        <n v="688000"/>
        <n v="1922720"/>
        <n v="207360"/>
        <n v="1014900"/>
        <n v="744120"/>
        <n v="824250"/>
        <n v="936000"/>
        <n v="2445840"/>
        <n v="191780"/>
        <n v="515840"/>
        <n v="699210"/>
        <n v="982560"/>
        <n v="1358070"/>
        <n v="1692405"/>
        <n v="113150"/>
        <n v="233100"/>
        <n v="379960"/>
        <n v="527085"/>
        <n v="609000"/>
        <n v="1111725"/>
        <n v="136960"/>
        <n v="273780"/>
        <n v="254880"/>
        <n v="503620"/>
        <n v="448560"/>
        <n v="1062000"/>
        <n v="124990"/>
        <n v="636740"/>
        <n v="665520"/>
        <n v="429660"/>
        <n v="907980"/>
        <n v="2956440"/>
        <n v="196490"/>
        <n v="758020"/>
        <n v="446600"/>
        <n v="1092420"/>
        <n v="1350350"/>
        <n v="2544920"/>
        <n v="268670"/>
        <n v="679140"/>
        <n v="535920"/>
        <n v="623360"/>
        <n v="1574880"/>
        <n v="1686000"/>
        <n v="104895"/>
        <n v="398300"/>
        <n v="301215"/>
        <n v="518805"/>
        <n v="762960"/>
        <n v="1101360"/>
        <n v="110980"/>
        <n v="437325"/>
        <n v="418600"/>
        <n v="301920"/>
        <n v="568215"/>
        <n v="1062500"/>
        <n v="130020"/>
        <n v="662640"/>
        <n v="883230"/>
        <n v="542380"/>
        <n v="814770"/>
        <n v="2717600"/>
        <n v="264660"/>
        <n v="761600"/>
        <n v="582500"/>
        <n v="1159400"/>
        <n v="779240"/>
        <n v="2558400"/>
        <n v="207740"/>
        <n v="741060"/>
        <n v="608160"/>
        <n v="858280"/>
        <n v="1137760"/>
        <n v="1074560"/>
        <n v="116350"/>
        <n v="239250"/>
        <n v="288000"/>
        <n v="367190"/>
        <n v="658275"/>
        <n v="1268025"/>
        <n v="129920"/>
        <n v="408100"/>
        <n v="327850"/>
        <n v="526680"/>
        <n v="876125"/>
        <n v="882320"/>
        <n v="112200"/>
        <n v="836000"/>
        <n v="846240"/>
        <n v="362850"/>
        <n v="740960"/>
        <n v="2485230"/>
        <n v="206780"/>
        <n v="543120"/>
        <n v="454960"/>
        <n v="693760"/>
        <n v="1078350"/>
        <n v="1784090"/>
        <n v="231660"/>
        <n v="538020"/>
        <n v="645840"/>
        <n v="1066090"/>
        <n v="1497440"/>
        <n v="755730"/>
        <n v="121000"/>
        <n v="225180"/>
        <n v="526500"/>
        <n v="326040"/>
        <n v="487520"/>
        <n v="1165410"/>
        <n v="137350"/>
        <n v="484300"/>
        <n v="310100"/>
        <n v="451560"/>
        <n v="560875"/>
        <n v="1615000"/>
        <n v="120175"/>
        <n v="639600"/>
        <n v="605550"/>
        <n v="471070"/>
        <n v="785400"/>
        <n v="1995000"/>
        <n v="184000"/>
        <n v="839410"/>
        <n v="870960"/>
        <n v="635910"/>
        <n v="1090980"/>
        <n v="3129110"/>
        <n v="212990"/>
        <n v="760650"/>
        <n v="645600"/>
        <n v="548250"/>
        <n v="988750"/>
        <n v="1286985"/>
        <n v="117650"/>
        <n v="244160"/>
        <n v="494935"/>
        <n v="440880"/>
        <n v="948640"/>
        <n v="918050"/>
        <n v="125280"/>
        <n v="456030"/>
        <n v="320380"/>
        <n v="900055"/>
        <n v="1187760"/>
        <n v="123220"/>
        <n v="437780"/>
        <n v="649350"/>
        <n v="364320"/>
        <n v="526290"/>
        <n v="2339100"/>
        <n v="238700"/>
        <n v="476740"/>
        <n v="741460"/>
        <n v="1006400"/>
        <n v="1443640"/>
        <n v="1936120"/>
        <n v="216600"/>
        <n v="628320"/>
        <n v="974970"/>
        <n v="1033950"/>
        <n v="1417680"/>
        <n v="1136960"/>
        <n v="127890"/>
        <n v="315185"/>
        <n v="260000"/>
        <n v="394450"/>
        <n v="588335"/>
        <n v="1932280"/>
        <n v="92450"/>
        <n v="326540"/>
        <n v="416670"/>
        <n v="464035"/>
        <n v="936705"/>
        <n v="1517550"/>
        <n v="90710"/>
        <n v="700800"/>
        <n v="816350"/>
        <n v="319365"/>
        <n v="601675"/>
        <n v="2512170"/>
        <n v="153560"/>
        <n v="764400"/>
        <n v="1237950"/>
        <n v="1221460"/>
        <n v="3445640"/>
        <n v="246400"/>
        <n v="460520"/>
        <n v="960660"/>
        <n v="868680"/>
        <n v="1966950"/>
        <n v="1595675"/>
        <n v="111600"/>
        <n v="403200"/>
        <n v="263175"/>
        <n v="541080"/>
        <n v="593055"/>
        <n v="1027045"/>
        <n v="86460"/>
        <n v="448800"/>
        <n v="456020"/>
        <n v="352980"/>
        <n v="566475"/>
        <n v="1425040"/>
        <n v="104250"/>
        <n v="732160"/>
        <n v="842580"/>
        <n v="356360"/>
        <n v="677600"/>
        <n v="2743860"/>
        <n v="213300"/>
        <n v="642950"/>
        <n v="799680"/>
        <n v="752640"/>
        <n v="1550210"/>
        <n v="3633240"/>
        <n v="159960"/>
        <n v="649720"/>
        <n v="1004800"/>
        <n v="1003680"/>
        <n v="1626000"/>
        <n v="1107135"/>
        <n v="99960"/>
        <n v="400095"/>
        <n v="307380"/>
        <n v="536070"/>
        <n v="701800"/>
        <n v="1787100"/>
        <n v="140805"/>
        <n v="337695"/>
        <n v="385000"/>
        <n v="477365"/>
        <n v="791250"/>
        <n v="1383160"/>
        <n v="92610"/>
        <n v="629860"/>
        <n v="831080"/>
        <n v="352950"/>
        <n v="468540"/>
        <n v="2693100"/>
        <n v="150930"/>
        <n v="694800"/>
        <n v="681720"/>
        <n v="885430"/>
        <n v="1200000"/>
        <n v="2751960"/>
        <n v="162380"/>
        <n v="744330"/>
        <n v="556920"/>
        <n v="722190"/>
        <n v="1032120"/>
        <n v="1174800"/>
        <n v="91385"/>
        <n v="427025"/>
        <n v="283560"/>
        <n v="433620"/>
        <n v="854700"/>
        <n v="1489715"/>
        <n v="93530"/>
        <n v="291870"/>
        <n v="450625"/>
        <n v="594280"/>
        <n v="1411905"/>
        <n v="107065"/>
        <n v="651210"/>
        <n v="1008900"/>
        <n v="273135"/>
        <n v="705465"/>
        <n v="1994700"/>
        <n v="225120"/>
        <n v="746640"/>
        <n v="1086750"/>
        <n v="1244050"/>
        <n v="1378560"/>
        <n v="3218600"/>
        <n v="256410"/>
        <n v="857010"/>
        <n v="652500"/>
        <n v="1099800"/>
        <n v="1048320"/>
        <n v="1770240"/>
        <n v="142675"/>
        <n v="374605"/>
        <n v="303360"/>
        <n v="274720"/>
        <n v="596565"/>
        <n v="1435300"/>
        <n v="94950"/>
        <n v="246340"/>
        <n v="316200"/>
        <n v="432150"/>
        <n v="528885"/>
        <n v="924490"/>
        <n v="89250"/>
        <n v="662890"/>
        <n v="1114200"/>
        <n v="453420"/>
        <n v="784550"/>
        <n v="2532600"/>
        <n v="188160"/>
        <n v="859320"/>
        <n v="764220"/>
        <n v="1093750"/>
        <n v="1371890"/>
        <n v="1485840"/>
        <n v="198720"/>
        <n v="716220"/>
        <n v="853320"/>
        <n v="800100"/>
        <n v="1579500"/>
        <n v="1074315"/>
        <n v="121920"/>
        <n v="328820"/>
        <n v="295160"/>
        <n v="381750"/>
        <n v="586800"/>
        <n v="1350900"/>
        <n v="94380"/>
        <n v="391280"/>
        <n v="327180"/>
        <n v="389110"/>
        <n v="625430"/>
        <n v="965430"/>
        <n v="112580"/>
        <n v="841620"/>
        <n v="530190"/>
        <n v="531200"/>
        <n v="775030"/>
        <n v="3972430"/>
        <n v="251140"/>
        <n v="579960"/>
        <n v="515660"/>
        <n v="607560"/>
        <n v="1048760"/>
        <n v="2984850"/>
        <n v="678600"/>
        <n v="650400"/>
        <n v="739410"/>
        <n v="1501640"/>
        <n v="1222480"/>
        <n v="92055"/>
        <n v="306075"/>
        <n v="454660"/>
        <n v="536790"/>
        <n v="630850"/>
        <n v="1911680"/>
        <n v="92475"/>
        <n v="428505"/>
        <n v="303960"/>
        <n v="488480"/>
        <n v="617895"/>
        <n v="1551870"/>
        <n v="101050"/>
        <n v="799770"/>
        <n v="647980"/>
        <n v="545715"/>
        <n v="545235"/>
        <n v="2317360"/>
        <n v="191520"/>
        <n v="919150"/>
        <n v="647520"/>
        <n v="566580"/>
        <n v="1290150"/>
        <n v="2242370"/>
        <n v="220350"/>
        <n v="590040"/>
        <n v="869550"/>
        <n v="640920"/>
        <n v="1094500"/>
        <n v="1105050"/>
        <n v="126825"/>
        <n v="377725"/>
        <n v="459480"/>
        <n v="365800"/>
        <n v="623525"/>
        <n v="1628250"/>
        <n v="98670"/>
        <n v="329960"/>
        <n v="509350"/>
        <n v="640100"/>
        <n v="721005"/>
        <n v="1601105"/>
        <n v="123120"/>
        <n v="709800"/>
        <n v="535900"/>
        <n v="582820"/>
        <n v="2449560"/>
        <n v="204120"/>
        <n v="532440"/>
        <n v="1026600"/>
        <n v="1126890"/>
        <n v="1163360"/>
        <n v="2310160"/>
        <n v="156950"/>
        <n v="581250"/>
        <n v="689040"/>
        <n v="841500"/>
        <n v="883890"/>
        <n v="1021020"/>
        <n v="100280"/>
        <n v="405600"/>
        <n v="410010"/>
        <n v="472410"/>
        <n v="614010"/>
        <n v="1528560"/>
        <n v="117410"/>
        <n v="370875"/>
        <n v="322400"/>
        <n v="369675"/>
        <n v="475200"/>
        <n v="811710"/>
        <n v="100340"/>
        <n v="630660"/>
        <n v="570380"/>
        <n v="429300"/>
        <n v="662150"/>
        <n v="3408930"/>
        <n v="247590"/>
        <n v="484840"/>
        <n v="700280"/>
        <n v="1105910"/>
        <n v="1022090"/>
        <n v="3053840"/>
        <n v="223440"/>
        <n v="808500"/>
        <n v="709060"/>
        <n v="687960"/>
        <n v="1642680"/>
        <n v="873740"/>
        <n v="105450"/>
        <n v="306360"/>
        <n v="444765"/>
        <n v="423785"/>
        <n v="1004360"/>
        <n v="1006860"/>
        <n v="105280"/>
        <n v="383985"/>
        <n v="514250"/>
        <n v="483510"/>
        <n v="720300"/>
        <n v="1331440"/>
        <n v="125080"/>
        <n v="612040"/>
        <n v="1075200"/>
        <n v="481280"/>
        <n v="855600"/>
        <n v="2980800"/>
        <n v="248850"/>
        <n v="709280"/>
        <n v="591600"/>
        <n v="833120"/>
        <n v="1078560"/>
        <n v="3521270"/>
        <n v="214890"/>
        <n v="639790"/>
        <n v="790560"/>
        <n v="631900"/>
        <n v="899460"/>
        <n v="1426095"/>
        <n v="257810"/>
        <n v="480520"/>
        <n v="476715"/>
        <n v="671370"/>
        <n v="1360260"/>
        <n v="277425"/>
        <n v="381555"/>
        <n v="280115"/>
        <n v="895055"/>
        <n v="1320700"/>
        <n v="109620"/>
        <n v="632100"/>
        <n v="816270"/>
        <n v="421655"/>
        <n v="612000"/>
        <n v="2770240"/>
        <n v="205440"/>
        <n v="444000"/>
        <n v="1071560"/>
        <n v="846300"/>
        <n v="1350480"/>
        <n v="2388750"/>
        <n v="280960"/>
        <n v="526440"/>
        <n v="642510"/>
        <n v="736920"/>
        <n v="859520"/>
        <n v="1861245"/>
        <n v="99760"/>
        <n v="266680"/>
        <n v="303705"/>
        <n v="426685"/>
        <n v="702050"/>
        <n v="1416225"/>
        <n v="128100"/>
        <n v="296590"/>
        <n v="392610"/>
        <n v="546255"/>
        <n v="1026020"/>
        <n v="1468800"/>
        <n v="94250"/>
        <n v="705000"/>
        <n v="927810"/>
        <n v="356440"/>
        <n v="677710"/>
        <n v="2627280"/>
        <n v="581020"/>
        <n v="881600"/>
        <n v="703340"/>
        <n v="1303140"/>
        <n v="2387280"/>
        <n v="228140"/>
        <n v="600480"/>
        <n v="677270"/>
        <n v="1002740"/>
        <n v="1525700"/>
        <n v="886380"/>
        <n v="114390"/>
        <n v="307840"/>
        <n v="487430"/>
        <n v="552230"/>
        <n v="578760"/>
        <n v="1170680"/>
        <n v="108580"/>
        <n v="345450"/>
        <n v="352000"/>
        <n v="472780"/>
        <n v="698060"/>
        <n v="1337310"/>
        <n v="117440"/>
        <n v="671650"/>
        <n v="578880"/>
        <n v="382725"/>
        <n v="788580"/>
        <n v="1718140"/>
        <n v="187720"/>
        <n v="605880"/>
        <n v="811250"/>
        <n v="707250"/>
        <n v="894200"/>
        <n v="2444200"/>
        <n v="227940"/>
        <n v="684000"/>
        <n v="620100"/>
        <n v="834020"/>
        <n v="1109500"/>
        <n v="1315485"/>
        <n v="94600"/>
        <n v="276575"/>
        <n v="340810"/>
        <n v="545200"/>
        <n v="577775"/>
        <n v="1491290"/>
        <n v="105840"/>
        <n v="329600"/>
        <n v="336840"/>
        <n v="389980"/>
        <n v="607500"/>
        <n v="1147710"/>
        <n v="99180"/>
        <n v="844660"/>
        <n v="625050"/>
        <n v="438180"/>
        <n v="888895"/>
        <n v="2021980"/>
        <n v="260470"/>
        <n v="548900"/>
        <n v="604240"/>
        <n v="518500"/>
        <n v="1264520"/>
        <n v="3549370"/>
        <n v="214500"/>
        <n v="776250"/>
        <n v="804460"/>
        <n v="1015560"/>
        <n v="1319010"/>
        <n v="1629495"/>
        <n v="88440"/>
        <n v="354200"/>
        <n v="339020"/>
        <n v="368480"/>
        <n v="772875"/>
        <n v="1476090"/>
        <n v="109445"/>
        <n v="444770"/>
        <n v="404535"/>
        <n v="512190"/>
        <n v="485440"/>
        <n v="1171170"/>
        <n v="72600"/>
        <n v="772200"/>
        <n v="835920"/>
        <n v="359100"/>
        <n v="713135"/>
        <n v="3302640"/>
        <n v="272020"/>
        <n v="478800"/>
        <n v="505750"/>
        <n v="833680"/>
        <n v="1297620"/>
        <n v="1982400"/>
        <n v="249480"/>
        <n v="601400"/>
        <n v="855500"/>
        <n v="826200"/>
        <n v="1026760"/>
        <n v="1160250"/>
        <n v="105570"/>
        <n v="231280"/>
        <n v="268560"/>
        <n v="380160"/>
        <n v="556100"/>
        <n v="1289105"/>
        <n v="132275"/>
        <n v="269730"/>
        <n v="262800"/>
        <n v="453050"/>
        <n v="553840"/>
        <n v="1865280"/>
        <n v="80325"/>
        <n v="723580"/>
        <n v="798660"/>
        <n v="422730"/>
        <n v="539560"/>
        <n v="2774060"/>
        <n v="250800"/>
        <n v="473680"/>
        <n v="818800"/>
        <n v="1088840"/>
        <n v="1122000"/>
        <n v="2934060"/>
        <n v="299490"/>
        <n v="548000"/>
        <n v="848700"/>
        <n v="584080"/>
        <n v="1127100"/>
        <n v="1231950"/>
        <n v="134190"/>
        <n v="375480"/>
        <n v="379420"/>
        <n v="644640"/>
        <n v="1468480"/>
        <n v="107240"/>
        <n v="311060"/>
        <n v="313480"/>
        <n v="315370"/>
        <n v="592620"/>
      </sharedItems>
    </cacheField>
    <cacheField name="Profit" numFmtId="0">
      <sharedItems containsSemiMixedTypes="0" containsString="0" containsNumber="1" containsInteger="1" minValue="-134712" maxValue="10242691" count="1000">
        <n v="848966"/>
        <n v="768174"/>
        <n v="2629265"/>
        <n v="3822038"/>
        <n v="8561068"/>
        <n v="178679"/>
        <n v="1438514"/>
        <n v="2326030"/>
        <n v="2251998"/>
        <n v="6396237"/>
        <n v="4074672"/>
        <n v="9798"/>
        <n v="666964"/>
        <n v="8416"/>
        <n v="895289"/>
        <n v="6598301"/>
        <n v="2212177"/>
        <n v="-36642"/>
        <n v="1383059"/>
        <n v="1429324"/>
        <n v="2719902"/>
        <n v="5069552"/>
        <n v="4847343"/>
        <n v="-6188"/>
        <n v="800598"/>
        <n v="611303"/>
        <n v="1104942"/>
        <n v="3896300"/>
        <n v="8598995"/>
        <n v="140051"/>
        <n v="280980"/>
        <n v="854833"/>
        <n v="2228402"/>
        <n v="3785487"/>
        <n v="2916271"/>
        <n v="386425"/>
        <n v="853816"/>
        <n v="727561"/>
        <n v="1143577"/>
        <n v="5779177"/>
        <n v="3190224"/>
        <n v="442973"/>
        <n v="257314"/>
        <n v="1819678"/>
        <n v="2743858"/>
        <n v="7770815"/>
        <n v="6977811"/>
        <n v="220544"/>
        <n v="928089"/>
        <n v="2064110"/>
        <n v="1521850"/>
        <n v="3211309"/>
        <n v="6365400"/>
        <n v="343155"/>
        <n v="1171894"/>
        <n v="506407"/>
        <n v="1286891"/>
        <n v="3862932"/>
        <n v="6004780"/>
        <n v="145285"/>
        <n v="1815711"/>
        <n v="1336478"/>
        <n v="2811441"/>
        <n v="6610980"/>
        <n v="10242691"/>
        <n v="166654"/>
        <n v="1208753"/>
        <n v="1581506"/>
        <n v="2922270"/>
        <n v="3458408"/>
        <n v="7678619"/>
        <n v="388138"/>
        <n v="261732"/>
        <n v="364439"/>
        <n v="1126540"/>
        <n v="3213243"/>
        <n v="2603120"/>
        <n v="254941"/>
        <n v="1033655"/>
        <n v="552256"/>
        <n v="1081157"/>
        <n v="4109917"/>
        <n v="2686880"/>
        <n v="281329"/>
        <n v="78482"/>
        <n v="2295897"/>
        <n v="2744335"/>
        <n v="3769684"/>
        <n v="6293088"/>
        <n v="23528"/>
        <n v="425887"/>
        <n v="1079794"/>
        <n v="2004587"/>
        <n v="4174082"/>
        <n v="8431152"/>
        <n v="196070"/>
        <n v="414168"/>
        <n v="1440704"/>
        <n v="2517432"/>
        <n v="5430329"/>
        <n v="6750586"/>
        <n v="69430"/>
        <n v="259737"/>
        <n v="2082173"/>
        <n v="1556681"/>
        <n v="4953886"/>
        <n v="4368250"/>
        <n v="41610"/>
        <n v="939663"/>
        <n v="836958"/>
        <n v="835363"/>
        <n v="6555209"/>
        <n v="7735191"/>
        <n v="-75831"/>
        <n v="772986"/>
        <n v="556153"/>
        <n v="1215304"/>
        <n v="3262867"/>
        <n v="7306961"/>
        <n v="271512"/>
        <n v="356353"/>
        <n v="803915"/>
        <n v="1010246"/>
        <n v="3226252"/>
        <n v="3907082"/>
        <n v="199554"/>
        <n v="1901963"/>
        <n v="1125193"/>
        <n v="808814"/>
        <n v="3616850"/>
        <n v="6894149"/>
        <n v="353889"/>
        <n v="83386"/>
        <n v="1087311"/>
        <n v="1814496"/>
        <n v="4748559"/>
        <n v="2729702"/>
        <n v="54415"/>
        <n v="330416"/>
        <n v="336508"/>
        <n v="633325"/>
        <n v="2998081"/>
        <n v="3871097"/>
        <n v="55324"/>
        <n v="1251049"/>
        <n v="1526138"/>
        <n v="546996"/>
        <n v="3549893"/>
        <n v="7987932"/>
        <n v="300490"/>
        <n v="1137801"/>
        <n v="1688683"/>
        <n v="2330247"/>
        <n v="6647663"/>
        <n v="7917825"/>
        <n v="231746"/>
        <n v="1294321"/>
        <n v="1260136"/>
        <n v="867774"/>
        <n v="4276116"/>
        <n v="7545977"/>
        <n v="31364"/>
        <n v="1739358"/>
        <n v="1481939"/>
        <n v="2020030"/>
        <n v="7483597"/>
        <n v="7723246"/>
        <n v="158188"/>
        <n v="986602"/>
        <n v="1452384"/>
        <n v="438775"/>
        <n v="4327031"/>
        <n v="6878235"/>
        <n v="-66888"/>
        <n v="1074156"/>
        <n v="582170"/>
        <n v="1338361"/>
        <n v="3127673"/>
        <n v="7261150"/>
        <n v="200709"/>
        <n v="406923"/>
        <n v="784715"/>
        <n v="422469"/>
        <n v="7424088"/>
        <n v="3048727"/>
        <n v="44046"/>
        <n v="1748491"/>
        <n v="1470755"/>
        <n v="2218802"/>
        <n v="2907671"/>
        <n v="7955692"/>
        <n v="34623"/>
        <n v="767905"/>
        <n v="609515"/>
        <n v="2688667"/>
        <n v="6974719"/>
        <n v="3368688"/>
        <n v="33765"/>
        <n v="1450281"/>
        <n v="2088968"/>
        <n v="1325691"/>
        <n v="2560854"/>
        <n v="2486249"/>
        <n v="100372"/>
        <n v="533319"/>
        <n v="2031143"/>
        <n v="2469319"/>
        <n v="4524936"/>
        <n v="8003568"/>
        <n v="301212"/>
        <n v="902209"/>
        <n v="1072030"/>
        <n v="3097674"/>
        <n v="7116817"/>
        <n v="3754454"/>
        <n v="24414"/>
        <n v="952591"/>
        <n v="667140"/>
        <n v="773725"/>
        <n v="5811759"/>
        <n v="3080998"/>
        <n v="72965"/>
        <n v="476910"/>
        <n v="448849"/>
        <n v="1133263"/>
        <n v="6847429"/>
        <n v="5958371"/>
        <n v="126724"/>
        <n v="180246"/>
        <n v="547350"/>
        <n v="185611"/>
        <n v="6109897"/>
        <n v="3003346"/>
        <n v="12365"/>
        <n v="729832"/>
        <n v="52979"/>
        <n v="2488911"/>
        <n v="5152645"/>
        <n v="4293584"/>
        <n v="152750"/>
        <n v="1316721"/>
        <n v="1954344"/>
        <n v="2247886"/>
        <n v="3742385"/>
        <n v="9006749"/>
        <n v="356478"/>
        <n v="1919425"/>
        <n v="1819265"/>
        <n v="2783765"/>
        <n v="1956055"/>
        <n v="10051705"/>
        <n v="369529"/>
        <n v="1131507"/>
        <n v="1249311"/>
        <n v="1405383"/>
        <n v="3006839"/>
        <n v="2563584"/>
        <n v="93789"/>
        <n v="1262618"/>
        <n v="351432"/>
        <n v="367464"/>
        <n v="6630932"/>
        <n v="4719375"/>
        <n v="-98870"/>
        <n v="850210"/>
        <n v="2207244"/>
        <n v="460743"/>
        <n v="5790435"/>
        <n v="9385292"/>
        <n v="116077"/>
        <n v="415183"/>
        <n v="2239334"/>
        <n v="2661496"/>
        <n v="6922403"/>
        <n v="5245328"/>
        <n v="53192"/>
        <n v="292635"/>
        <n v="476306"/>
        <n v="1601744"/>
        <n v="6564164"/>
        <n v="6161943"/>
        <n v="209637"/>
        <n v="678201"/>
        <n v="1972995"/>
        <n v="1362934"/>
        <n v="6507565"/>
        <n v="2084964"/>
        <n v="192824"/>
        <n v="1545417"/>
        <n v="-5211"/>
        <n v="631608"/>
        <n v="2958447"/>
        <n v="6317623"/>
        <n v="-92210"/>
        <n v="876577"/>
        <n v="1618896"/>
        <n v="1005559"/>
        <n v="6494935"/>
        <n v="7151213"/>
        <n v="277527"/>
        <n v="640748"/>
        <n v="1773139"/>
        <n v="1374703"/>
        <n v="4466454"/>
        <n v="3875859"/>
        <n v="174512"/>
        <n v="1528548"/>
        <n v="880318"/>
        <n v="2950475"/>
        <n v="6641816"/>
        <n v="8378462"/>
        <n v="88585"/>
        <n v="674282"/>
        <n v="1121390"/>
        <n v="1045652"/>
        <n v="5049474"/>
        <n v="2273044"/>
        <n v="-65457"/>
        <n v="1404599"/>
        <n v="272521"/>
        <n v="2344449"/>
        <n v="4815541"/>
        <n v="4786893"/>
        <n v="159706"/>
        <n v="746791"/>
        <n v="955394"/>
        <n v="1271494"/>
        <n v="5532582"/>
        <n v="7923777"/>
        <n v="242200"/>
        <n v="650170"/>
        <n v="616310"/>
        <n v="3212303"/>
        <n v="4214141"/>
        <n v="5707915"/>
        <n v="140564"/>
        <n v="282942"/>
        <n v="1267830"/>
        <n v="2265694"/>
        <n v="4736569"/>
        <n v="5774913"/>
        <n v="40347"/>
        <n v="833944"/>
        <n v="2317946"/>
        <n v="991042"/>
        <n v="5146500"/>
        <n v="1937655"/>
        <n v="268043"/>
        <n v="1373307"/>
        <n v="823274"/>
        <n v="1447935"/>
        <n v="2399757"/>
        <n v="4486589"/>
        <n v="282109"/>
        <n v="455253"/>
        <n v="760429"/>
        <n v="1365657"/>
        <n v="3675421"/>
        <n v="7271549"/>
        <n v="94705"/>
        <n v="310735"/>
        <n v="1202221"/>
        <n v="3289384"/>
        <n v="5745287"/>
        <n v="7060320"/>
        <n v="342078"/>
        <n v="1103371"/>
        <n v="987337"/>
        <n v="2363656"/>
        <n v="2806730"/>
        <n v="7861285"/>
        <n v="320761"/>
        <n v="263413"/>
        <n v="11093"/>
        <n v="3531880"/>
        <n v="7338416"/>
        <n v="5139836"/>
        <n v="156262"/>
        <n v="713055"/>
        <n v="349853"/>
        <n v="1578057"/>
        <n v="2254137"/>
        <n v="3011117"/>
        <n v="116239"/>
        <n v="348441"/>
        <n v="950152"/>
        <n v="1002831"/>
        <n v="5421621"/>
        <n v="9834237"/>
        <n v="6418"/>
        <n v="1722202"/>
        <n v="1058819"/>
        <n v="1610257"/>
        <n v="6547146"/>
        <n v="6222044"/>
        <n v="88038"/>
        <n v="2099050"/>
        <n v="2044387"/>
        <n v="959505"/>
        <n v="4586552"/>
        <n v="4842221"/>
        <n v="169047"/>
        <n v="1011422"/>
        <n v="1014509"/>
        <n v="2291323"/>
        <n v="7208172"/>
        <n v="3344701"/>
        <n v="99420"/>
        <n v="539487"/>
        <n v="827981"/>
        <n v="2078933"/>
        <n v="2239704"/>
        <n v="4700118"/>
        <n v="278946"/>
        <n v="1343150"/>
        <n v="-80913"/>
        <n v="856352"/>
        <n v="2264531"/>
        <n v="4347521"/>
        <n v="105149"/>
        <n v="803825"/>
        <n v="405552"/>
        <n v="1468647"/>
        <n v="4220539"/>
        <n v="9413045"/>
        <n v="240719"/>
        <n v="2039969"/>
        <n v="716212"/>
        <n v="2488084"/>
        <n v="7390523"/>
        <n v="3719656"/>
        <n v="156131"/>
        <n v="1039688"/>
        <n v="1010269"/>
        <n v="604583"/>
        <n v="8053588"/>
        <n v="3081518"/>
        <n v="194013"/>
        <n v="88312"/>
        <n v="212171"/>
        <n v="1505621"/>
        <n v="2974802"/>
        <n v="3238446"/>
        <n v="-46453"/>
        <n v="520280"/>
        <n v="1429241"/>
        <n v="1939402"/>
        <n v="5667982"/>
        <n v="3203475"/>
        <n v="395499"/>
        <n v="646973"/>
        <n v="2000631"/>
        <n v="868031"/>
        <n v="3004254"/>
        <n v="3856059"/>
        <n v="211560"/>
        <n v="1719737"/>
        <n v="918782"/>
        <n v="2883711"/>
        <n v="4074475"/>
        <n v="7700460"/>
        <n v="404224"/>
        <n v="1071986"/>
        <n v="39030"/>
        <n v="1975153"/>
        <n v="5119512"/>
        <n v="2056108"/>
        <n v="178989"/>
        <n v="1330558"/>
        <n v="1472523"/>
        <n v="785742"/>
        <n v="2809903"/>
        <n v="7417732"/>
        <n v="11486"/>
        <n v="585125"/>
        <n v="1385892"/>
        <n v="638985"/>
        <n v="2863833"/>
        <n v="7162841"/>
        <n v="81230"/>
        <n v="821410"/>
        <n v="1645836"/>
        <n v="1354107"/>
        <n v="5765727"/>
        <n v="5648894"/>
        <n v="318132"/>
        <n v="1738057"/>
        <n v="1066795"/>
        <n v="505280"/>
        <n v="6466701"/>
        <n v="5215705"/>
        <n v="247570"/>
        <n v="172454"/>
        <n v="969935"/>
        <n v="2168387"/>
        <n v="4536286"/>
        <n v="6235180"/>
        <n v="191047"/>
        <n v="262987"/>
        <n v="1634643"/>
        <n v="1902253"/>
        <n v="5453750"/>
        <n v="2078347"/>
        <n v="59962"/>
        <n v="809582"/>
        <n v="2198384"/>
        <n v="1337868"/>
        <n v="5241645"/>
        <n v="7291813"/>
        <n v="378691"/>
        <n v="231553"/>
        <n v="706734"/>
        <n v="1439218"/>
        <n v="3091185"/>
        <n v="8040767"/>
        <n v="370595"/>
        <n v="1975160"/>
        <n v="2431703"/>
        <n v="2817499"/>
        <n v="6622345"/>
        <n v="8398871"/>
        <n v="190280"/>
        <n v="697938"/>
        <n v="1713580"/>
        <n v="934252"/>
        <n v="3302260"/>
        <n v="7811789"/>
        <n v="22742"/>
        <n v="281414"/>
        <n v="1034062"/>
        <n v="2448272"/>
        <n v="5694909"/>
        <n v="5750357"/>
        <n v="228180"/>
        <n v="242531"/>
        <n v="1498280"/>
        <n v="971435"/>
        <n v="5567938"/>
        <n v="8682237"/>
        <n v="140257"/>
        <n v="1347808"/>
        <n v="1023634"/>
        <n v="3263180"/>
        <n v="4367582"/>
        <n v="3986348"/>
        <n v="270104"/>
        <n v="1467285"/>
        <n v="2410459"/>
        <n v="1270351"/>
        <n v="3986884"/>
        <n v="8317232"/>
        <n v="317459"/>
        <n v="1385724"/>
        <n v="1423886"/>
        <n v="1191869"/>
        <n v="5770606"/>
        <n v="8240682"/>
        <n v="111205"/>
        <n v="84264"/>
        <n v="660425"/>
        <n v="1293653"/>
        <n v="5482992"/>
        <n v="7262200"/>
        <n v="76707"/>
        <n v="550801"/>
        <n v="1981805"/>
        <n v="2171719"/>
        <n v="5694679"/>
        <n v="3909820"/>
        <n v="92011"/>
        <n v="1348191"/>
        <n v="824057"/>
        <n v="2505928"/>
        <n v="3969573"/>
        <n v="7608898"/>
        <n v="378863"/>
        <n v="983268"/>
        <n v="1529907"/>
        <n v="2469662"/>
        <n v="5838638"/>
        <n v="5025092"/>
        <n v="195706"/>
        <n v="303384"/>
        <n v="1038383"/>
        <n v="1920435"/>
        <n v="3427694"/>
        <n v="5464180"/>
        <n v="32638"/>
        <n v="1598785"/>
        <n v="442394"/>
        <n v="2378209"/>
        <n v="3604994"/>
        <n v="3497936"/>
        <n v="8432"/>
        <n v="1651398"/>
        <n v="829783"/>
        <n v="1504760"/>
        <n v="2381239"/>
        <n v="3539877"/>
        <n v="166159"/>
        <n v="1968268"/>
        <n v="805133"/>
        <n v="2282820"/>
        <n v="6146239"/>
        <n v="6641580"/>
        <n v="262504"/>
        <n v="546563"/>
        <n v="1055200"/>
        <n v="1766377"/>
        <n v="6237477"/>
        <n v="5035372"/>
        <n v="388887"/>
        <n v="398781"/>
        <n v="1657729"/>
        <n v="741244"/>
        <n v="6024813"/>
        <n v="2754695"/>
        <n v="155105"/>
        <n v="1285436"/>
        <n v="1800495"/>
        <n v="2289687"/>
        <n v="4941264"/>
        <n v="6242464"/>
        <n v="139813"/>
        <n v="987124"/>
        <n v="1423402"/>
        <n v="1684036"/>
        <n v="1999044"/>
        <n v="7565539"/>
        <n v="375869"/>
        <n v="1498643"/>
        <n v="395450"/>
        <n v="630281"/>
        <n v="2229756"/>
        <n v="5446114"/>
        <n v="344076"/>
        <n v="994600"/>
        <n v="1407990"/>
        <n v="2835256"/>
        <n v="5034997"/>
        <n v="3869722"/>
        <n v="94331"/>
        <n v="475364"/>
        <n v="1937081"/>
        <n v="3337583"/>
        <n v="5724725"/>
        <n v="4415441"/>
        <n v="-62623"/>
        <n v="1315849"/>
        <n v="1405653"/>
        <n v="2044476"/>
        <n v="6199034"/>
        <n v="2155402"/>
        <n v="165536"/>
        <n v="899031"/>
        <n v="1369383"/>
        <n v="2374915"/>
        <n v="3756912"/>
        <n v="4016112"/>
        <n v="155478"/>
        <n v="552762"/>
        <n v="449419"/>
        <n v="1506329"/>
        <n v="2108184"/>
        <n v="7094659"/>
        <n v="123920"/>
        <n v="1333087"/>
        <n v="1859972"/>
        <n v="1043333"/>
        <n v="3023093"/>
        <n v="5665928"/>
        <n v="333977"/>
        <n v="882505"/>
        <n v="239049"/>
        <n v="2869584"/>
        <n v="6085148"/>
        <n v="6520003"/>
        <n v="203368"/>
        <n v="1223292"/>
        <n v="830733"/>
        <n v="1449685"/>
        <n v="3845986"/>
        <n v="5899224"/>
        <n v="206672"/>
        <n v="1527649"/>
        <n v="1473582"/>
        <n v="1059372"/>
        <n v="4373712"/>
        <n v="4367459"/>
        <n v="137639"/>
        <n v="233779"/>
        <n v="1510263"/>
        <n v="2568766"/>
        <n v="5389302"/>
        <n v="7610812"/>
        <n v="310422"/>
        <n v="1373941"/>
        <n v="996129"/>
        <n v="2114520"/>
        <n v="4005401"/>
        <n v="8643184"/>
        <n v="350451"/>
        <n v="902738"/>
        <n v="-134712"/>
        <n v="2423492"/>
        <n v="2468437"/>
        <n v="5412412"/>
        <n v="-43810"/>
        <n v="1207003"/>
        <n v="1884860"/>
        <n v="307875"/>
        <n v="2815611"/>
        <n v="4155976"/>
        <n v="-81310"/>
        <n v="101448"/>
        <n v="1411560"/>
        <n v="625841"/>
        <n v="2762244"/>
        <n v="6361143"/>
        <n v="391178"/>
        <n v="1426393"/>
        <n v="1762744"/>
        <n v="2297865"/>
        <n v="2329545"/>
        <n v="8943775"/>
        <n v="374096"/>
        <n v="1815086"/>
        <n v="2429406"/>
        <n v="3190082"/>
        <n v="5257066"/>
        <n v="6311702"/>
        <n v="346989"/>
        <n v="185936"/>
        <n v="1057211"/>
        <n v="2075509"/>
        <n v="6225850"/>
        <n v="2199052"/>
        <n v="92759"/>
        <n v="632865"/>
        <n v="1797101"/>
        <n v="2464716"/>
        <n v="3852391"/>
        <n v="2558005"/>
        <n v="60664"/>
        <n v="675840"/>
        <n v="1423695"/>
        <n v="1808981"/>
        <n v="2841825"/>
        <n v="6412783"/>
        <n v="378806"/>
        <n v="1208821"/>
        <n v="1743660"/>
        <n v="1591646"/>
        <n v="4141387"/>
        <n v="9255196"/>
        <n v="204879"/>
        <n v="1744952"/>
        <n v="1548825"/>
        <n v="1205158"/>
        <n v="3055664"/>
        <n v="3812847"/>
        <n v="51841"/>
        <n v="541382"/>
        <n v="-52554"/>
        <n v="1238802"/>
        <n v="4073489"/>
        <n v="5973951"/>
        <n v="77731"/>
        <n v="194341"/>
        <n v="447151"/>
        <n v="2072884"/>
        <n v="3406026"/>
        <n v="4263713"/>
        <n v="72423"/>
        <n v="723265"/>
        <n v="1945650"/>
        <n v="778255"/>
        <n v="3663168"/>
        <n v="4041211"/>
        <n v="146144"/>
        <n v="550161"/>
        <n v="2045377"/>
        <n v="2947527"/>
        <n v="6791548"/>
        <n v="3459086"/>
        <n v="453537"/>
        <n v="1025308"/>
        <n v="2020836"/>
        <n v="3489554"/>
        <n v="3744782"/>
        <n v="8519324"/>
        <n v="276788"/>
        <n v="417571"/>
        <n v="1807168"/>
        <n v="1466999"/>
        <n v="5858737"/>
        <n v="5580582"/>
        <n v="80941"/>
        <n v="1605659"/>
        <n v="544124"/>
        <n v="2269648"/>
        <n v="3895427"/>
        <n v="7131303"/>
        <n v="67441"/>
        <n v="824226"/>
        <n v="2451797"/>
        <n v="608901"/>
        <n v="2731729"/>
        <n v="4115982"/>
        <n v="245635"/>
        <n v="541454"/>
        <n v="2046276"/>
        <n v="1510572"/>
        <n v="7977583"/>
        <n v="4720521"/>
        <n v="95267"/>
        <n v="623821"/>
        <n v="2073146"/>
        <n v="1244056"/>
        <n v="5543655"/>
        <n v="4260988"/>
        <n v="42185"/>
        <n v="420210"/>
        <n v="758763"/>
        <n v="1484233"/>
        <n v="6456703"/>
        <n v="7161360"/>
        <n v="263190"/>
        <n v="420463"/>
        <n v="1736839"/>
        <n v="622551"/>
        <n v="4446753"/>
        <n v="4038212"/>
        <n v="207626"/>
        <n v="440262"/>
        <n v="1267615"/>
        <n v="428166"/>
        <n v="2942817"/>
        <n v="8286056"/>
        <n v="66329"/>
        <n v="1058299"/>
        <n v="604674"/>
        <n v="1430160"/>
        <n v="5866707"/>
        <n v="8527724"/>
        <n v="292426"/>
        <n v="962859"/>
        <n v="2015071"/>
        <n v="2127881"/>
        <n v="6815256"/>
        <n v="6880369"/>
        <n v="159456"/>
        <n v="1008323"/>
        <n v="1467337"/>
        <n v="1229324"/>
        <n v="4657443"/>
        <n v="4932248"/>
        <n v="13448"/>
        <n v="433633"/>
        <n v="1600054"/>
        <n v="1212397"/>
        <n v="3330984"/>
        <n v="3153117"/>
        <n v="54378"/>
        <n v="1503390"/>
        <n v="1103680"/>
        <n v="1292840"/>
        <n v="5953260"/>
        <n v="4434179"/>
        <n v="106389"/>
        <n v="1212516"/>
        <n v="2467519"/>
        <n v="2755500"/>
        <n v="4807805"/>
        <n v="3384624"/>
        <n v="88595"/>
        <n v="1065759"/>
        <n v="916188"/>
        <n v="2556277"/>
        <n v="7436236"/>
        <n v="7211980"/>
        <n v="126087"/>
        <n v="829807"/>
        <n v="677782"/>
        <n v="2095049"/>
        <n v="5288884"/>
        <n v="3499043"/>
        <n v="30095"/>
        <n v="672686"/>
        <n v="2286108"/>
        <n v="2042096"/>
        <n v="2174053"/>
        <n v="3169337"/>
        <n v="88745"/>
        <n v="732712"/>
        <n v="131669"/>
        <n v="520858"/>
        <n v="4326988"/>
        <n v="6635931"/>
        <n v="48005"/>
        <n v="1303459"/>
        <n v="522607"/>
        <n v="2002231"/>
        <n v="3892468"/>
        <n v="7016487"/>
        <n v="149051"/>
        <n v="555727"/>
        <n v="610158"/>
        <n v="2637034"/>
        <n v="2427125"/>
        <n v="4813979"/>
        <n v="47493"/>
        <n v="1148667"/>
        <n v="927775"/>
        <n v="2854289"/>
        <n v="6349023"/>
        <n v="4619310"/>
        <n v="186998"/>
        <n v="1121381"/>
        <n v="-54072"/>
        <n v="780531"/>
        <n v="3228091"/>
        <n v="6363479"/>
        <n v="210201"/>
        <n v="1470282"/>
        <n v="1489454"/>
        <n v="1413861"/>
        <n v="2961051"/>
        <n v="7109209"/>
        <n v="233086"/>
        <n v="853852"/>
        <n v="1424522"/>
        <n v="456706"/>
        <n v="5530492"/>
        <n v="6686570"/>
        <n v="146235"/>
        <n v="1566132"/>
        <n v="1910795"/>
        <n v="1868112"/>
        <n v="3458590"/>
        <n v="4077628"/>
        <n v="22018"/>
        <n v="837264"/>
        <n v="905051"/>
        <n v="2199553"/>
        <n v="5300299"/>
        <n v="7659503"/>
        <n v="67245"/>
        <n v="552037"/>
        <n v="619390"/>
        <n v="2126891"/>
        <n v="6071398"/>
        <n v="4239144"/>
        <n v="115364"/>
        <n v="737119"/>
        <n v="1611487"/>
        <n v="1861359"/>
        <n v="2633929"/>
        <n v="3042340"/>
        <n v="233405"/>
        <n v="705737"/>
        <n v="353573"/>
        <n v="887007"/>
        <n v="5456538"/>
        <n v="7565039"/>
        <n v="266475"/>
        <n v="1292266"/>
        <n v="901957"/>
        <n v="1801836"/>
        <n v="5661150"/>
        <n v="7373474"/>
        <n v="113598"/>
        <n v="1045234"/>
        <n v="759121"/>
        <n v="1078508"/>
        <n v="5031298"/>
        <n v="5849051"/>
        <n v="121260"/>
        <n v="231587"/>
        <n v="696378"/>
        <n v="2552095"/>
        <n v="4899279"/>
        <n v="2941675"/>
        <n v="215051"/>
        <n v="189756"/>
        <n v="1912484"/>
        <n v="346237"/>
        <n v="1941731"/>
        <n v="6192666"/>
        <n v="329214"/>
        <n v="1820414"/>
        <n v="2656001"/>
        <n v="1711324"/>
        <n v="2859743"/>
        <n v="7176574"/>
        <n v="169757"/>
        <n v="538686"/>
        <n v="996221"/>
        <n v="1843515"/>
        <n v="3702576"/>
      </sharedItems>
    </cacheField>
    <cacheField name="OccupancyPct" numFmtId="0" formula="SeatsSold/SeatsAvailable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2.6988541667" refreshedBy="HP" recordCount="1000">
  <cacheSource type="worksheet">
    <worksheetSource name="Table1"/>
  </cacheSource>
  <cacheFields count="13">
    <cacheField name="FlightID" numFmtId="0">
      <sharedItems count="1000">
        <s v="FL0001"/>
        <s v="FL0002"/>
        <s v="FL0003"/>
        <s v="FL0004"/>
        <s v="FL0005"/>
        <s v="FL0006"/>
        <s v="FL0007"/>
        <s v="FL0008"/>
        <s v="FL0009"/>
        <s v="FL0010"/>
        <s v="FL0011"/>
        <s v="FL0012"/>
        <s v="FL0013"/>
        <s v="FL0014"/>
        <s v="FL0015"/>
        <s v="FL0016"/>
        <s v="FL0017"/>
        <s v="FL0018"/>
        <s v="FL0019"/>
        <s v="FL0020"/>
        <s v="FL0021"/>
        <s v="FL0022"/>
        <s v="FL0023"/>
        <s v="FL0024"/>
        <s v="FL0025"/>
        <s v="FL0026"/>
        <s v="FL0027"/>
        <s v="FL0028"/>
        <s v="FL0029"/>
        <s v="FL0030"/>
        <s v="FL0031"/>
        <s v="FL0032"/>
        <s v="FL0033"/>
        <s v="FL0034"/>
        <s v="FL0035"/>
        <s v="FL0036"/>
        <s v="FL0037"/>
        <s v="FL0038"/>
        <s v="FL0039"/>
        <s v="FL0040"/>
        <s v="FL0041"/>
        <s v="FL0042"/>
        <s v="FL0043"/>
        <s v="FL0044"/>
        <s v="FL0045"/>
        <s v="FL0046"/>
        <s v="FL0047"/>
        <s v="FL0048"/>
        <s v="FL0049"/>
        <s v="FL0050"/>
        <s v="FL0051"/>
        <s v="FL0052"/>
        <s v="FL0053"/>
        <s v="FL0054"/>
        <s v="FL0055"/>
        <s v="FL0056"/>
        <s v="FL0057"/>
        <s v="FL0058"/>
        <s v="FL0059"/>
        <s v="FL0060"/>
        <s v="FL0061"/>
        <s v="FL0062"/>
        <s v="FL0063"/>
        <s v="FL0064"/>
        <s v="FL0065"/>
        <s v="FL0066"/>
        <s v="FL0067"/>
        <s v="FL0068"/>
        <s v="FL0069"/>
        <s v="FL0070"/>
        <s v="FL0071"/>
        <s v="FL0072"/>
        <s v="FL0073"/>
        <s v="FL0074"/>
        <s v="FL0075"/>
        <s v="FL0076"/>
        <s v="FL0077"/>
        <s v="FL0078"/>
        <s v="FL0079"/>
        <s v="FL0080"/>
        <s v="FL0081"/>
        <s v="FL0082"/>
        <s v="FL0083"/>
        <s v="FL0084"/>
        <s v="FL0085"/>
        <s v="FL0086"/>
        <s v="FL0087"/>
        <s v="FL0088"/>
        <s v="FL0089"/>
        <s v="FL0090"/>
        <s v="FL0091"/>
        <s v="FL0092"/>
        <s v="FL0093"/>
        <s v="FL0094"/>
        <s v="FL0095"/>
        <s v="FL0096"/>
        <s v="FL0097"/>
        <s v="FL0098"/>
        <s v="FL0099"/>
        <s v="FL0100"/>
        <s v="FL0101"/>
        <s v="FL0102"/>
        <s v="FL0103"/>
        <s v="FL0104"/>
        <s v="FL0105"/>
        <s v="FL0106"/>
        <s v="FL0107"/>
        <s v="FL0108"/>
        <s v="FL0109"/>
        <s v="FL0110"/>
        <s v="FL0111"/>
        <s v="FL0112"/>
        <s v="FL0113"/>
        <s v="FL0114"/>
        <s v="FL0115"/>
        <s v="FL0116"/>
        <s v="FL0117"/>
        <s v="FL0118"/>
        <s v="FL0119"/>
        <s v="FL0120"/>
        <s v="FL0121"/>
        <s v="FL0122"/>
        <s v="FL0123"/>
        <s v="FL0124"/>
        <s v="FL0125"/>
        <s v="FL0126"/>
        <s v="FL0127"/>
        <s v="FL0128"/>
        <s v="FL0129"/>
        <s v="FL0130"/>
        <s v="FL0131"/>
        <s v="FL0132"/>
        <s v="FL0133"/>
        <s v="FL0134"/>
        <s v="FL0135"/>
        <s v="FL0136"/>
        <s v="FL0137"/>
        <s v="FL0138"/>
        <s v="FL0139"/>
        <s v="FL0140"/>
        <s v="FL0141"/>
        <s v="FL0142"/>
        <s v="FL0143"/>
        <s v="FL0144"/>
        <s v="FL0145"/>
        <s v="FL0146"/>
        <s v="FL0147"/>
        <s v="FL0148"/>
        <s v="FL0149"/>
        <s v="FL0150"/>
        <s v="FL0151"/>
        <s v="FL0152"/>
        <s v="FL0153"/>
        <s v="FL0154"/>
        <s v="FL0155"/>
        <s v="FL0156"/>
        <s v="FL0157"/>
        <s v="FL0158"/>
        <s v="FL0159"/>
        <s v="FL0160"/>
        <s v="FL0161"/>
        <s v="FL0162"/>
        <s v="FL0163"/>
        <s v="FL0164"/>
        <s v="FL0165"/>
        <s v="FL0166"/>
        <s v="FL0167"/>
        <s v="FL0168"/>
        <s v="FL0169"/>
        <s v="FL0170"/>
        <s v="FL0171"/>
        <s v="FL0172"/>
        <s v="FL0173"/>
        <s v="FL0174"/>
        <s v="FL0175"/>
        <s v="FL0176"/>
        <s v="FL0177"/>
        <s v="FL0178"/>
        <s v="FL0179"/>
        <s v="FL0180"/>
        <s v="FL0181"/>
        <s v="FL0182"/>
        <s v="FL0183"/>
        <s v="FL0184"/>
        <s v="FL0185"/>
        <s v="FL0186"/>
        <s v="FL0187"/>
        <s v="FL0188"/>
        <s v="FL0189"/>
        <s v="FL0190"/>
        <s v="FL0191"/>
        <s v="FL0192"/>
        <s v="FL0193"/>
        <s v="FL0194"/>
        <s v="FL0195"/>
        <s v="FL0196"/>
        <s v="FL0197"/>
        <s v="FL0198"/>
        <s v="FL0199"/>
        <s v="FL0200"/>
        <s v="FL0201"/>
        <s v="FL0202"/>
        <s v="FL0203"/>
        <s v="FL0204"/>
        <s v="FL0205"/>
        <s v="FL0206"/>
        <s v="FL0207"/>
        <s v="FL0208"/>
        <s v="FL0209"/>
        <s v="FL0210"/>
        <s v="FL0211"/>
        <s v="FL0212"/>
        <s v="FL0213"/>
        <s v="FL0214"/>
        <s v="FL0215"/>
        <s v="FL0216"/>
        <s v="FL0217"/>
        <s v="FL0218"/>
        <s v="FL0219"/>
        <s v="FL0220"/>
        <s v="FL0221"/>
        <s v="FL0222"/>
        <s v="FL0223"/>
        <s v="FL0224"/>
        <s v="FL0225"/>
        <s v="FL0226"/>
        <s v="FL0227"/>
        <s v="FL0228"/>
        <s v="FL0229"/>
        <s v="FL0230"/>
        <s v="FL0231"/>
        <s v="FL0232"/>
        <s v="FL0233"/>
        <s v="FL0234"/>
        <s v="FL0235"/>
        <s v="FL0236"/>
        <s v="FL0237"/>
        <s v="FL0238"/>
        <s v="FL0239"/>
        <s v="FL0240"/>
        <s v="FL0241"/>
        <s v="FL0242"/>
        <s v="FL0243"/>
        <s v="FL0244"/>
        <s v="FL0245"/>
        <s v="FL0246"/>
        <s v="FL0247"/>
        <s v="FL0248"/>
        <s v="FL0249"/>
        <s v="FL0250"/>
        <s v="FL0251"/>
        <s v="FL0252"/>
        <s v="FL0253"/>
        <s v="FL0254"/>
        <s v="FL0255"/>
        <s v="FL0256"/>
        <s v="FL0257"/>
        <s v="FL0258"/>
        <s v="FL0259"/>
        <s v="FL0260"/>
        <s v="FL0261"/>
        <s v="FL0262"/>
        <s v="FL0263"/>
        <s v="FL0264"/>
        <s v="FL0265"/>
        <s v="FL0266"/>
        <s v="FL0267"/>
        <s v="FL0268"/>
        <s v="FL0269"/>
        <s v="FL0270"/>
        <s v="FL0271"/>
        <s v="FL0272"/>
        <s v="FL0273"/>
        <s v="FL0274"/>
        <s v="FL0275"/>
        <s v="FL0276"/>
        <s v="FL0277"/>
        <s v="FL0278"/>
        <s v="FL0279"/>
        <s v="FL0280"/>
        <s v="FL0281"/>
        <s v="FL0282"/>
        <s v="FL0283"/>
        <s v="FL0284"/>
        <s v="FL0285"/>
        <s v="FL0286"/>
        <s v="FL0287"/>
        <s v="FL0288"/>
        <s v="FL0289"/>
        <s v="FL0290"/>
        <s v="FL0291"/>
        <s v="FL0292"/>
        <s v="FL0293"/>
        <s v="FL0294"/>
        <s v="FL0295"/>
        <s v="FL0296"/>
        <s v="FL0297"/>
        <s v="FL0298"/>
        <s v="FL0299"/>
        <s v="FL0300"/>
        <s v="FL0301"/>
        <s v="FL0302"/>
        <s v="FL0303"/>
        <s v="FL0304"/>
        <s v="FL0305"/>
        <s v="FL0306"/>
        <s v="FL0307"/>
        <s v="FL0308"/>
        <s v="FL0309"/>
        <s v="FL0310"/>
        <s v="FL0311"/>
        <s v="FL0312"/>
        <s v="FL0313"/>
        <s v="FL0314"/>
        <s v="FL0315"/>
        <s v="FL0316"/>
        <s v="FL0317"/>
        <s v="FL0318"/>
        <s v="FL0319"/>
        <s v="FL0320"/>
        <s v="FL0321"/>
        <s v="FL0322"/>
        <s v="FL0323"/>
        <s v="FL0324"/>
        <s v="FL0325"/>
        <s v="FL0326"/>
        <s v="FL0327"/>
        <s v="FL0328"/>
        <s v="FL0329"/>
        <s v="FL0330"/>
        <s v="FL0331"/>
        <s v="FL0332"/>
        <s v="FL0333"/>
        <s v="FL0334"/>
        <s v="FL0335"/>
        <s v="FL0336"/>
        <s v="FL0337"/>
        <s v="FL0338"/>
        <s v="FL0339"/>
        <s v="FL0340"/>
        <s v="FL0341"/>
        <s v="FL0342"/>
        <s v="FL0343"/>
        <s v="FL0344"/>
        <s v="FL0345"/>
        <s v="FL0346"/>
        <s v="FL0347"/>
        <s v="FL0348"/>
        <s v="FL0349"/>
        <s v="FL0350"/>
        <s v="FL0351"/>
        <s v="FL0352"/>
        <s v="FL0353"/>
        <s v="FL0354"/>
        <s v="FL0355"/>
        <s v="FL0356"/>
        <s v="FL0357"/>
        <s v="FL0358"/>
        <s v="FL0359"/>
        <s v="FL0360"/>
        <s v="FL0361"/>
        <s v="FL0362"/>
        <s v="FL0363"/>
        <s v="FL0364"/>
        <s v="FL0365"/>
        <s v="FL0366"/>
        <s v="FL0367"/>
        <s v="FL0368"/>
        <s v="FL0369"/>
        <s v="FL0370"/>
        <s v="FL0371"/>
        <s v="FL0372"/>
        <s v="FL0373"/>
        <s v="FL0374"/>
        <s v="FL0375"/>
        <s v="FL0376"/>
        <s v="FL0377"/>
        <s v="FL0378"/>
        <s v="FL0379"/>
        <s v="FL0380"/>
        <s v="FL0381"/>
        <s v="FL0382"/>
        <s v="FL0383"/>
        <s v="FL0384"/>
        <s v="FL0385"/>
        <s v="FL0386"/>
        <s v="FL0387"/>
        <s v="FL0388"/>
        <s v="FL0389"/>
        <s v="FL0390"/>
        <s v="FL0391"/>
        <s v="FL0392"/>
        <s v="FL0393"/>
        <s v="FL0394"/>
        <s v="FL0395"/>
        <s v="FL0396"/>
        <s v="FL0397"/>
        <s v="FL0398"/>
        <s v="FL0399"/>
        <s v="FL0400"/>
        <s v="FL0401"/>
        <s v="FL0402"/>
        <s v="FL0403"/>
        <s v="FL0404"/>
        <s v="FL0405"/>
        <s v="FL0406"/>
        <s v="FL0407"/>
        <s v="FL0408"/>
        <s v="FL0409"/>
        <s v="FL0410"/>
        <s v="FL0411"/>
        <s v="FL0412"/>
        <s v="FL0413"/>
        <s v="FL0414"/>
        <s v="FL0415"/>
        <s v="FL0416"/>
        <s v="FL0417"/>
        <s v="FL0418"/>
        <s v="FL0419"/>
        <s v="FL0420"/>
        <s v="FL0421"/>
        <s v="FL0422"/>
        <s v="FL0423"/>
        <s v="FL0424"/>
        <s v="FL0425"/>
        <s v="FL0426"/>
        <s v="FL0427"/>
        <s v="FL0428"/>
        <s v="FL0429"/>
        <s v="FL0430"/>
        <s v="FL0431"/>
        <s v="FL0432"/>
        <s v="FL0433"/>
        <s v="FL0434"/>
        <s v="FL0435"/>
        <s v="FL0436"/>
        <s v="FL0437"/>
        <s v="FL0438"/>
        <s v="FL0439"/>
        <s v="FL0440"/>
        <s v="FL0441"/>
        <s v="FL0442"/>
        <s v="FL0443"/>
        <s v="FL0444"/>
        <s v="FL0445"/>
        <s v="FL0446"/>
        <s v="FL0447"/>
        <s v="FL0448"/>
        <s v="FL0449"/>
        <s v="FL0450"/>
        <s v="FL0451"/>
        <s v="FL0452"/>
        <s v="FL0453"/>
        <s v="FL0454"/>
        <s v="FL0455"/>
        <s v="FL0456"/>
        <s v="FL0457"/>
        <s v="FL0458"/>
        <s v="FL0459"/>
        <s v="FL0460"/>
        <s v="FL0461"/>
        <s v="FL0462"/>
        <s v="FL0463"/>
        <s v="FL0464"/>
        <s v="FL0465"/>
        <s v="FL0466"/>
        <s v="FL0467"/>
        <s v="FL0468"/>
        <s v="FL0469"/>
        <s v="FL0470"/>
        <s v="FL0471"/>
        <s v="FL0472"/>
        <s v="FL0473"/>
        <s v="FL0474"/>
        <s v="FL0475"/>
        <s v="FL0476"/>
        <s v="FL0477"/>
        <s v="FL0478"/>
        <s v="FL0479"/>
        <s v="FL0480"/>
        <s v="FL0481"/>
        <s v="FL0482"/>
        <s v="FL0483"/>
        <s v="FL0484"/>
        <s v="FL0485"/>
        <s v="FL0486"/>
        <s v="FL0487"/>
        <s v="FL0488"/>
        <s v="FL0489"/>
        <s v="FL0490"/>
        <s v="FL0491"/>
        <s v="FL0492"/>
        <s v="FL0493"/>
        <s v="FL0494"/>
        <s v="FL0495"/>
        <s v="FL0496"/>
        <s v="FL0497"/>
        <s v="FL0498"/>
        <s v="FL0499"/>
        <s v="FL0500"/>
        <s v="FL0501"/>
        <s v="FL0502"/>
        <s v="FL0503"/>
        <s v="FL0504"/>
        <s v="FL0505"/>
        <s v="FL0506"/>
        <s v="FL0507"/>
        <s v="FL0508"/>
        <s v="FL0509"/>
        <s v="FL0510"/>
        <s v="FL0511"/>
        <s v="FL0512"/>
        <s v="FL0513"/>
        <s v="FL0514"/>
        <s v="FL0515"/>
        <s v="FL0516"/>
        <s v="FL0517"/>
        <s v="FL0518"/>
        <s v="FL0519"/>
        <s v="FL0520"/>
        <s v="FL0521"/>
        <s v="FL0522"/>
        <s v="FL0523"/>
        <s v="FL0524"/>
        <s v="FL0525"/>
        <s v="FL0526"/>
        <s v="FL0527"/>
        <s v="FL0528"/>
        <s v="FL0529"/>
        <s v="FL0530"/>
        <s v="FL0531"/>
        <s v="FL0532"/>
        <s v="FL0533"/>
        <s v="FL0534"/>
        <s v="FL0535"/>
        <s v="FL0536"/>
        <s v="FL0537"/>
        <s v="FL0538"/>
        <s v="FL0539"/>
        <s v="FL0540"/>
        <s v="FL0541"/>
        <s v="FL0542"/>
        <s v="FL0543"/>
        <s v="FL0544"/>
        <s v="FL0545"/>
        <s v="FL0546"/>
        <s v="FL0547"/>
        <s v="FL0548"/>
        <s v="FL0549"/>
        <s v="FL0550"/>
        <s v="FL0551"/>
        <s v="FL0552"/>
        <s v="FL0553"/>
        <s v="FL0554"/>
        <s v="FL0555"/>
        <s v="FL0556"/>
        <s v="FL0557"/>
        <s v="FL0558"/>
        <s v="FL0559"/>
        <s v="FL0560"/>
        <s v="FL0561"/>
        <s v="FL0562"/>
        <s v="FL0563"/>
        <s v="FL0564"/>
        <s v="FL0565"/>
        <s v="FL0566"/>
        <s v="FL0567"/>
        <s v="FL0568"/>
        <s v="FL0569"/>
        <s v="FL0570"/>
        <s v="FL0571"/>
        <s v="FL0572"/>
        <s v="FL0573"/>
        <s v="FL0574"/>
        <s v="FL0575"/>
        <s v="FL0576"/>
        <s v="FL0577"/>
        <s v="FL0578"/>
        <s v="FL0579"/>
        <s v="FL0580"/>
        <s v="FL0581"/>
        <s v="FL0582"/>
        <s v="FL0583"/>
        <s v="FL0584"/>
        <s v="FL0585"/>
        <s v="FL0586"/>
        <s v="FL0587"/>
        <s v="FL0588"/>
        <s v="FL0589"/>
        <s v="FL0590"/>
        <s v="FL0591"/>
        <s v="FL0592"/>
        <s v="FL0593"/>
        <s v="FL0594"/>
        <s v="FL0595"/>
        <s v="FL0596"/>
        <s v="FL0597"/>
        <s v="FL0598"/>
        <s v="FL0599"/>
        <s v="FL0600"/>
        <s v="FL0601"/>
        <s v="FL0602"/>
        <s v="FL0603"/>
        <s v="FL0604"/>
        <s v="FL0605"/>
        <s v="FL0606"/>
        <s v="FL0607"/>
        <s v="FL0608"/>
        <s v="FL0609"/>
        <s v="FL0610"/>
        <s v="FL0611"/>
        <s v="FL0612"/>
        <s v="FL0613"/>
        <s v="FL0614"/>
        <s v="FL0615"/>
        <s v="FL0616"/>
        <s v="FL0617"/>
        <s v="FL0618"/>
        <s v="FL0619"/>
        <s v="FL0620"/>
        <s v="FL0621"/>
        <s v="FL0622"/>
        <s v="FL0623"/>
        <s v="FL0624"/>
        <s v="FL0625"/>
        <s v="FL0626"/>
        <s v="FL0627"/>
        <s v="FL0628"/>
        <s v="FL0629"/>
        <s v="FL0630"/>
        <s v="FL0631"/>
        <s v="FL0632"/>
        <s v="FL0633"/>
        <s v="FL0634"/>
        <s v="FL0635"/>
        <s v="FL0636"/>
        <s v="FL0637"/>
        <s v="FL0638"/>
        <s v="FL0639"/>
        <s v="FL0640"/>
        <s v="FL0641"/>
        <s v="FL0642"/>
        <s v="FL0643"/>
        <s v="FL0644"/>
        <s v="FL0645"/>
        <s v="FL0646"/>
        <s v="FL0647"/>
        <s v="FL0648"/>
        <s v="FL0649"/>
        <s v="FL0650"/>
        <s v="FL0651"/>
        <s v="FL0652"/>
        <s v="FL0653"/>
        <s v="FL0654"/>
        <s v="FL0655"/>
        <s v="FL0656"/>
        <s v="FL0657"/>
        <s v="FL0658"/>
        <s v="FL0659"/>
        <s v="FL0660"/>
        <s v="FL0661"/>
        <s v="FL0662"/>
        <s v="FL0663"/>
        <s v="FL0664"/>
        <s v="FL0665"/>
        <s v="FL0666"/>
        <s v="FL0667"/>
        <s v="FL0668"/>
        <s v="FL0669"/>
        <s v="FL0670"/>
        <s v="FL0671"/>
        <s v="FL0672"/>
        <s v="FL0673"/>
        <s v="FL0674"/>
        <s v="FL0675"/>
        <s v="FL0676"/>
        <s v="FL0677"/>
        <s v="FL0678"/>
        <s v="FL0679"/>
        <s v="FL0680"/>
        <s v="FL0681"/>
        <s v="FL0682"/>
        <s v="FL0683"/>
        <s v="FL0684"/>
        <s v="FL0685"/>
        <s v="FL0686"/>
        <s v="FL0687"/>
        <s v="FL0688"/>
        <s v="FL0689"/>
        <s v="FL0690"/>
        <s v="FL0691"/>
        <s v="FL0692"/>
        <s v="FL0693"/>
        <s v="FL0694"/>
        <s v="FL0695"/>
        <s v="FL0696"/>
        <s v="FL0697"/>
        <s v="FL0698"/>
        <s v="FL0699"/>
        <s v="FL0700"/>
        <s v="FL0701"/>
        <s v="FL0702"/>
        <s v="FL0703"/>
        <s v="FL0704"/>
        <s v="FL0705"/>
        <s v="FL0706"/>
        <s v="FL0707"/>
        <s v="FL0708"/>
        <s v="FL0709"/>
        <s v="FL0710"/>
        <s v="FL0711"/>
        <s v="FL0712"/>
        <s v="FL0713"/>
        <s v="FL0714"/>
        <s v="FL0715"/>
        <s v="FL0716"/>
        <s v="FL0717"/>
        <s v="FL0718"/>
        <s v="FL0719"/>
        <s v="FL0720"/>
        <s v="FL0721"/>
        <s v="FL0722"/>
        <s v="FL0723"/>
        <s v="FL0724"/>
        <s v="FL0725"/>
        <s v="FL0726"/>
        <s v="FL0727"/>
        <s v="FL0728"/>
        <s v="FL0729"/>
        <s v="FL0730"/>
        <s v="FL0731"/>
        <s v="FL0732"/>
        <s v="FL0733"/>
        <s v="FL0734"/>
        <s v="FL0735"/>
        <s v="FL0736"/>
        <s v="FL0737"/>
        <s v="FL0738"/>
        <s v="FL0739"/>
        <s v="FL0740"/>
        <s v="FL0741"/>
        <s v="FL0742"/>
        <s v="FL0743"/>
        <s v="FL0744"/>
        <s v="FL0745"/>
        <s v="FL0746"/>
        <s v="FL0747"/>
        <s v="FL0748"/>
        <s v="FL0749"/>
        <s v="FL0750"/>
        <s v="FL0751"/>
        <s v="FL0752"/>
        <s v="FL0753"/>
        <s v="FL0754"/>
        <s v="FL0755"/>
        <s v="FL0756"/>
        <s v="FL0757"/>
        <s v="FL0758"/>
        <s v="FL0759"/>
        <s v="FL0760"/>
        <s v="FL0761"/>
        <s v="FL0762"/>
        <s v="FL0763"/>
        <s v="FL0764"/>
        <s v="FL0765"/>
        <s v="FL0766"/>
        <s v="FL0767"/>
        <s v="FL0768"/>
        <s v="FL0769"/>
        <s v="FL0770"/>
        <s v="FL0771"/>
        <s v="FL0772"/>
        <s v="FL0773"/>
        <s v="FL0774"/>
        <s v="FL0775"/>
        <s v="FL0776"/>
        <s v="FL0777"/>
        <s v="FL0778"/>
        <s v="FL0779"/>
        <s v="FL0780"/>
        <s v="FL0781"/>
        <s v="FL0782"/>
        <s v="FL0783"/>
        <s v="FL0784"/>
        <s v="FL0785"/>
        <s v="FL0786"/>
        <s v="FL0787"/>
        <s v="FL0788"/>
        <s v="FL0789"/>
        <s v="FL0790"/>
        <s v="FL0791"/>
        <s v="FL0792"/>
        <s v="FL0793"/>
        <s v="FL0794"/>
        <s v="FL0795"/>
        <s v="FL0796"/>
        <s v="FL0797"/>
        <s v="FL0798"/>
        <s v="FL0799"/>
        <s v="FL0800"/>
        <s v="FL0801"/>
        <s v="FL0802"/>
        <s v="FL0803"/>
        <s v="FL0804"/>
        <s v="FL0805"/>
        <s v="FL0806"/>
        <s v="FL0807"/>
        <s v="FL0808"/>
        <s v="FL0809"/>
        <s v="FL0810"/>
        <s v="FL0811"/>
        <s v="FL0812"/>
        <s v="FL0813"/>
        <s v="FL0814"/>
        <s v="FL0815"/>
        <s v="FL0816"/>
        <s v="FL0817"/>
        <s v="FL0818"/>
        <s v="FL0819"/>
        <s v="FL0820"/>
        <s v="FL0821"/>
        <s v="FL0822"/>
        <s v="FL0823"/>
        <s v="FL0824"/>
        <s v="FL0825"/>
        <s v="FL0826"/>
        <s v="FL0827"/>
        <s v="FL0828"/>
        <s v="FL0829"/>
        <s v="FL0830"/>
        <s v="FL0831"/>
        <s v="FL0832"/>
        <s v="FL0833"/>
        <s v="FL0834"/>
        <s v="FL0835"/>
        <s v="FL0836"/>
        <s v="FL0837"/>
        <s v="FL0838"/>
        <s v="FL0839"/>
        <s v="FL0840"/>
        <s v="FL0841"/>
        <s v="FL0842"/>
        <s v="FL0843"/>
        <s v="FL0844"/>
        <s v="FL0845"/>
        <s v="FL0846"/>
        <s v="FL0847"/>
        <s v="FL0848"/>
        <s v="FL0849"/>
        <s v="FL0850"/>
        <s v="FL0851"/>
        <s v="FL0852"/>
        <s v="FL0853"/>
        <s v="FL0854"/>
        <s v="FL0855"/>
        <s v="FL0856"/>
        <s v="FL0857"/>
        <s v="FL0858"/>
        <s v="FL0859"/>
        <s v="FL0860"/>
        <s v="FL0861"/>
        <s v="FL0862"/>
        <s v="FL0863"/>
        <s v="FL0864"/>
        <s v="FL0865"/>
        <s v="FL0866"/>
        <s v="FL0867"/>
        <s v="FL0868"/>
        <s v="FL0869"/>
        <s v="FL0870"/>
        <s v="FL0871"/>
        <s v="FL0872"/>
        <s v="FL0873"/>
        <s v="FL0874"/>
        <s v="FL0875"/>
        <s v="FL0876"/>
        <s v="FL0877"/>
        <s v="FL0878"/>
        <s v="FL0879"/>
        <s v="FL0880"/>
        <s v="FL0881"/>
        <s v="FL0882"/>
        <s v="FL0883"/>
        <s v="FL0884"/>
        <s v="FL0885"/>
        <s v="FL0886"/>
        <s v="FL0887"/>
        <s v="FL0888"/>
        <s v="FL0889"/>
        <s v="FL0890"/>
        <s v="FL0891"/>
        <s v="FL0892"/>
        <s v="FL0893"/>
        <s v="FL0894"/>
        <s v="FL0895"/>
        <s v="FL0896"/>
        <s v="FL0897"/>
        <s v="FL0898"/>
        <s v="FL0899"/>
        <s v="FL0900"/>
        <s v="FL0901"/>
        <s v="FL0902"/>
        <s v="FL0903"/>
        <s v="FL0904"/>
        <s v="FL0905"/>
        <s v="FL0906"/>
        <s v="FL0907"/>
        <s v="FL0908"/>
        <s v="FL0909"/>
        <s v="FL0910"/>
        <s v="FL0911"/>
        <s v="FL0912"/>
        <s v="FL0913"/>
        <s v="FL0914"/>
        <s v="FL0915"/>
        <s v="FL0916"/>
        <s v="FL0917"/>
        <s v="FL0918"/>
        <s v="FL0919"/>
        <s v="FL0920"/>
        <s v="FL0921"/>
        <s v="FL0922"/>
        <s v="FL0923"/>
        <s v="FL0924"/>
        <s v="FL0925"/>
        <s v="FL0926"/>
        <s v="FL0927"/>
        <s v="FL0928"/>
        <s v="FL0929"/>
        <s v="FL0930"/>
        <s v="FL0931"/>
        <s v="FL0932"/>
        <s v="FL0933"/>
        <s v="FL0934"/>
        <s v="FL0935"/>
        <s v="FL0936"/>
        <s v="FL0937"/>
        <s v="FL0938"/>
        <s v="FL0939"/>
        <s v="FL0940"/>
        <s v="FL0941"/>
        <s v="FL0942"/>
        <s v="FL0943"/>
        <s v="FL0944"/>
        <s v="FL0945"/>
        <s v="FL0946"/>
        <s v="FL0947"/>
        <s v="FL0948"/>
        <s v="FL0949"/>
        <s v="FL0950"/>
        <s v="FL0951"/>
        <s v="FL0952"/>
        <s v="FL0953"/>
        <s v="FL0954"/>
        <s v="FL0955"/>
        <s v="FL0956"/>
        <s v="FL0957"/>
        <s v="FL0958"/>
        <s v="FL0959"/>
        <s v="FL0960"/>
        <s v="FL0961"/>
        <s v="FL0962"/>
        <s v="FL0963"/>
        <s v="FL0964"/>
        <s v="FL0965"/>
        <s v="FL0966"/>
        <s v="FL0967"/>
        <s v="FL0968"/>
        <s v="FL0969"/>
        <s v="FL0970"/>
        <s v="FL0971"/>
        <s v="FL0972"/>
        <s v="FL0973"/>
        <s v="FL0974"/>
        <s v="FL0975"/>
        <s v="FL0976"/>
        <s v="FL0977"/>
        <s v="FL0978"/>
        <s v="FL0979"/>
        <s v="FL0980"/>
        <s v="FL0981"/>
        <s v="FL0982"/>
        <s v="FL0983"/>
        <s v="FL0984"/>
        <s v="FL0985"/>
        <s v="FL0986"/>
        <s v="FL0987"/>
        <s v="FL0988"/>
        <s v="FL0989"/>
        <s v="FL0990"/>
        <s v="FL0991"/>
        <s v="FL0992"/>
        <s v="FL0993"/>
        <s v="FL0994"/>
        <s v="FL0995"/>
        <s v="FL0996"/>
        <s v="FL0997"/>
        <s v="FL0998"/>
        <s v="FL0999"/>
        <s v="FL1000"/>
      </sharedItems>
    </cacheField>
    <cacheField name="RouteCode" numFmtId="0">
      <sharedItems count="30">
        <s v="BOM-DEL"/>
        <s v="DEL-BOM"/>
        <s v="DEL-BLR"/>
        <s v="BLR-DEL"/>
        <s v="BOM-BLR"/>
        <s v="BLR-BOM"/>
        <s v="BOM-CCU"/>
        <s v="CCU-BOM"/>
        <s v="DEL-HYD"/>
        <s v="HYD-DEL"/>
        <s v="BLR-CCU"/>
        <s v="CCU-BLR"/>
        <s v="BOM-DXB"/>
        <s v="DXB-BOM"/>
        <s v="DEL-DXB"/>
        <s v="DXB-DEL"/>
        <s v="BLR-SIN"/>
        <s v="SIN-BLR"/>
        <s v="BOM-SIN"/>
        <s v="SIN-BOM"/>
        <s v="DEL-LHR"/>
        <s v="LHR-DEL"/>
        <s v="BOM-LHR"/>
        <s v="LHR-BOM"/>
        <s v="DEL-JFK"/>
        <s v="JFK-DEL"/>
        <s v="BLR-DXB"/>
        <s v="DXB-BLR"/>
        <s v="HYD-BOM"/>
        <s v="BOM-HYD"/>
      </sharedItems>
    </cacheField>
    <cacheField name="Origin" numFmtId="0">
      <sharedItems count="9">
        <s v="BOM"/>
        <s v="DEL"/>
        <s v="BLR"/>
        <s v="CCU"/>
        <s v="HYD"/>
        <s v="DXB"/>
        <s v="SIN"/>
        <s v="LHR"/>
        <s v="JFK"/>
      </sharedItems>
    </cacheField>
    <cacheField name="Destination" numFmtId="0">
      <sharedItems count="9">
        <s v="DEL"/>
        <s v="BOM"/>
        <s v="BLR"/>
        <s v="CCU"/>
        <s v="HYD"/>
        <s v="DXB"/>
        <s v="SIN"/>
        <s v="LHR"/>
        <s v="JFK"/>
      </sharedItems>
    </cacheField>
    <cacheField name="FlightDate" numFmtId="180">
      <sharedItems containsSemiMixedTypes="0" containsString="0" containsNonDate="0" containsDate="1" minDate="2024-01-01T00:00:00" maxDate="2024-12-30T00:00:00" count="365">
        <d v="2024-03-08T00:00:00"/>
        <d v="2024-06-02T00:00:00"/>
        <d v="2024-05-01T00:00:00"/>
        <d v="2024-04-08T00:00:00"/>
        <d v="2024-03-04T00:00:00"/>
        <d v="2024-03-14T00:00:00"/>
        <d v="2024-05-19T00:00:00"/>
        <d v="2024-06-24T00:00:00"/>
        <d v="2024-01-01T00:00:00"/>
        <d v="2024-02-02T00:00:00"/>
        <d v="2024-04-20T00:00:00"/>
        <d v="2024-05-18T00:00:00"/>
        <d v="2024-06-26T00:00:00"/>
        <d v="2024-02-16T00:00:00"/>
        <d v="2024-05-27T00:00:00"/>
        <d v="2024-04-01T00:00:00"/>
        <d v="2024-01-26T00:00:00"/>
        <d v="2024-06-14T00:00:00"/>
        <d v="2024-02-25T00:00:00"/>
        <d v="2024-01-24T00:00:00"/>
        <d v="2024-05-28T00:00:00"/>
        <d v="2024-06-08T00:00:00"/>
        <d v="2024-01-07T00:00:00"/>
        <d v="2024-05-07T00:00:00"/>
        <d v="2024-05-11T00:00:00"/>
        <d v="2024-06-25T00:00:00"/>
        <d v="2024-01-29T00:00:00"/>
        <d v="2024-01-30T00:00:00"/>
        <d v="2024-01-31T00:00:00"/>
        <d v="2024-02-01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5T00:00:00"/>
        <d v="2024-03-06T00:00:00"/>
        <d v="2024-03-07T00:00:00"/>
        <d v="2024-03-09T00:00:00"/>
        <d v="2024-03-10T00:00:00"/>
        <d v="2024-03-11T00:00:00"/>
        <d v="2024-03-12T00:00:00"/>
        <d v="2024-03-13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3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5T00:00:00"/>
        <d v="2024-05-06T00:00:00"/>
        <d v="2024-05-08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9T00:00:00"/>
        <d v="2024-05-30T00:00:00"/>
        <d v="2024-05-31T00:00:00"/>
        <d v="2024-06-01T00:00:00"/>
        <d v="2024-06-03T00:00:00"/>
        <d v="2024-06-04T00:00:00"/>
        <d v="2024-06-05T00:00:00"/>
        <d v="2024-06-06T00:00:00"/>
        <d v="2024-06-07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5T00:00:00"/>
        <d v="2024-01-27T00:00:00"/>
        <d v="2024-01-28T00:00:00"/>
      </sharedItems>
    </cacheField>
    <cacheField name="Month" numFmtId="0">
      <sharedItems count="12">
        <s v="Mar"/>
        <s v="Jun"/>
        <s v="May"/>
        <s v="Apr"/>
        <s v="Jan"/>
        <s v="Feb"/>
        <s v="Jul"/>
        <s v="Aug"/>
        <s v="Sep"/>
        <s v="Oct"/>
        <s v="Nov"/>
        <s v="Dec"/>
      </sharedItems>
    </cacheField>
    <cacheField name="FlightDurationMins" numFmtId="0">
      <sharedItems containsNumber="1" containsInteger="1" containsMixedTypes="1" count="416">
        <n v="162"/>
        <n v="131"/>
        <n v="294"/>
        <n v="279"/>
        <n v="488"/>
        <n v="67"/>
        <n v="220"/>
        <n v="295"/>
        <s v="`"/>
        <n v="450"/>
        <n v="230"/>
        <n v="32"/>
        <n v="132"/>
        <n v="73"/>
        <n v="443"/>
        <n v="229"/>
        <n v="35"/>
        <n v="280"/>
        <n v="221"/>
        <n v="383"/>
        <n v="431"/>
        <n v="387"/>
        <n v="53"/>
        <n v="183"/>
        <n v="124"/>
        <n v="208"/>
        <n v="318"/>
        <n v="468"/>
        <n v="70"/>
        <n v="71"/>
        <n v="121"/>
        <n v="293"/>
        <n v="184"/>
        <n v="149"/>
        <n v="122"/>
        <n v="175"/>
        <n v="410"/>
        <n v="215"/>
        <n v="144"/>
        <n v="104"/>
        <n v="343"/>
        <n v="365"/>
        <n v="527"/>
        <n v="462"/>
        <n v="134"/>
        <n v="214"/>
        <n v="239"/>
        <n v="292"/>
        <n v="447"/>
        <n v="142"/>
        <n v="246"/>
        <n v="113"/>
        <n v="205"/>
        <n v="339"/>
        <n v="382"/>
        <n v="257"/>
        <n v="203"/>
        <n v="338"/>
        <n v="525"/>
        <n v="531"/>
        <n v="69"/>
        <n v="188"/>
        <n v="210"/>
        <n v="342"/>
        <n v="433"/>
        <n v="148"/>
        <n v="107"/>
        <n v="154"/>
        <n v="283"/>
        <n v="278"/>
        <n v="139"/>
        <n v="267"/>
        <n v="127"/>
        <n v="355"/>
        <n v="201"/>
        <n v="138"/>
        <n v="86"/>
        <n v="396"/>
        <n v="371"/>
        <n v="399"/>
        <n v="83"/>
        <n v="270"/>
        <n v="340"/>
        <n v="460"/>
        <n v="96"/>
        <n v="91"/>
        <n v="186"/>
        <n v="352"/>
        <n v="425"/>
        <n v="426"/>
        <n v="116"/>
        <n v="323"/>
        <n v="222"/>
        <n v="394"/>
        <n v="87"/>
        <n v="160"/>
        <n v="187"/>
        <n v="544"/>
        <n v="534"/>
        <n v="42"/>
        <n v="206"/>
        <n v="151"/>
        <n v="196"/>
        <n v="308"/>
        <n v="469"/>
        <n v="118"/>
        <n v="75"/>
        <n v="128"/>
        <n v="155"/>
        <n v="265"/>
        <n v="248"/>
        <n v="277"/>
        <n v="159"/>
        <n v="102"/>
        <n v="429"/>
        <n v="219"/>
        <n v="358"/>
        <n v="244"/>
        <n v="105"/>
        <n v="94"/>
        <n v="172"/>
        <n v="65"/>
        <n v="223"/>
        <n v="251"/>
        <n v="115"/>
        <n v="331"/>
        <n v="312"/>
        <n v="463"/>
        <n v="518"/>
        <n v="98"/>
        <n v="182"/>
        <n v="301"/>
        <n v="414"/>
        <n v="38"/>
        <n v="289"/>
        <n v="273"/>
        <n v="521"/>
        <n v="218"/>
        <n v="226"/>
        <n v="421"/>
        <n v="496"/>
        <n v="250"/>
        <n v="176"/>
        <n v="259"/>
        <n v="408"/>
        <n v="537"/>
        <n v="37"/>
        <n v="204"/>
        <n v="299"/>
        <n v="435"/>
        <n v="39"/>
        <n v="168"/>
        <n v="346"/>
        <n v="50"/>
        <n v="268"/>
        <n v="264"/>
        <n v="309"/>
        <n v="385"/>
        <n v="401"/>
        <n v="434"/>
        <n v="114"/>
        <n v="157"/>
        <n v="514"/>
        <n v="143"/>
        <n v="112"/>
        <n v="428"/>
        <n v="54"/>
        <n v="152"/>
        <n v="110"/>
        <n v="171"/>
        <n v="505"/>
        <n v="119"/>
        <n v="106"/>
        <n v="166"/>
        <n v="306"/>
        <n v="57"/>
        <n v="66"/>
        <n v="473"/>
        <n v="298"/>
        <n v="185"/>
        <n v="271"/>
        <n v="290"/>
        <n v="548"/>
        <n v="130"/>
        <n v="285"/>
        <n v="288"/>
        <n v="356"/>
        <n v="529"/>
        <n v="197"/>
        <n v="241"/>
        <n v="99"/>
        <n v="117"/>
        <n v="535"/>
        <n v="357"/>
        <n v="189"/>
        <n v="332"/>
        <n v="484"/>
        <n v="513"/>
        <n v="63"/>
        <n v="326"/>
        <n v="311"/>
        <n v="47"/>
        <n v="82"/>
        <n v="224"/>
        <n v="377"/>
        <n v="101"/>
        <n v="170"/>
        <n v="147"/>
        <n v="287"/>
        <n v="74"/>
        <n v="126"/>
        <n v="274"/>
        <n v="461"/>
        <n v="40"/>
        <n v="193"/>
        <n v="190"/>
        <n v="472"/>
        <n v="180"/>
        <n v="361"/>
        <n v="234"/>
        <n v="76"/>
        <n v="373"/>
        <n v="526"/>
        <n v="543"/>
        <n v="209"/>
        <n v="242"/>
        <n v="30"/>
        <n v="238"/>
        <n v="436"/>
        <n v="123"/>
        <n v="467"/>
        <n v="500"/>
        <n v="370"/>
        <n v="344"/>
        <n v="84"/>
        <n v="376"/>
        <n v="374"/>
        <n v="34"/>
        <n v="388"/>
        <n v="297"/>
        <n v="225"/>
        <n v="146"/>
        <n v="252"/>
        <n v="369"/>
        <n v="489"/>
        <n v="389"/>
        <n v="296"/>
        <n v="103"/>
        <n v="202"/>
        <n v="85"/>
        <n v="141"/>
        <n v="33"/>
        <n v="269"/>
        <n v="167"/>
        <n v="249"/>
        <n v="448"/>
        <n v="406"/>
        <n v="58"/>
        <n v="321"/>
        <n v="325"/>
        <n v="199"/>
        <n v="523"/>
        <n v="320"/>
        <n v="237"/>
        <n v="62"/>
        <n v="247"/>
        <n v="284"/>
        <n v="135"/>
        <n v="495"/>
        <n v="316"/>
        <n v="515"/>
        <n v="192"/>
        <n v="542"/>
        <n v="261"/>
        <n v="72"/>
        <n v="253"/>
        <n v="51"/>
        <n v="464"/>
        <n v="140"/>
        <n v="254"/>
        <n v="263"/>
        <n v="336"/>
        <n v="341"/>
        <n v="137"/>
        <n v="233"/>
        <n v="360"/>
        <n v="100"/>
        <n v="517"/>
        <n v="61"/>
        <n v="161"/>
        <n v="125"/>
        <n v="136"/>
        <n v="302"/>
        <n v="493"/>
        <n v="181"/>
        <n v="362"/>
        <n v="390"/>
        <n v="266"/>
        <n v="80"/>
        <n v="416"/>
        <n v="404"/>
        <n v="524"/>
        <n v="349"/>
        <n v="511"/>
        <n v="455"/>
        <n v="49"/>
        <n v="478"/>
        <n v="97"/>
        <n v="368"/>
        <n v="93"/>
        <n v="228"/>
        <n v="304"/>
        <n v="177"/>
        <n v="281"/>
        <n v="458"/>
        <n v="272"/>
        <n v="258"/>
        <n v="470"/>
        <n v="95"/>
        <n v="212"/>
        <n v="479"/>
        <n v="522"/>
        <n v="231"/>
        <n v="477"/>
        <n v="179"/>
        <n v="200"/>
        <n v="78"/>
        <n v="109"/>
        <n v="243"/>
        <n v="405"/>
        <n v="337"/>
        <n v="471"/>
        <n v="245"/>
        <n v="395"/>
        <n v="418"/>
        <n v="191"/>
        <n v="345"/>
        <n v="262"/>
        <n v="319"/>
        <n v="36"/>
        <n v="335"/>
        <n v="375"/>
        <n v="81"/>
        <n v="411"/>
        <n v="236"/>
        <n v="232"/>
        <n v="133"/>
        <n v="198"/>
        <n v="499"/>
        <n v="547"/>
        <n v="328"/>
        <n v="437"/>
        <n v="392"/>
        <n v="317"/>
        <n v="111"/>
        <n v="474"/>
        <n v="303"/>
        <n v="398"/>
        <n v="145"/>
        <n v="129"/>
        <n v="310"/>
        <n v="120"/>
        <n v="424"/>
        <n v="359"/>
        <n v="165"/>
        <n v="363"/>
        <n v="333"/>
        <n v="492"/>
        <n v="275"/>
        <n v="240"/>
        <n v="46"/>
        <n v="347"/>
        <n v="92"/>
        <n v="286"/>
        <n v="305"/>
        <n v="381"/>
        <n v="444"/>
        <n v="77"/>
        <n v="348"/>
        <n v="52"/>
        <n v="163"/>
        <n v="449"/>
        <n v="48"/>
        <n v="465"/>
        <n v="487"/>
        <n v="44"/>
        <n v="211"/>
        <n v="439"/>
        <n v="541"/>
        <n v="420"/>
        <n v="169"/>
        <n v="412"/>
        <n v="256"/>
        <n v="217"/>
        <n v="503"/>
        <n v="386"/>
        <n v="56"/>
        <n v="314"/>
        <n v="536"/>
        <n v="402"/>
        <n v="90"/>
        <n v="334"/>
        <n v="413"/>
        <n v="457"/>
        <n v="329"/>
        <n v="354"/>
        <n v="64"/>
        <n v="393"/>
        <n v="195"/>
        <n v="313"/>
        <n v="501"/>
        <n v="504"/>
        <n v="397"/>
        <n v="380"/>
        <n v="315"/>
        <n v="322"/>
      </sharedItems>
    </cacheField>
    <cacheField name="AircraftType" numFmtId="0">
      <sharedItems count="6">
        <s v="A320"/>
        <s v="B737"/>
        <s v="A321"/>
        <s v="B787"/>
        <s v="A380"/>
        <s v="ATR72"/>
      </sharedItems>
    </cacheField>
    <cacheField name="SeatsAvailable" numFmtId="0">
      <sharedItems containsSemiMixedTypes="0" containsString="0" containsNumber="1" containsInteger="1" minValue="72" maxValue="500" count="6">
        <n v="180"/>
        <n v="190"/>
        <n v="200"/>
        <n v="260"/>
        <n v="500"/>
        <n v="72"/>
      </sharedItems>
    </cacheField>
    <cacheField name="SeatsSold" numFmtId="0">
      <sharedItems containsSemiMixedTypes="0" containsString="0" containsNumber="1" containsInteger="1" minValue="43" maxValue="474" count="261">
        <n v="158"/>
        <n v="153"/>
        <n v="124"/>
        <n v="169"/>
        <n v="469"/>
        <n v="43"/>
        <n v="127"/>
        <n v="115"/>
        <n v="123"/>
        <n v="197"/>
        <n v="366"/>
        <n v="64"/>
        <n v="112"/>
        <n v="167"/>
        <n v="136"/>
        <n v="159"/>
        <n v="415"/>
        <n v="48"/>
        <n v="140"/>
        <n v="142"/>
        <n v="160"/>
        <n v="430"/>
        <n v="52"/>
        <n v="125"/>
        <n v="133"/>
        <n v="174"/>
        <n v="406"/>
        <n v="66"/>
        <n v="128"/>
        <n v="135"/>
        <n v="182"/>
        <n v="244"/>
        <n v="398"/>
        <n v="44"/>
        <n v="109"/>
        <n v="173"/>
        <n v="168"/>
        <n v="193"/>
        <n v="464"/>
        <n v="47"/>
        <n v="126"/>
        <n v="181"/>
        <n v="188"/>
        <n v="374"/>
        <n v="50"/>
        <n v="134"/>
        <n v="156"/>
        <n v="161"/>
        <n v="344"/>
        <n v="46"/>
        <n v="146"/>
        <n v="116"/>
        <n v="130"/>
        <n v="206"/>
        <n v="364"/>
        <n v="202"/>
        <n v="316"/>
        <n v="150"/>
        <n v="166"/>
        <n v="179"/>
        <n v="457"/>
        <n v="51"/>
        <n v="165"/>
        <n v="185"/>
        <n v="211"/>
        <n v="470"/>
        <n v="57"/>
        <n v="170"/>
        <n v="129"/>
        <n v="164"/>
        <n v="342"/>
        <n v="55"/>
        <n v="154"/>
        <n v="214"/>
        <n v="382"/>
        <n v="178"/>
        <n v="141"/>
        <n v="184"/>
        <n v="369"/>
        <n v="148"/>
        <n v="373"/>
        <n v="147"/>
        <n v="217"/>
        <n v="394"/>
        <n v="163"/>
        <n v="411"/>
        <n v="67"/>
        <n v="171"/>
        <n v="341"/>
        <n v="59"/>
        <n v="157"/>
        <n v="60"/>
        <n v="463"/>
        <n v="176"/>
        <n v="230"/>
        <n v="468"/>
        <n v="410"/>
        <n v="53"/>
        <n v="119"/>
        <n v="152"/>
        <n v="234"/>
        <n v="375"/>
        <n v="49"/>
        <n v="139"/>
        <n v="120"/>
        <n v="242"/>
        <n v="386"/>
        <n v="121"/>
        <n v="196"/>
        <n v="423"/>
        <n v="62"/>
        <n v="113"/>
        <n v="208"/>
        <n v="442"/>
        <n v="58"/>
        <n v="138"/>
        <n v="198"/>
        <n v="443"/>
        <n v="204"/>
        <n v="56"/>
        <n v="187"/>
        <n v="329"/>
        <n v="132"/>
        <n v="401"/>
        <n v="118"/>
        <n v="145"/>
        <n v="231"/>
        <n v="306"/>
        <n v="172"/>
        <n v="348"/>
        <n v="228"/>
        <n v="305"/>
        <n v="192"/>
        <n v="422"/>
        <n v="137"/>
        <n v="331"/>
        <n v="65"/>
        <n v="144"/>
        <n v="456"/>
        <n v="175"/>
        <n v="180"/>
        <n v="461"/>
        <n v="111"/>
        <n v="122"/>
        <n v="223"/>
        <n v="233"/>
        <n v="330"/>
        <n v="240"/>
        <n v="379"/>
        <n v="68"/>
        <n v="177"/>
        <n v="216"/>
        <n v="355"/>
        <n v="63"/>
        <n v="143"/>
        <n v="238"/>
        <n v="210"/>
        <n v="239"/>
        <n v="232"/>
        <n v="339"/>
        <n v="459"/>
        <n v="474"/>
        <n v="226"/>
        <n v="393"/>
        <n v="221"/>
        <n v="396"/>
        <n v="229"/>
        <n v="324"/>
        <n v="403"/>
        <n v="200"/>
        <n v="387"/>
        <n v="203"/>
        <n v="429"/>
        <n v="117"/>
        <n v="300"/>
        <n v="222"/>
        <n v="426"/>
        <n v="151"/>
        <n v="189"/>
        <n v="427"/>
        <n v="400"/>
        <n v="312"/>
        <n v="183"/>
        <n v="340"/>
        <n v="390"/>
        <n v="368"/>
        <n v="110"/>
        <n v="201"/>
        <n v="319"/>
        <n v="215"/>
        <n v="328"/>
        <n v="195"/>
        <n v="311"/>
        <n v="108"/>
        <n v="414"/>
        <n v="425"/>
        <n v="380"/>
        <n v="383"/>
        <n v="357"/>
        <n v="162"/>
        <n v="227"/>
        <n v="392"/>
        <n v="61"/>
        <n v="131"/>
        <n v="388"/>
        <n v="323"/>
        <n v="209"/>
        <n v="402"/>
        <n v="205"/>
        <n v="309"/>
        <n v="451"/>
        <n v="235"/>
        <n v="191"/>
        <n v="361"/>
        <n v="376"/>
        <n v="54"/>
        <n v="199"/>
        <n v="417"/>
        <n v="220"/>
        <n v="460"/>
        <n v="458"/>
        <n v="445"/>
        <n v="473"/>
        <n v="418"/>
        <n v="243"/>
        <n v="45"/>
        <n v="378"/>
        <n v="302"/>
        <n v="194"/>
        <n v="405"/>
        <n v="413"/>
        <n v="207"/>
        <n v="332"/>
        <n v="155"/>
        <n v="114"/>
        <n v="367"/>
        <n v="149"/>
        <n v="318"/>
        <n v="245"/>
        <n v="213"/>
        <n v="447"/>
        <n v="431"/>
        <n v="308"/>
        <n v="441"/>
        <n v="472"/>
        <n v="356"/>
        <n v="432"/>
        <n v="352"/>
        <n v="190"/>
        <n v="345"/>
        <n v="408"/>
        <n v="452"/>
        <n v="381"/>
        <n v="317"/>
        <n v="404"/>
        <n v="225"/>
        <n v="336"/>
        <n v="455"/>
        <n v="347"/>
        <n v="237"/>
        <n v="416"/>
      </sharedItems>
    </cacheField>
    <cacheField name="Revenue" numFmtId="0">
      <sharedItems containsSemiMixedTypes="0" containsString="0" containsNumber="1" containsInteger="1" minValue="94618" maxValue="11555671" count="1000">
        <n v="1213946"/>
        <n v="1097889"/>
        <n v="2997545"/>
        <n v="4311293"/>
        <n v="10408928"/>
        <n v="257584"/>
        <n v="1768714"/>
        <n v="2668155"/>
        <n v="2589633"/>
        <n v="7134987"/>
        <n v="5044572"/>
        <n v="116038"/>
        <n v="1150804"/>
        <n v="631326"/>
        <n v="1189049"/>
        <n v="7188986"/>
        <n v="4407527"/>
        <n v="124158"/>
        <n v="2363259"/>
        <n v="2158724"/>
        <n v="3689762"/>
        <n v="6239152"/>
        <n v="7801443"/>
        <n v="177372"/>
        <n v="1404348"/>
        <n v="1098903"/>
        <n v="1780582"/>
        <n v="4971620"/>
        <n v="10158035"/>
        <n v="262151"/>
        <n v="518420"/>
        <n v="1139008"/>
        <n v="2768032"/>
        <n v="4493087"/>
        <n v="3879431"/>
        <n v="481465"/>
        <n v="1098521"/>
        <n v="1092591"/>
        <n v="1542577"/>
        <n v="6464327"/>
        <n v="4385024"/>
        <n v="547313"/>
        <n v="766354"/>
        <n v="2893488"/>
        <n v="3345683"/>
        <n v="8548195"/>
        <n v="9827691"/>
        <n v="437544"/>
        <n v="1616849"/>
        <n v="2870590"/>
        <n v="2362690"/>
        <n v="4164429"/>
        <n v="8935080"/>
        <n v="546475"/>
        <n v="1969054"/>
        <n v="985487"/>
        <n v="1943391"/>
        <n v="5179272"/>
        <n v="7246020"/>
        <n v="240705"/>
        <n v="2186116"/>
        <n v="1761513"/>
        <n v="3325031"/>
        <n v="7444230"/>
        <n v="11555671"/>
        <n v="262594"/>
        <n v="1574753"/>
        <n v="1964006"/>
        <n v="3455130"/>
        <n v="3940813"/>
        <n v="9353524"/>
        <n v="502378"/>
        <n v="917002"/>
        <n v="1045889"/>
        <n v="1546490"/>
        <n v="3828308"/>
        <n v="5319720"/>
        <n v="505171"/>
        <n v="1997555"/>
        <n v="1103086"/>
        <n v="1954957"/>
        <n v="5184117"/>
        <n v="4400300"/>
        <n v="522229"/>
        <n v="688362"/>
        <n v="3311837"/>
        <n v="3816175"/>
        <n v="5205624"/>
        <n v="7628178"/>
        <n v="110628"/>
        <n v="671007"/>
        <n v="1483854"/>
        <n v="2406437"/>
        <n v="4762882"/>
        <n v="9833352"/>
        <n v="308930"/>
        <n v="707418"/>
        <n v="1800344"/>
        <n v="3100972"/>
        <n v="6111829"/>
        <n v="8104576"/>
        <n v="185920"/>
        <n v="871257"/>
        <n v="3078973"/>
        <n v="1937741"/>
        <n v="5706876"/>
        <n v="6988350"/>
        <n v="289290"/>
        <n v="1780773"/>
        <n v="1517758"/>
        <n v="1629173"/>
        <n v="8015329"/>
        <n v="11162931"/>
        <n v="153309"/>
        <n v="1572466"/>
        <n v="1291283"/>
        <n v="1835304"/>
        <n v="4302547"/>
        <n v="8618106"/>
        <n v="394822"/>
        <n v="618853"/>
        <n v="1133475"/>
        <n v="1371971"/>
        <n v="3669777"/>
        <n v="4772922"/>
        <n v="316854"/>
        <n v="2352023"/>
        <n v="1412068"/>
        <n v="1056044"/>
        <n v="4080050"/>
        <n v="8581784"/>
        <n v="486344"/>
        <n v="722996"/>
        <n v="2000751"/>
        <n v="2260096"/>
        <n v="5505259"/>
        <n v="5275622"/>
        <n v="240915"/>
        <n v="771866"/>
        <n v="872348"/>
        <n v="1478205"/>
        <n v="4073221"/>
        <n v="6302397"/>
        <n v="248774"/>
        <n v="1873419"/>
        <n v="2363658"/>
        <n v="1152896"/>
        <n v="5026433"/>
        <n v="9388557"/>
        <n v="402900"/>
        <n v="1465841"/>
        <n v="2016283"/>
        <n v="2877987"/>
        <n v="7570893"/>
        <n v="9496565"/>
        <n v="331246"/>
        <n v="1585931"/>
        <n v="1677626"/>
        <n v="1263514"/>
        <n v="4865096"/>
        <n v="9056087"/>
        <n v="136144"/>
        <n v="2404928"/>
        <n v="2222539"/>
        <n v="2378155"/>
        <n v="8334317"/>
        <n v="11352066"/>
        <n v="400628"/>
        <n v="1701442"/>
        <n v="2199304"/>
        <n v="1065775"/>
        <n v="5754611"/>
        <n v="10404515"/>
        <n v="122352"/>
        <n v="1833156"/>
        <n v="1429450"/>
        <n v="2189981"/>
        <n v="4268033"/>
        <n v="8478910"/>
        <n v="308789"/>
        <n v="641913"/>
        <n v="1098595"/>
        <n v="788054"/>
        <n v="8248533"/>
        <n v="3849842"/>
        <n v="131666"/>
        <n v="2124841"/>
        <n v="1803395"/>
        <n v="2632112"/>
        <n v="3498771"/>
        <n v="9429367"/>
        <n v="146493"/>
        <n v="1320145"/>
        <n v="1224315"/>
        <n v="3208697"/>
        <n v="7922974"/>
        <n v="5134308"/>
        <n v="187765"/>
        <n v="2251161"/>
        <n v="3015968"/>
        <n v="2261371"/>
        <n v="3666294"/>
        <n v="4330649"/>
        <n v="336772"/>
        <n v="1092559"/>
        <n v="2932463"/>
        <n v="3695469"/>
        <n v="6123216"/>
        <n v="9122918"/>
        <n v="423342"/>
        <n v="1170169"/>
        <n v="1428490"/>
        <n v="3640404"/>
        <n v="7898257"/>
        <n v="4872754"/>
        <n v="136284"/>
        <n v="1253831"/>
        <n v="949360"/>
        <n v="1060685"/>
        <n v="6528839"/>
        <n v="3886983"/>
        <n v="188015"/>
        <n v="1240790"/>
        <n v="924449"/>
        <n v="1472383"/>
        <n v="7515579"/>
        <n v="9720371"/>
        <n v="378124"/>
        <n v="777066"/>
        <n v="1362850"/>
        <n v="914611"/>
        <n v="7544377"/>
        <n v="5797006"/>
        <n v="198005"/>
        <n v="1249312"/>
        <n v="634919"/>
        <n v="3242871"/>
        <n v="6729565"/>
        <n v="5387924"/>
        <n v="276270"/>
        <n v="1595596"/>
        <n v="2368319"/>
        <n v="2719126"/>
        <n v="4400235"/>
        <n v="10694269"/>
        <n v="468278"/>
        <n v="2279200"/>
        <n v="2336705"/>
        <n v="3210165"/>
        <n v="2518750"/>
        <n v="11419555"/>
        <n v="468089"/>
        <n v="2125227"/>
        <n v="2262561"/>
        <n v="1748313"/>
        <n v="3656039"/>
        <n v="4320984"/>
        <n v="361119"/>
        <n v="2056308"/>
        <n v="1005092"/>
        <n v="1034664"/>
        <n v="8175682"/>
        <n v="7209405"/>
        <n v="131650"/>
        <n v="1402780"/>
        <n v="2971964"/>
        <n v="1077903"/>
        <n v="7617155"/>
        <n v="11267387"/>
        <n v="201382"/>
        <n v="720418"/>
        <n v="2758914"/>
        <n v="3250021"/>
        <n v="7805843"/>
        <n v="6329853"/>
        <n v="162497"/>
        <n v="598495"/>
        <n v="749436"/>
        <n v="2078584"/>
        <n v="7501884"/>
        <n v="7732583"/>
        <n v="329937"/>
        <n v="1369101"/>
        <n v="2869795"/>
        <n v="1765154"/>
        <n v="7118125"/>
        <n v="3972504"/>
        <n v="474434"/>
        <n v="2343737"/>
        <n v="619369"/>
        <n v="1262088"/>
        <n v="4163847"/>
        <n v="8935463"/>
        <n v="135590"/>
        <n v="1532267"/>
        <n v="2495936"/>
        <n v="1838559"/>
        <n v="8490585"/>
        <n v="8783993"/>
        <n v="386987"/>
        <n v="956448"/>
        <n v="2271649"/>
        <n v="1825903"/>
        <n v="5233214"/>
        <n v="4780989"/>
        <n v="257232"/>
        <n v="1951663"/>
        <n v="1177828"/>
        <n v="3435035"/>
        <n v="7455426"/>
        <n v="10313147"/>
        <n v="185935"/>
        <n v="1241972"/>
        <n v="1772910"/>
        <n v="1328132"/>
        <n v="5725154"/>
        <n v="4842124"/>
        <n v="102843"/>
        <n v="2055579"/>
        <n v="839471"/>
        <n v="3528149"/>
        <n v="6478901"/>
        <n v="7431783"/>
        <n v="400816"/>
        <n v="1376311"/>
        <n v="1631594"/>
        <n v="2072174"/>
        <n v="7227652"/>
        <n v="9507777"/>
        <n v="367000"/>
        <n v="916555"/>
        <n v="938160"/>
        <n v="3671253"/>
        <n v="4899996"/>
        <n v="6751195"/>
        <n v="265364"/>
        <n v="564762"/>
        <n v="1564560"/>
        <n v="2744809"/>
        <n v="5368629"/>
        <n v="7133023"/>
        <n v="125517"/>
        <n v="1503544"/>
        <n v="3091136"/>
        <n v="1389622"/>
        <n v="5834500"/>
        <n v="3860375"/>
        <n v="475403"/>
        <n v="2388207"/>
        <n v="1567394"/>
        <n v="2272185"/>
        <n v="3335757"/>
        <n v="6932429"/>
        <n v="473889"/>
        <n v="971093"/>
        <n v="1459639"/>
        <n v="2348217"/>
        <n v="5033491"/>
        <n v="8963954"/>
        <n v="207855"/>
        <n v="543835"/>
        <n v="1582181"/>
        <n v="3816469"/>
        <n v="6354287"/>
        <n v="8172045"/>
        <n v="479038"/>
        <n v="1377151"/>
        <n v="1242217"/>
        <n v="2867276"/>
        <n v="3255290"/>
        <n v="8923285"/>
        <n v="445751"/>
        <n v="900153"/>
        <n v="676613"/>
        <n v="3961540"/>
        <n v="8246396"/>
        <n v="8096276"/>
        <n v="352752"/>
        <n v="1471075"/>
        <n v="796453"/>
        <n v="2670477"/>
        <n v="3604487"/>
        <n v="5556037"/>
        <n v="384909"/>
        <n v="1027581"/>
        <n v="1486072"/>
        <n v="1626191"/>
        <n v="6996501"/>
        <n v="11520237"/>
        <n v="111313"/>
        <n v="2120502"/>
        <n v="1360034"/>
        <n v="2129062"/>
        <n v="7310106"/>
        <n v="7323404"/>
        <n v="199018"/>
        <n v="2536375"/>
        <n v="2462987"/>
        <n v="1261425"/>
        <n v="5154767"/>
        <n v="5904721"/>
        <n v="299067"/>
        <n v="1674062"/>
        <n v="1897739"/>
        <n v="2833703"/>
        <n v="8022942"/>
        <n v="6062301"/>
        <n v="364080"/>
        <n v="1301087"/>
        <n v="1410481"/>
        <n v="3238333"/>
        <n v="3018944"/>
        <n v="7258518"/>
        <n v="486686"/>
        <n v="2084210"/>
        <n v="527247"/>
        <n v="1714632"/>
        <n v="3402291"/>
        <n v="5422081"/>
        <n v="221499"/>
        <n v="1043075"/>
        <n v="693552"/>
        <n v="1835837"/>
        <n v="4878814"/>
        <n v="10681070"/>
        <n v="370639"/>
        <n v="2448069"/>
        <n v="1044062"/>
        <n v="3014764"/>
        <n v="8266648"/>
        <n v="4601976"/>
        <n v="268331"/>
        <n v="1875688"/>
        <n v="1856509"/>
        <n v="967433"/>
        <n v="8794548"/>
        <n v="5566748"/>
        <n v="400793"/>
        <n v="631432"/>
        <n v="667131"/>
        <n v="2199381"/>
        <n v="4053152"/>
        <n v="5022536"/>
        <n v="185207"/>
        <n v="1058300"/>
        <n v="2075081"/>
        <n v="3005492"/>
        <n v="7165422"/>
        <n v="3959205"/>
        <n v="516499"/>
        <n v="872153"/>
        <n v="2527131"/>
        <n v="1194071"/>
        <n v="3491774"/>
        <n v="5021469"/>
        <n v="348910"/>
        <n v="2204037"/>
        <n v="1228882"/>
        <n v="3335271"/>
        <n v="4635350"/>
        <n v="9315460"/>
        <n v="524399"/>
        <n v="1711586"/>
        <n v="644580"/>
        <n v="2446223"/>
        <n v="5904912"/>
        <n v="4051108"/>
        <n v="362989"/>
        <n v="2169968"/>
        <n v="2343483"/>
        <n v="1421652"/>
        <n v="3900883"/>
        <n v="10546842"/>
        <n v="224476"/>
        <n v="1345775"/>
        <n v="2031492"/>
        <n v="1187235"/>
        <n v="3852583"/>
        <n v="8449826"/>
        <n v="198880"/>
        <n v="1065570"/>
        <n v="2140771"/>
        <n v="1794987"/>
        <n v="6714367"/>
        <n v="6566944"/>
        <n v="443412"/>
        <n v="2194087"/>
        <n v="1368035"/>
        <n v="825660"/>
        <n v="7366756"/>
        <n v="6403465"/>
        <n v="370790"/>
        <n v="610234"/>
        <n v="1619285"/>
        <n v="2532707"/>
        <n v="5062576"/>
        <n v="8574280"/>
        <n v="429747"/>
        <n v="739727"/>
        <n v="2376103"/>
        <n v="2908653"/>
        <n v="6897390"/>
        <n v="4014467"/>
        <n v="276562"/>
        <n v="1437902"/>
        <n v="3173354"/>
        <n v="2371818"/>
        <n v="6659325"/>
        <n v="8428773"/>
        <n v="506581"/>
        <n v="546738"/>
        <n v="966734"/>
        <n v="1833668"/>
        <n v="3679520"/>
        <n v="9973047"/>
        <n v="463045"/>
        <n v="2301700"/>
        <n v="2848373"/>
        <n v="3281534"/>
        <n v="7559050"/>
        <n v="9916421"/>
        <n v="280990"/>
        <n v="1398738"/>
        <n v="2529930"/>
        <n v="1253617"/>
        <n v="3903935"/>
        <n v="10323959"/>
        <n v="176302"/>
        <n v="817254"/>
        <n v="1798462"/>
        <n v="3686222"/>
        <n v="6916369"/>
        <n v="9195997"/>
        <n v="474580"/>
        <n v="703051"/>
        <n v="2458940"/>
        <n v="1840115"/>
        <n v="7534888"/>
        <n v="10277912"/>
        <n v="251857"/>
        <n v="1751008"/>
        <n v="1286809"/>
        <n v="3804260"/>
        <n v="4960637"/>
        <n v="5013393"/>
        <n v="356564"/>
        <n v="1916085"/>
        <n v="2866479"/>
        <n v="1623331"/>
        <n v="4553359"/>
        <n v="9742272"/>
        <n v="421709"/>
        <n v="2117884"/>
        <n v="2266466"/>
        <n v="1548229"/>
        <n v="6448206"/>
        <n v="10984542"/>
        <n v="324505"/>
        <n v="727214"/>
        <n v="1460105"/>
        <n v="2046293"/>
        <n v="7033202"/>
        <n v="10895440"/>
        <n v="236667"/>
        <n v="1200521"/>
        <n v="2986605"/>
        <n v="3175399"/>
        <n v="7320679"/>
        <n v="5016955"/>
        <n v="191971"/>
        <n v="1748286"/>
        <n v="1131437"/>
        <n v="3041998"/>
        <n v="4671373"/>
        <n v="9395998"/>
        <n v="519668"/>
        <n v="1320963"/>
        <n v="1914907"/>
        <n v="2947027"/>
        <n v="6629888"/>
        <n v="6408252"/>
        <n v="288316"/>
        <n v="933244"/>
        <n v="1869463"/>
        <n v="2273385"/>
        <n v="3896234"/>
        <n v="8157280"/>
        <n v="183568"/>
        <n v="2293585"/>
        <n v="1124114"/>
        <n v="3263639"/>
        <n v="4804994"/>
        <n v="6249896"/>
        <n v="170812"/>
        <n v="2395728"/>
        <n v="1386703"/>
        <n v="2226950"/>
        <n v="3413359"/>
        <n v="4714677"/>
        <n v="257544"/>
        <n v="2395293"/>
        <n v="1088693"/>
        <n v="2716440"/>
        <n v="7000939"/>
        <n v="8131295"/>
        <n v="356034"/>
        <n v="838433"/>
        <n v="1458400"/>
        <n v="2217002"/>
        <n v="6831757"/>
        <n v="6447277"/>
        <n v="495952"/>
        <n v="1049991"/>
        <n v="2666629"/>
        <n v="1014379"/>
        <n v="6730278"/>
        <n v="4749395"/>
        <n v="380225"/>
        <n v="2032076"/>
        <n v="2887245"/>
        <n v="3533737"/>
        <n v="6319824"/>
        <n v="9461064"/>
        <n v="396223"/>
        <n v="1844134"/>
        <n v="2075902"/>
        <n v="2783836"/>
        <n v="3047364"/>
        <n v="9335779"/>
        <n v="518544"/>
        <n v="1873248"/>
        <n v="698810"/>
        <n v="905001"/>
        <n v="2826321"/>
        <n v="6881414"/>
        <n v="439026"/>
        <n v="1240940"/>
        <n v="1724190"/>
        <n v="3267406"/>
        <n v="5563882"/>
        <n v="4794212"/>
        <n v="183581"/>
        <n v="1138254"/>
        <n v="3051281"/>
        <n v="3791003"/>
        <n v="6509275"/>
        <n v="6948041"/>
        <n v="125537"/>
        <n v="2175169"/>
        <n v="2169873"/>
        <n v="3138226"/>
        <n v="7570924"/>
        <n v="3641242"/>
        <n v="364256"/>
        <n v="1615251"/>
        <n v="2222703"/>
        <n v="3175015"/>
        <n v="5336412"/>
        <n v="5090427"/>
        <n v="277398"/>
        <n v="881582"/>
        <n v="744579"/>
        <n v="1888079"/>
        <n v="2694984"/>
        <n v="8445559"/>
        <n v="218300"/>
        <n v="1724367"/>
        <n v="2187152"/>
        <n v="1432443"/>
        <n v="3648523"/>
        <n v="6631358"/>
        <n v="446557"/>
        <n v="1724125"/>
        <n v="769239"/>
        <n v="3400784"/>
        <n v="6860178"/>
        <n v="10492433"/>
        <n v="454508"/>
        <n v="1803252"/>
        <n v="1346393"/>
        <n v="2057245"/>
        <n v="4894746"/>
        <n v="8884074"/>
        <n v="444112"/>
        <n v="2206249"/>
        <n v="2123982"/>
        <n v="1798782"/>
        <n v="5875352"/>
        <n v="5589939"/>
        <n v="229694"/>
        <n v="539854"/>
        <n v="1964923"/>
        <n v="3105556"/>
        <n v="6020152"/>
        <n v="9522492"/>
        <n v="402897"/>
        <n v="1802446"/>
        <n v="1300089"/>
        <n v="2603000"/>
        <n v="4623296"/>
        <n v="10195054"/>
        <n v="451501"/>
        <n v="1702508"/>
        <n v="513268"/>
        <n v="2969207"/>
        <n v="3013672"/>
        <n v="7729772"/>
        <n v="147710"/>
        <n v="2126153"/>
        <n v="2532380"/>
        <n v="874455"/>
        <n v="4105761"/>
        <n v="6398346"/>
        <n v="139040"/>
        <n v="691488"/>
        <n v="2281110"/>
        <n v="1266761"/>
        <n v="3856744"/>
        <n v="7466193"/>
        <n v="518003"/>
        <n v="1804118"/>
        <n v="2222224"/>
        <n v="2663665"/>
        <n v="2953070"/>
        <n v="10572025"/>
        <n v="472766"/>
        <n v="2145046"/>
        <n v="2938756"/>
        <n v="3830182"/>
        <n v="5978071"/>
        <n v="7912807"/>
        <n v="470109"/>
        <n v="895736"/>
        <n v="1593111"/>
        <n v="2525569"/>
        <n v="6808670"/>
        <n v="4648612"/>
        <n v="296879"/>
        <n v="1165305"/>
        <n v="2823701"/>
        <n v="3591606"/>
        <n v="5015751"/>
        <n v="4868165"/>
        <n v="217614"/>
        <n v="1257090"/>
        <n v="2112735"/>
        <n v="2650481"/>
        <n v="3725715"/>
        <n v="7433803"/>
        <n v="479086"/>
        <n v="1614421"/>
        <n v="2153670"/>
        <n v="2064056"/>
        <n v="4755397"/>
        <n v="10783756"/>
        <n v="322289"/>
        <n v="2115827"/>
        <n v="1871225"/>
        <n v="1574833"/>
        <n v="3530864"/>
        <n v="4624557"/>
        <n v="152181"/>
        <n v="1172042"/>
        <n v="517826"/>
        <n v="1668102"/>
        <n v="4735639"/>
        <n v="9382881"/>
        <n v="325321"/>
        <n v="679181"/>
        <n v="1147431"/>
        <n v="3178794"/>
        <n v="4428116"/>
        <n v="7317553"/>
        <n v="295863"/>
        <n v="1531765"/>
        <n v="2654710"/>
        <n v="1466215"/>
        <n v="5305848"/>
        <n v="4914951"/>
        <n v="251594"/>
        <n v="856521"/>
        <n v="2490142"/>
        <n v="3371312"/>
        <n v="7795908"/>
        <n v="4465946"/>
        <n v="558817"/>
        <n v="1409293"/>
        <n v="2535086"/>
        <n v="3973064"/>
        <n v="4465082"/>
        <n v="9850764"/>
        <n v="401868"/>
        <n v="1029611"/>
        <n v="2882368"/>
        <n v="1948279"/>
        <n v="6714337"/>
        <n v="8561382"/>
        <n v="329791"/>
        <n v="2314939"/>
        <n v="1135724"/>
        <n v="3102768"/>
        <n v="4973987"/>
        <n v="10652573"/>
        <n v="282331"/>
        <n v="1464016"/>
        <n v="3242357"/>
        <n v="1240801"/>
        <n v="3631189"/>
        <n v="5542077"/>
        <n v="345595"/>
        <n v="799264"/>
        <n v="2526796"/>
        <n v="1987287"/>
        <n v="8648953"/>
        <n v="6080781"/>
        <n v="177987"/>
        <n v="901246"/>
        <n v="2454701"/>
        <n v="1524171"/>
        <n v="6438710"/>
        <n v="5581688"/>
        <n v="151805"/>
        <n v="1052310"/>
        <n v="1575033"/>
        <n v="1905888"/>
        <n v="7068703"/>
        <n v="9931600"/>
        <n v="468630"/>
        <n v="864463"/>
        <n v="2808399"/>
        <n v="1468851"/>
        <n v="5797233"/>
        <n v="6426962"/>
        <n v="488586"/>
        <n v="966702"/>
        <n v="1910125"/>
        <n v="1165086"/>
        <n v="3802337"/>
        <n v="10147301"/>
        <n v="166089"/>
        <n v="1324979"/>
        <n v="908379"/>
        <n v="1856845"/>
        <n v="6568757"/>
        <n v="9943949"/>
        <n v="420526"/>
        <n v="1259449"/>
        <n v="2407681"/>
        <n v="2674136"/>
        <n v="7841276"/>
        <n v="8349169"/>
        <n v="253706"/>
        <n v="1713323"/>
        <n v="2395147"/>
        <n v="1585764"/>
        <n v="5335153"/>
        <n v="7559528"/>
        <n v="246548"/>
        <n v="1014653"/>
        <n v="2481654"/>
        <n v="1915737"/>
        <n v="4634124"/>
        <n v="5540397"/>
        <n v="282518"/>
        <n v="2103870"/>
        <n v="1780950"/>
        <n v="2295580"/>
        <n v="7478960"/>
        <n v="5320559"/>
        <n v="220779"/>
        <n v="1520356"/>
        <n v="2954949"/>
        <n v="3307730"/>
        <n v="5386565"/>
        <n v="4555304"/>
        <n v="197175"/>
        <n v="1411209"/>
        <n v="1268188"/>
        <n v="3029057"/>
        <n v="8134296"/>
        <n v="8549290"/>
        <n v="243527"/>
        <n v="1501457"/>
        <n v="1256662"/>
        <n v="2477774"/>
        <n v="6077464"/>
        <n v="5217183"/>
        <n v="217815"/>
        <n v="1278566"/>
        <n v="3097358"/>
        <n v="2749346"/>
        <n v="3068253"/>
        <n v="5613537"/>
        <n v="316685"/>
        <n v="1416712"/>
        <n v="751769"/>
        <n v="1354878"/>
        <n v="5436488"/>
        <n v="7951416"/>
        <n v="142605"/>
        <n v="1580034"/>
        <n v="863417"/>
        <n v="2547431"/>
        <n v="4470243"/>
        <n v="8507777"/>
        <n v="254891"/>
        <n v="885327"/>
        <n v="946998"/>
        <n v="3027014"/>
        <n v="3034625"/>
        <n v="5961689"/>
        <n v="146673"/>
        <n v="1993327"/>
        <n v="1552825"/>
        <n v="3292469"/>
        <n v="7237918"/>
        <n v="6641290"/>
        <n v="447468"/>
        <n v="1670281"/>
        <n v="550168"/>
        <n v="1299031"/>
        <n v="4492611"/>
        <n v="9912849"/>
        <n v="424701"/>
        <n v="2246532"/>
        <n v="2293914"/>
        <n v="2429421"/>
        <n v="4280061"/>
        <n v="8738704"/>
        <n v="321526"/>
        <n v="1208052"/>
        <n v="1763542"/>
        <n v="825186"/>
        <n v="6303367"/>
        <n v="8162660"/>
        <n v="255680"/>
        <n v="2010902"/>
        <n v="2315330"/>
        <n v="2380302"/>
        <n v="3944030"/>
        <n v="5248798"/>
        <n v="94618"/>
        <n v="1609464"/>
        <n v="1740971"/>
        <n v="2558653"/>
        <n v="6013434"/>
        <n v="10962143"/>
        <n v="339265"/>
        <n v="1030837"/>
        <n v="1125140"/>
        <n v="2960571"/>
        <n v="7369018"/>
        <n v="6221544"/>
        <n v="364844"/>
        <n v="1338519"/>
        <n v="2466987"/>
        <n v="2687559"/>
        <n v="3660689"/>
        <n v="4202590"/>
        <n v="338975"/>
        <n v="937017"/>
        <n v="622133"/>
        <n v="1267167"/>
        <n v="6012638"/>
        <n v="8854144"/>
        <n v="398750"/>
        <n v="1561996"/>
        <n v="1164757"/>
        <n v="2254886"/>
        <n v="6214990"/>
        <n v="9238754"/>
        <n v="193923"/>
        <n v="1768814"/>
        <n v="1557781"/>
        <n v="1501238"/>
        <n v="5570858"/>
        <n v="8623111"/>
        <n v="372060"/>
        <n v="705267"/>
        <n v="1515178"/>
        <n v="3640935"/>
        <n v="6021279"/>
        <n v="5875735"/>
        <n v="514541"/>
        <n v="737756"/>
        <n v="2761184"/>
        <n v="930317"/>
        <n v="3068831"/>
        <n v="7424616"/>
        <n v="463404"/>
        <n v="2195894"/>
        <n v="3035421"/>
        <n v="2152204"/>
        <n v="3504383"/>
        <n v="8645054"/>
        <n v="276997"/>
        <n v="849746"/>
        <n v="1309701"/>
        <n v="2158885"/>
        <n v="4295196"/>
      </sharedItems>
    </cacheField>
    <cacheField name="OperationalCost" numFmtId="0">
      <sharedItems containsSemiMixedTypes="0" containsString="0" containsNumber="1" containsInteger="1" minValue="72600" maxValue="3972430" count="989">
        <n v="364980"/>
        <n v="329715"/>
        <n v="368280"/>
        <n v="489255"/>
        <n v="1847860"/>
        <n v="78905"/>
        <n v="330200"/>
        <n v="342125"/>
        <n v="337635"/>
        <n v="738750"/>
        <n v="969900"/>
        <n v="106240"/>
        <n v="483840"/>
        <n v="622910"/>
        <n v="293760"/>
        <n v="590685"/>
        <n v="2195350"/>
        <n v="160800"/>
        <n v="980200"/>
        <n v="729400"/>
        <n v="969860"/>
        <n v="1169600"/>
        <n v="2954100"/>
        <n v="183560"/>
        <n v="603750"/>
        <n v="487600"/>
        <n v="675640"/>
        <n v="1075320"/>
        <n v="1559040"/>
        <n v="122100"/>
        <n v="237440"/>
        <n v="284175"/>
        <n v="539630"/>
        <n v="707600"/>
        <n v="963160"/>
        <n v="95040"/>
        <n v="244705"/>
        <n v="365030"/>
        <n v="399000"/>
        <n v="685150"/>
        <n v="1194800"/>
        <n v="104340"/>
        <n v="509040"/>
        <n v="1073810"/>
        <n v="601825"/>
        <n v="777380"/>
        <n v="2849880"/>
        <n v="217000"/>
        <n v="688760"/>
        <n v="806480"/>
        <n v="840840"/>
        <n v="953120"/>
        <n v="2569680"/>
        <n v="203320"/>
        <n v="797160"/>
        <n v="479080"/>
        <n v="656500"/>
        <n v="1316340"/>
        <n v="1241240"/>
        <n v="95420"/>
        <n v="370405"/>
        <n v="425035"/>
        <n v="513590"/>
        <n v="833250"/>
        <n v="1312980"/>
        <n v="95940"/>
        <n v="366000"/>
        <n v="382500"/>
        <n v="532860"/>
        <n v="482405"/>
        <n v="1674905"/>
        <n v="114240"/>
        <n v="655270"/>
        <n v="681450"/>
        <n v="419950"/>
        <n v="615065"/>
        <n v="2716600"/>
        <n v="250230"/>
        <n v="963900"/>
        <n v="550830"/>
        <n v="873800"/>
        <n v="1074200"/>
        <n v="1713420"/>
        <n v="240900"/>
        <n v="609880"/>
        <n v="1015940"/>
        <n v="1071840"/>
        <n v="1435940"/>
        <n v="1335090"/>
        <n v="87100"/>
        <n v="245120"/>
        <n v="404060"/>
        <n v="401850"/>
        <n v="588800"/>
        <n v="1402200"/>
        <n v="112860"/>
        <n v="293250"/>
        <n v="359640"/>
        <n v="583540"/>
        <n v="681500"/>
        <n v="1353990"/>
        <n v="116490"/>
        <n v="611520"/>
        <n v="996800"/>
        <n v="381060"/>
        <n v="752990"/>
        <n v="2620100"/>
        <n v="247680"/>
        <n v="841110"/>
        <n v="680800"/>
        <n v="793810"/>
        <n v="1460120"/>
        <n v="3427740"/>
        <n v="229140"/>
        <n v="799480"/>
        <n v="735130"/>
        <n v="620000"/>
        <n v="1039680"/>
        <n v="1311145"/>
        <n v="123310"/>
        <n v="262500"/>
        <n v="329560"/>
        <n v="361725"/>
        <n v="443525"/>
        <n v="865840"/>
        <n v="117300"/>
        <n v="450060"/>
        <n v="286875"/>
        <n v="247230"/>
        <n v="463200"/>
        <n v="1687635"/>
        <n v="132455"/>
        <n v="639610"/>
        <n v="913440"/>
        <n v="445600"/>
        <n v="756700"/>
        <n v="2545920"/>
        <n v="186500"/>
        <n v="441450"/>
        <n v="535840"/>
        <n v="844880"/>
        <n v="1075140"/>
        <n v="2431300"/>
        <n v="193450"/>
        <n v="622370"/>
        <n v="837520"/>
        <n v="605900"/>
        <n v="1476540"/>
        <n v="1400625"/>
        <n v="102410"/>
        <n v="328040"/>
        <n v="327600"/>
        <n v="547740"/>
        <n v="923230"/>
        <n v="1578740"/>
        <n v="99500"/>
        <n v="291610"/>
        <n v="417490"/>
        <n v="395740"/>
        <n v="588980"/>
        <n v="1510110"/>
        <n v="104780"/>
        <n v="665570"/>
        <n v="740600"/>
        <n v="358125"/>
        <n v="850720"/>
        <n v="3628820"/>
        <n v="242440"/>
        <n v="714840"/>
        <n v="746920"/>
        <n v="627000"/>
        <n v="1427580"/>
        <n v="3526280"/>
        <n v="189240"/>
        <n v="759000"/>
        <n v="847280"/>
        <n v="851620"/>
        <n v="1140360"/>
        <n v="1217760"/>
        <n v="108080"/>
        <n v="234990"/>
        <n v="313880"/>
        <n v="365585"/>
        <n v="824445"/>
        <n v="801115"/>
        <n v="87620"/>
        <n v="376350"/>
        <n v="332640"/>
        <n v="413310"/>
        <n v="591100"/>
        <n v="1473675"/>
        <n v="111870"/>
        <n v="552240"/>
        <n v="614800"/>
        <n v="520030"/>
        <n v="948255"/>
        <n v="1765620"/>
        <n v="154000"/>
        <n v="800880"/>
        <n v="927000"/>
        <n v="935680"/>
        <n v="1105440"/>
        <n v="1844400"/>
        <n v="236400"/>
        <n v="559240"/>
        <n v="901320"/>
        <n v="1226150"/>
        <n v="1598280"/>
        <n v="1119350"/>
        <n v="122130"/>
        <n v="267960"/>
        <n v="356460"/>
        <n v="542730"/>
        <n v="781440"/>
        <n v="1118300"/>
        <n v="301240"/>
        <n v="282220"/>
        <n v="286960"/>
        <n v="717080"/>
        <n v="805985"/>
        <n v="115050"/>
        <n v="763880"/>
        <n v="475600"/>
        <n v="339120"/>
        <n v="668150"/>
        <n v="3762000"/>
        <n v="251400"/>
        <n v="596820"/>
        <n v="815500"/>
        <n v="729000"/>
        <n v="1434480"/>
        <n v="2793660"/>
        <n v="185640"/>
        <n v="519480"/>
        <n v="581940"/>
        <n v="753960"/>
        <n v="1576920"/>
        <n v="1094340"/>
        <n v="123520"/>
        <n v="278875"/>
        <n v="413975"/>
        <n v="471240"/>
        <n v="657850"/>
        <n v="1687520"/>
        <n v="111800"/>
        <n v="359775"/>
        <n v="517440"/>
        <n v="426400"/>
        <n v="562695"/>
        <n v="1367850"/>
        <n v="98560"/>
        <n v="993720"/>
        <n v="1013250"/>
        <n v="342930"/>
        <n v="649200"/>
        <n v="1757400"/>
        <n v="267330"/>
        <n v="793690"/>
        <n v="653660"/>
        <n v="667200"/>
        <n v="1544750"/>
        <n v="2490030"/>
        <n v="230520"/>
        <n v="552570"/>
        <n v="764720"/>
        <n v="617160"/>
        <n v="1826720"/>
        <n v="1882095"/>
        <n v="85305"/>
        <n v="305235"/>
        <n v="519580"/>
        <n v="588525"/>
        <n v="883440"/>
        <n v="1084525"/>
        <n v="109305"/>
        <n v="305860"/>
        <n v="273130"/>
        <n v="476840"/>
        <n v="937720"/>
        <n v="1570640"/>
        <n v="120300"/>
        <n v="690900"/>
        <n v="896800"/>
        <n v="402220"/>
        <n v="610560"/>
        <n v="1887540"/>
        <n v="281610"/>
        <n v="798320"/>
        <n v="624580"/>
        <n v="630480"/>
        <n v="1205400"/>
        <n v="2617840"/>
        <n v="227800"/>
        <n v="655690"/>
        <n v="877040"/>
        <n v="833000"/>
        <n v="1995650"/>
        <n v="1632780"/>
        <n v="109460"/>
        <n v="315700"/>
        <n v="498510"/>
        <n v="451200"/>
        <n v="766760"/>
        <n v="905130"/>
        <n v="82720"/>
        <n v="423115"/>
        <n v="297510"/>
        <n v="484560"/>
        <n v="813610"/>
        <n v="1934685"/>
        <n v="97350"/>
        <n v="567690"/>
        <n v="651520"/>
        <n v="282480"/>
        <n v="675680"/>
        <n v="2569080"/>
        <n v="168300"/>
        <n v="650980"/>
        <n v="566950"/>
        <n v="1183700"/>
        <n v="1663360"/>
        <n v="2644890"/>
        <n v="241110"/>
        <n v="629520"/>
        <n v="676200"/>
        <n v="800680"/>
        <n v="1695070"/>
        <n v="1584000"/>
        <n v="124800"/>
        <n v="266385"/>
        <n v="321850"/>
        <n v="458950"/>
        <n v="685855"/>
        <n v="1043280"/>
        <n v="281820"/>
        <n v="296730"/>
        <n v="479115"/>
        <n v="632060"/>
        <n v="1358110"/>
        <n v="85170"/>
        <n v="669600"/>
        <n v="773190"/>
        <n v="398580"/>
        <n v="688000"/>
        <n v="1922720"/>
        <n v="207360"/>
        <n v="1014900"/>
        <n v="744120"/>
        <n v="824250"/>
        <n v="936000"/>
        <n v="2445840"/>
        <n v="191780"/>
        <n v="515840"/>
        <n v="699210"/>
        <n v="982560"/>
        <n v="1358070"/>
        <n v="1692405"/>
        <n v="113150"/>
        <n v="233100"/>
        <n v="379960"/>
        <n v="527085"/>
        <n v="609000"/>
        <n v="1111725"/>
        <n v="136960"/>
        <n v="273780"/>
        <n v="254880"/>
        <n v="503620"/>
        <n v="448560"/>
        <n v="1062000"/>
        <n v="124990"/>
        <n v="636740"/>
        <n v="665520"/>
        <n v="429660"/>
        <n v="907980"/>
        <n v="2956440"/>
        <n v="196490"/>
        <n v="758020"/>
        <n v="446600"/>
        <n v="1092420"/>
        <n v="1350350"/>
        <n v="2544920"/>
        <n v="268670"/>
        <n v="679140"/>
        <n v="535920"/>
        <n v="623360"/>
        <n v="1574880"/>
        <n v="1686000"/>
        <n v="104895"/>
        <n v="398300"/>
        <n v="301215"/>
        <n v="518805"/>
        <n v="762960"/>
        <n v="1101360"/>
        <n v="110980"/>
        <n v="437325"/>
        <n v="418600"/>
        <n v="301920"/>
        <n v="568215"/>
        <n v="1062500"/>
        <n v="130020"/>
        <n v="662640"/>
        <n v="883230"/>
        <n v="542380"/>
        <n v="814770"/>
        <n v="2717600"/>
        <n v="264660"/>
        <n v="761600"/>
        <n v="582500"/>
        <n v="1159400"/>
        <n v="779240"/>
        <n v="2558400"/>
        <n v="207740"/>
        <n v="741060"/>
        <n v="608160"/>
        <n v="858280"/>
        <n v="1137760"/>
        <n v="1074560"/>
        <n v="116350"/>
        <n v="239250"/>
        <n v="288000"/>
        <n v="367190"/>
        <n v="658275"/>
        <n v="1268025"/>
        <n v="129920"/>
        <n v="408100"/>
        <n v="327850"/>
        <n v="526680"/>
        <n v="876125"/>
        <n v="882320"/>
        <n v="112200"/>
        <n v="836000"/>
        <n v="846240"/>
        <n v="362850"/>
        <n v="740960"/>
        <n v="2485230"/>
        <n v="206780"/>
        <n v="543120"/>
        <n v="454960"/>
        <n v="693760"/>
        <n v="1078350"/>
        <n v="1784090"/>
        <n v="231660"/>
        <n v="538020"/>
        <n v="645840"/>
        <n v="1066090"/>
        <n v="1497440"/>
        <n v="755730"/>
        <n v="121000"/>
        <n v="225180"/>
        <n v="526500"/>
        <n v="326040"/>
        <n v="487520"/>
        <n v="1165410"/>
        <n v="137350"/>
        <n v="484300"/>
        <n v="310100"/>
        <n v="451560"/>
        <n v="560875"/>
        <n v="1615000"/>
        <n v="120175"/>
        <n v="639600"/>
        <n v="605550"/>
        <n v="471070"/>
        <n v="785400"/>
        <n v="1995000"/>
        <n v="184000"/>
        <n v="839410"/>
        <n v="870960"/>
        <n v="635910"/>
        <n v="1090980"/>
        <n v="3129110"/>
        <n v="212990"/>
        <n v="760650"/>
        <n v="645600"/>
        <n v="548250"/>
        <n v="988750"/>
        <n v="1286985"/>
        <n v="117650"/>
        <n v="244160"/>
        <n v="494935"/>
        <n v="440880"/>
        <n v="948640"/>
        <n v="918050"/>
        <n v="125280"/>
        <n v="456030"/>
        <n v="320380"/>
        <n v="900055"/>
        <n v="1187760"/>
        <n v="123220"/>
        <n v="437780"/>
        <n v="649350"/>
        <n v="364320"/>
        <n v="526290"/>
        <n v="2339100"/>
        <n v="238700"/>
        <n v="476740"/>
        <n v="741460"/>
        <n v="1006400"/>
        <n v="1443640"/>
        <n v="1936120"/>
        <n v="216600"/>
        <n v="628320"/>
        <n v="974970"/>
        <n v="1033950"/>
        <n v="1417680"/>
        <n v="1136960"/>
        <n v="127890"/>
        <n v="315185"/>
        <n v="260000"/>
        <n v="394450"/>
        <n v="588335"/>
        <n v="1932280"/>
        <n v="92450"/>
        <n v="326540"/>
        <n v="416670"/>
        <n v="464035"/>
        <n v="936705"/>
        <n v="1517550"/>
        <n v="90710"/>
        <n v="700800"/>
        <n v="816350"/>
        <n v="319365"/>
        <n v="601675"/>
        <n v="2512170"/>
        <n v="153560"/>
        <n v="764400"/>
        <n v="1237950"/>
        <n v="1221460"/>
        <n v="3445640"/>
        <n v="246400"/>
        <n v="460520"/>
        <n v="960660"/>
        <n v="868680"/>
        <n v="1966950"/>
        <n v="1595675"/>
        <n v="111600"/>
        <n v="403200"/>
        <n v="263175"/>
        <n v="541080"/>
        <n v="593055"/>
        <n v="1027045"/>
        <n v="86460"/>
        <n v="448800"/>
        <n v="456020"/>
        <n v="352980"/>
        <n v="566475"/>
        <n v="1425040"/>
        <n v="104250"/>
        <n v="732160"/>
        <n v="842580"/>
        <n v="356360"/>
        <n v="677600"/>
        <n v="2743860"/>
        <n v="213300"/>
        <n v="642950"/>
        <n v="799680"/>
        <n v="752640"/>
        <n v="1550210"/>
        <n v="3633240"/>
        <n v="159960"/>
        <n v="649720"/>
        <n v="1004800"/>
        <n v="1003680"/>
        <n v="1626000"/>
        <n v="1107135"/>
        <n v="99960"/>
        <n v="400095"/>
        <n v="307380"/>
        <n v="536070"/>
        <n v="701800"/>
        <n v="1787100"/>
        <n v="140805"/>
        <n v="337695"/>
        <n v="385000"/>
        <n v="477365"/>
        <n v="791250"/>
        <n v="1383160"/>
        <n v="92610"/>
        <n v="629860"/>
        <n v="831080"/>
        <n v="352950"/>
        <n v="468540"/>
        <n v="2693100"/>
        <n v="150930"/>
        <n v="694800"/>
        <n v="681720"/>
        <n v="885430"/>
        <n v="1200000"/>
        <n v="2751960"/>
        <n v="162380"/>
        <n v="744330"/>
        <n v="556920"/>
        <n v="722190"/>
        <n v="1032120"/>
        <n v="1174800"/>
        <n v="91385"/>
        <n v="427025"/>
        <n v="283560"/>
        <n v="433620"/>
        <n v="854700"/>
        <n v="1489715"/>
        <n v="93530"/>
        <n v="291870"/>
        <n v="450625"/>
        <n v="594280"/>
        <n v="1411905"/>
        <n v="107065"/>
        <n v="651210"/>
        <n v="1008900"/>
        <n v="273135"/>
        <n v="705465"/>
        <n v="1994700"/>
        <n v="225120"/>
        <n v="746640"/>
        <n v="1086750"/>
        <n v="1244050"/>
        <n v="1378560"/>
        <n v="3218600"/>
        <n v="256410"/>
        <n v="857010"/>
        <n v="652500"/>
        <n v="1099800"/>
        <n v="1048320"/>
        <n v="1770240"/>
        <n v="142675"/>
        <n v="374605"/>
        <n v="303360"/>
        <n v="274720"/>
        <n v="596565"/>
        <n v="1435300"/>
        <n v="94950"/>
        <n v="246340"/>
        <n v="316200"/>
        <n v="432150"/>
        <n v="528885"/>
        <n v="924490"/>
        <n v="89250"/>
        <n v="662890"/>
        <n v="1114200"/>
        <n v="453420"/>
        <n v="784550"/>
        <n v="2532600"/>
        <n v="188160"/>
        <n v="859320"/>
        <n v="764220"/>
        <n v="1093750"/>
        <n v="1371890"/>
        <n v="1485840"/>
        <n v="198720"/>
        <n v="716220"/>
        <n v="853320"/>
        <n v="800100"/>
        <n v="1579500"/>
        <n v="1074315"/>
        <n v="121920"/>
        <n v="328820"/>
        <n v="295160"/>
        <n v="381750"/>
        <n v="586800"/>
        <n v="1350900"/>
        <n v="94380"/>
        <n v="391280"/>
        <n v="327180"/>
        <n v="389110"/>
        <n v="625430"/>
        <n v="965430"/>
        <n v="112580"/>
        <n v="841620"/>
        <n v="530190"/>
        <n v="531200"/>
        <n v="775030"/>
        <n v="3972430"/>
        <n v="251140"/>
        <n v="579960"/>
        <n v="515660"/>
        <n v="607560"/>
        <n v="1048760"/>
        <n v="2984850"/>
        <n v="678600"/>
        <n v="650400"/>
        <n v="739410"/>
        <n v="1501640"/>
        <n v="1222480"/>
        <n v="92055"/>
        <n v="306075"/>
        <n v="454660"/>
        <n v="536790"/>
        <n v="630850"/>
        <n v="1911680"/>
        <n v="92475"/>
        <n v="428505"/>
        <n v="303960"/>
        <n v="488480"/>
        <n v="617895"/>
        <n v="1551870"/>
        <n v="101050"/>
        <n v="799770"/>
        <n v="647980"/>
        <n v="545715"/>
        <n v="545235"/>
        <n v="2317360"/>
        <n v="191520"/>
        <n v="919150"/>
        <n v="647520"/>
        <n v="566580"/>
        <n v="1290150"/>
        <n v="2242370"/>
        <n v="220350"/>
        <n v="590040"/>
        <n v="869550"/>
        <n v="640920"/>
        <n v="1094500"/>
        <n v="1105050"/>
        <n v="126825"/>
        <n v="377725"/>
        <n v="459480"/>
        <n v="365800"/>
        <n v="623525"/>
        <n v="1628250"/>
        <n v="98670"/>
        <n v="329960"/>
        <n v="509350"/>
        <n v="640100"/>
        <n v="721005"/>
        <n v="1601105"/>
        <n v="123120"/>
        <n v="709800"/>
        <n v="535900"/>
        <n v="582820"/>
        <n v="2449560"/>
        <n v="204120"/>
        <n v="532440"/>
        <n v="1026600"/>
        <n v="1126890"/>
        <n v="1163360"/>
        <n v="2310160"/>
        <n v="156950"/>
        <n v="581250"/>
        <n v="689040"/>
        <n v="841500"/>
        <n v="883890"/>
        <n v="1021020"/>
        <n v="100280"/>
        <n v="405600"/>
        <n v="410010"/>
        <n v="472410"/>
        <n v="614010"/>
        <n v="1528560"/>
        <n v="117410"/>
        <n v="370875"/>
        <n v="322400"/>
        <n v="369675"/>
        <n v="475200"/>
        <n v="811710"/>
        <n v="100340"/>
        <n v="630660"/>
        <n v="570380"/>
        <n v="429300"/>
        <n v="662150"/>
        <n v="3408930"/>
        <n v="247590"/>
        <n v="484840"/>
        <n v="700280"/>
        <n v="1105910"/>
        <n v="1022090"/>
        <n v="3053840"/>
        <n v="223440"/>
        <n v="808500"/>
        <n v="709060"/>
        <n v="687960"/>
        <n v="1642680"/>
        <n v="873740"/>
        <n v="105450"/>
        <n v="306360"/>
        <n v="444765"/>
        <n v="423785"/>
        <n v="1004360"/>
        <n v="1006860"/>
        <n v="105280"/>
        <n v="383985"/>
        <n v="514250"/>
        <n v="483510"/>
        <n v="720300"/>
        <n v="1331440"/>
        <n v="125080"/>
        <n v="612040"/>
        <n v="1075200"/>
        <n v="481280"/>
        <n v="855600"/>
        <n v="2980800"/>
        <n v="248850"/>
        <n v="709280"/>
        <n v="591600"/>
        <n v="833120"/>
        <n v="1078560"/>
        <n v="3521270"/>
        <n v="214890"/>
        <n v="639790"/>
        <n v="790560"/>
        <n v="631900"/>
        <n v="899460"/>
        <n v="1426095"/>
        <n v="257810"/>
        <n v="480520"/>
        <n v="476715"/>
        <n v="671370"/>
        <n v="1360260"/>
        <n v="277425"/>
        <n v="381555"/>
        <n v="280115"/>
        <n v="895055"/>
        <n v="1320700"/>
        <n v="109620"/>
        <n v="632100"/>
        <n v="816270"/>
        <n v="421655"/>
        <n v="612000"/>
        <n v="2770240"/>
        <n v="205440"/>
        <n v="444000"/>
        <n v="1071560"/>
        <n v="846300"/>
        <n v="1350480"/>
        <n v="2388750"/>
        <n v="280960"/>
        <n v="526440"/>
        <n v="642510"/>
        <n v="736920"/>
        <n v="859520"/>
        <n v="1861245"/>
        <n v="99760"/>
        <n v="266680"/>
        <n v="303705"/>
        <n v="426685"/>
        <n v="702050"/>
        <n v="1416225"/>
        <n v="128100"/>
        <n v="296590"/>
        <n v="392610"/>
        <n v="546255"/>
        <n v="1026020"/>
        <n v="1468800"/>
        <n v="94250"/>
        <n v="705000"/>
        <n v="927810"/>
        <n v="356440"/>
        <n v="677710"/>
        <n v="2627280"/>
        <n v="581020"/>
        <n v="881600"/>
        <n v="703340"/>
        <n v="1303140"/>
        <n v="2387280"/>
        <n v="228140"/>
        <n v="600480"/>
        <n v="677270"/>
        <n v="1002740"/>
        <n v="1525700"/>
        <n v="886380"/>
        <n v="114390"/>
        <n v="307840"/>
        <n v="487430"/>
        <n v="552230"/>
        <n v="578760"/>
        <n v="1170680"/>
        <n v="108580"/>
        <n v="345450"/>
        <n v="352000"/>
        <n v="472780"/>
        <n v="698060"/>
        <n v="1337310"/>
        <n v="117440"/>
        <n v="671650"/>
        <n v="578880"/>
        <n v="382725"/>
        <n v="788580"/>
        <n v="1718140"/>
        <n v="187720"/>
        <n v="605880"/>
        <n v="811250"/>
        <n v="707250"/>
        <n v="894200"/>
        <n v="2444200"/>
        <n v="227940"/>
        <n v="684000"/>
        <n v="620100"/>
        <n v="834020"/>
        <n v="1109500"/>
        <n v="1315485"/>
        <n v="94600"/>
        <n v="276575"/>
        <n v="340810"/>
        <n v="545200"/>
        <n v="577775"/>
        <n v="1491290"/>
        <n v="105840"/>
        <n v="329600"/>
        <n v="336840"/>
        <n v="389980"/>
        <n v="607500"/>
        <n v="1147710"/>
        <n v="99180"/>
        <n v="844660"/>
        <n v="625050"/>
        <n v="438180"/>
        <n v="888895"/>
        <n v="2021980"/>
        <n v="260470"/>
        <n v="548900"/>
        <n v="604240"/>
        <n v="518500"/>
        <n v="1264520"/>
        <n v="3549370"/>
        <n v="214500"/>
        <n v="776250"/>
        <n v="804460"/>
        <n v="1015560"/>
        <n v="1319010"/>
        <n v="1629495"/>
        <n v="88440"/>
        <n v="354200"/>
        <n v="339020"/>
        <n v="368480"/>
        <n v="772875"/>
        <n v="1476090"/>
        <n v="109445"/>
        <n v="444770"/>
        <n v="404535"/>
        <n v="512190"/>
        <n v="485440"/>
        <n v="1171170"/>
        <n v="72600"/>
        <n v="772200"/>
        <n v="835920"/>
        <n v="359100"/>
        <n v="713135"/>
        <n v="3302640"/>
        <n v="272020"/>
        <n v="478800"/>
        <n v="505750"/>
        <n v="833680"/>
        <n v="1297620"/>
        <n v="1982400"/>
        <n v="249480"/>
        <n v="601400"/>
        <n v="855500"/>
        <n v="826200"/>
        <n v="1026760"/>
        <n v="1160250"/>
        <n v="105570"/>
        <n v="231280"/>
        <n v="268560"/>
        <n v="380160"/>
        <n v="556100"/>
        <n v="1289105"/>
        <n v="132275"/>
        <n v="269730"/>
        <n v="262800"/>
        <n v="453050"/>
        <n v="553840"/>
        <n v="1865280"/>
        <n v="80325"/>
        <n v="723580"/>
        <n v="798660"/>
        <n v="422730"/>
        <n v="539560"/>
        <n v="2774060"/>
        <n v="250800"/>
        <n v="473680"/>
        <n v="818800"/>
        <n v="1088840"/>
        <n v="1122000"/>
        <n v="2934060"/>
        <n v="299490"/>
        <n v="548000"/>
        <n v="848700"/>
        <n v="584080"/>
        <n v="1127100"/>
        <n v="1231950"/>
        <n v="134190"/>
        <n v="375480"/>
        <n v="379420"/>
        <n v="644640"/>
        <n v="1468480"/>
        <n v="107240"/>
        <n v="311060"/>
        <n v="313480"/>
        <n v="315370"/>
        <n v="592620"/>
      </sharedItems>
    </cacheField>
    <cacheField name="Profit" numFmtId="0">
      <sharedItems containsSemiMixedTypes="0" containsString="0" containsNumber="1" containsInteger="1" minValue="-134712" maxValue="10242691" count="1000">
        <n v="848966"/>
        <n v="768174"/>
        <n v="2629265"/>
        <n v="3822038"/>
        <n v="8561068"/>
        <n v="178679"/>
        <n v="1438514"/>
        <n v="2326030"/>
        <n v="2251998"/>
        <n v="6396237"/>
        <n v="4074672"/>
        <n v="9798"/>
        <n v="666964"/>
        <n v="8416"/>
        <n v="895289"/>
        <n v="6598301"/>
        <n v="2212177"/>
        <n v="-36642"/>
        <n v="1383059"/>
        <n v="1429324"/>
        <n v="2719902"/>
        <n v="5069552"/>
        <n v="4847343"/>
        <n v="-6188"/>
        <n v="800598"/>
        <n v="611303"/>
        <n v="1104942"/>
        <n v="3896300"/>
        <n v="8598995"/>
        <n v="140051"/>
        <n v="280980"/>
        <n v="854833"/>
        <n v="2228402"/>
        <n v="3785487"/>
        <n v="2916271"/>
        <n v="386425"/>
        <n v="853816"/>
        <n v="727561"/>
        <n v="1143577"/>
        <n v="5779177"/>
        <n v="3190224"/>
        <n v="442973"/>
        <n v="257314"/>
        <n v="1819678"/>
        <n v="2743858"/>
        <n v="7770815"/>
        <n v="6977811"/>
        <n v="220544"/>
        <n v="928089"/>
        <n v="2064110"/>
        <n v="1521850"/>
        <n v="3211309"/>
        <n v="6365400"/>
        <n v="343155"/>
        <n v="1171894"/>
        <n v="506407"/>
        <n v="1286891"/>
        <n v="3862932"/>
        <n v="6004780"/>
        <n v="145285"/>
        <n v="1815711"/>
        <n v="1336478"/>
        <n v="2811441"/>
        <n v="6610980"/>
        <n v="10242691"/>
        <n v="166654"/>
        <n v="1208753"/>
        <n v="1581506"/>
        <n v="2922270"/>
        <n v="3458408"/>
        <n v="7678619"/>
        <n v="388138"/>
        <n v="261732"/>
        <n v="364439"/>
        <n v="1126540"/>
        <n v="3213243"/>
        <n v="2603120"/>
        <n v="254941"/>
        <n v="1033655"/>
        <n v="552256"/>
        <n v="1081157"/>
        <n v="4109917"/>
        <n v="2686880"/>
        <n v="281329"/>
        <n v="78482"/>
        <n v="2295897"/>
        <n v="2744335"/>
        <n v="3769684"/>
        <n v="6293088"/>
        <n v="23528"/>
        <n v="425887"/>
        <n v="1079794"/>
        <n v="2004587"/>
        <n v="4174082"/>
        <n v="8431152"/>
        <n v="196070"/>
        <n v="414168"/>
        <n v="1440704"/>
        <n v="2517432"/>
        <n v="5430329"/>
        <n v="6750586"/>
        <n v="69430"/>
        <n v="259737"/>
        <n v="2082173"/>
        <n v="1556681"/>
        <n v="4953886"/>
        <n v="4368250"/>
        <n v="41610"/>
        <n v="939663"/>
        <n v="836958"/>
        <n v="835363"/>
        <n v="6555209"/>
        <n v="7735191"/>
        <n v="-75831"/>
        <n v="772986"/>
        <n v="556153"/>
        <n v="1215304"/>
        <n v="3262867"/>
        <n v="7306961"/>
        <n v="271512"/>
        <n v="356353"/>
        <n v="803915"/>
        <n v="1010246"/>
        <n v="3226252"/>
        <n v="3907082"/>
        <n v="199554"/>
        <n v="1901963"/>
        <n v="1125193"/>
        <n v="808814"/>
        <n v="3616850"/>
        <n v="6894149"/>
        <n v="353889"/>
        <n v="83386"/>
        <n v="1087311"/>
        <n v="1814496"/>
        <n v="4748559"/>
        <n v="2729702"/>
        <n v="54415"/>
        <n v="330416"/>
        <n v="336508"/>
        <n v="633325"/>
        <n v="2998081"/>
        <n v="3871097"/>
        <n v="55324"/>
        <n v="1251049"/>
        <n v="1526138"/>
        <n v="546996"/>
        <n v="3549893"/>
        <n v="7987932"/>
        <n v="300490"/>
        <n v="1137801"/>
        <n v="1688683"/>
        <n v="2330247"/>
        <n v="6647663"/>
        <n v="7917825"/>
        <n v="231746"/>
        <n v="1294321"/>
        <n v="1260136"/>
        <n v="867774"/>
        <n v="4276116"/>
        <n v="7545977"/>
        <n v="31364"/>
        <n v="1739358"/>
        <n v="1481939"/>
        <n v="2020030"/>
        <n v="7483597"/>
        <n v="7723246"/>
        <n v="158188"/>
        <n v="986602"/>
        <n v="1452384"/>
        <n v="438775"/>
        <n v="4327031"/>
        <n v="6878235"/>
        <n v="-66888"/>
        <n v="1074156"/>
        <n v="582170"/>
        <n v="1338361"/>
        <n v="3127673"/>
        <n v="7261150"/>
        <n v="200709"/>
        <n v="406923"/>
        <n v="784715"/>
        <n v="422469"/>
        <n v="7424088"/>
        <n v="3048727"/>
        <n v="44046"/>
        <n v="1748491"/>
        <n v="1470755"/>
        <n v="2218802"/>
        <n v="2907671"/>
        <n v="7955692"/>
        <n v="34623"/>
        <n v="767905"/>
        <n v="609515"/>
        <n v="2688667"/>
        <n v="6974719"/>
        <n v="3368688"/>
        <n v="33765"/>
        <n v="1450281"/>
        <n v="2088968"/>
        <n v="1325691"/>
        <n v="2560854"/>
        <n v="2486249"/>
        <n v="100372"/>
        <n v="533319"/>
        <n v="2031143"/>
        <n v="2469319"/>
        <n v="4524936"/>
        <n v="8003568"/>
        <n v="301212"/>
        <n v="902209"/>
        <n v="1072030"/>
        <n v="3097674"/>
        <n v="7116817"/>
        <n v="3754454"/>
        <n v="24414"/>
        <n v="952591"/>
        <n v="667140"/>
        <n v="773725"/>
        <n v="5811759"/>
        <n v="3080998"/>
        <n v="72965"/>
        <n v="476910"/>
        <n v="448849"/>
        <n v="1133263"/>
        <n v="6847429"/>
        <n v="5958371"/>
        <n v="126724"/>
        <n v="180246"/>
        <n v="547350"/>
        <n v="185611"/>
        <n v="6109897"/>
        <n v="3003346"/>
        <n v="12365"/>
        <n v="729832"/>
        <n v="52979"/>
        <n v="2488911"/>
        <n v="5152645"/>
        <n v="4293584"/>
        <n v="152750"/>
        <n v="1316721"/>
        <n v="1954344"/>
        <n v="2247886"/>
        <n v="3742385"/>
        <n v="9006749"/>
        <n v="356478"/>
        <n v="1919425"/>
        <n v="1819265"/>
        <n v="2783765"/>
        <n v="1956055"/>
        <n v="10051705"/>
        <n v="369529"/>
        <n v="1131507"/>
        <n v="1249311"/>
        <n v="1405383"/>
        <n v="3006839"/>
        <n v="2563584"/>
        <n v="93789"/>
        <n v="1262618"/>
        <n v="351432"/>
        <n v="367464"/>
        <n v="6630932"/>
        <n v="4719375"/>
        <n v="-98870"/>
        <n v="850210"/>
        <n v="2207244"/>
        <n v="460743"/>
        <n v="5790435"/>
        <n v="9385292"/>
        <n v="116077"/>
        <n v="415183"/>
        <n v="2239334"/>
        <n v="2661496"/>
        <n v="6922403"/>
        <n v="5245328"/>
        <n v="53192"/>
        <n v="292635"/>
        <n v="476306"/>
        <n v="1601744"/>
        <n v="6564164"/>
        <n v="6161943"/>
        <n v="209637"/>
        <n v="678201"/>
        <n v="1972995"/>
        <n v="1362934"/>
        <n v="6507565"/>
        <n v="2084964"/>
        <n v="192824"/>
        <n v="1545417"/>
        <n v="-5211"/>
        <n v="631608"/>
        <n v="2958447"/>
        <n v="6317623"/>
        <n v="-92210"/>
        <n v="876577"/>
        <n v="1618896"/>
        <n v="1005559"/>
        <n v="6494935"/>
        <n v="7151213"/>
        <n v="277527"/>
        <n v="640748"/>
        <n v="1773139"/>
        <n v="1374703"/>
        <n v="4466454"/>
        <n v="3875859"/>
        <n v="174512"/>
        <n v="1528548"/>
        <n v="880318"/>
        <n v="2950475"/>
        <n v="6641816"/>
        <n v="8378462"/>
        <n v="88585"/>
        <n v="674282"/>
        <n v="1121390"/>
        <n v="1045652"/>
        <n v="5049474"/>
        <n v="2273044"/>
        <n v="-65457"/>
        <n v="1404599"/>
        <n v="272521"/>
        <n v="2344449"/>
        <n v="4815541"/>
        <n v="4786893"/>
        <n v="159706"/>
        <n v="746791"/>
        <n v="955394"/>
        <n v="1271494"/>
        <n v="5532582"/>
        <n v="7923777"/>
        <n v="242200"/>
        <n v="650170"/>
        <n v="616310"/>
        <n v="3212303"/>
        <n v="4214141"/>
        <n v="5707915"/>
        <n v="140564"/>
        <n v="282942"/>
        <n v="1267830"/>
        <n v="2265694"/>
        <n v="4736569"/>
        <n v="5774913"/>
        <n v="40347"/>
        <n v="833944"/>
        <n v="2317946"/>
        <n v="991042"/>
        <n v="5146500"/>
        <n v="1937655"/>
        <n v="268043"/>
        <n v="1373307"/>
        <n v="823274"/>
        <n v="1447935"/>
        <n v="2399757"/>
        <n v="4486589"/>
        <n v="282109"/>
        <n v="455253"/>
        <n v="760429"/>
        <n v="1365657"/>
        <n v="3675421"/>
        <n v="7271549"/>
        <n v="94705"/>
        <n v="310735"/>
        <n v="1202221"/>
        <n v="3289384"/>
        <n v="5745287"/>
        <n v="7060320"/>
        <n v="342078"/>
        <n v="1103371"/>
        <n v="987337"/>
        <n v="2363656"/>
        <n v="2806730"/>
        <n v="7861285"/>
        <n v="320761"/>
        <n v="263413"/>
        <n v="11093"/>
        <n v="3531880"/>
        <n v="7338416"/>
        <n v="5139836"/>
        <n v="156262"/>
        <n v="713055"/>
        <n v="349853"/>
        <n v="1578057"/>
        <n v="2254137"/>
        <n v="3011117"/>
        <n v="116239"/>
        <n v="348441"/>
        <n v="950152"/>
        <n v="1002831"/>
        <n v="5421621"/>
        <n v="9834237"/>
        <n v="6418"/>
        <n v="1722202"/>
        <n v="1058819"/>
        <n v="1610257"/>
        <n v="6547146"/>
        <n v="6222044"/>
        <n v="88038"/>
        <n v="2099050"/>
        <n v="2044387"/>
        <n v="959505"/>
        <n v="4586552"/>
        <n v="4842221"/>
        <n v="169047"/>
        <n v="1011422"/>
        <n v="1014509"/>
        <n v="2291323"/>
        <n v="7208172"/>
        <n v="3344701"/>
        <n v="99420"/>
        <n v="539487"/>
        <n v="827981"/>
        <n v="2078933"/>
        <n v="2239704"/>
        <n v="4700118"/>
        <n v="278946"/>
        <n v="1343150"/>
        <n v="-80913"/>
        <n v="856352"/>
        <n v="2264531"/>
        <n v="4347521"/>
        <n v="105149"/>
        <n v="803825"/>
        <n v="405552"/>
        <n v="1468647"/>
        <n v="4220539"/>
        <n v="9413045"/>
        <n v="240719"/>
        <n v="2039969"/>
        <n v="716212"/>
        <n v="2488084"/>
        <n v="7390523"/>
        <n v="3719656"/>
        <n v="156131"/>
        <n v="1039688"/>
        <n v="1010269"/>
        <n v="604583"/>
        <n v="8053588"/>
        <n v="3081518"/>
        <n v="194013"/>
        <n v="88312"/>
        <n v="212171"/>
        <n v="1505621"/>
        <n v="2974802"/>
        <n v="3238446"/>
        <n v="-46453"/>
        <n v="520280"/>
        <n v="1429241"/>
        <n v="1939402"/>
        <n v="5667982"/>
        <n v="3203475"/>
        <n v="395499"/>
        <n v="646973"/>
        <n v="2000631"/>
        <n v="868031"/>
        <n v="3004254"/>
        <n v="3856059"/>
        <n v="211560"/>
        <n v="1719737"/>
        <n v="918782"/>
        <n v="2883711"/>
        <n v="4074475"/>
        <n v="7700460"/>
        <n v="404224"/>
        <n v="1071986"/>
        <n v="39030"/>
        <n v="1975153"/>
        <n v="5119512"/>
        <n v="2056108"/>
        <n v="178989"/>
        <n v="1330558"/>
        <n v="1472523"/>
        <n v="785742"/>
        <n v="2809903"/>
        <n v="7417732"/>
        <n v="11486"/>
        <n v="585125"/>
        <n v="1385892"/>
        <n v="638985"/>
        <n v="2863833"/>
        <n v="7162841"/>
        <n v="81230"/>
        <n v="821410"/>
        <n v="1645836"/>
        <n v="1354107"/>
        <n v="5765727"/>
        <n v="5648894"/>
        <n v="318132"/>
        <n v="1738057"/>
        <n v="1066795"/>
        <n v="505280"/>
        <n v="6466701"/>
        <n v="5215705"/>
        <n v="247570"/>
        <n v="172454"/>
        <n v="969935"/>
        <n v="2168387"/>
        <n v="4536286"/>
        <n v="6235180"/>
        <n v="191047"/>
        <n v="262987"/>
        <n v="1634643"/>
        <n v="1902253"/>
        <n v="5453750"/>
        <n v="2078347"/>
        <n v="59962"/>
        <n v="809582"/>
        <n v="2198384"/>
        <n v="1337868"/>
        <n v="5241645"/>
        <n v="7291813"/>
        <n v="378691"/>
        <n v="231553"/>
        <n v="706734"/>
        <n v="1439218"/>
        <n v="3091185"/>
        <n v="8040767"/>
        <n v="370595"/>
        <n v="1975160"/>
        <n v="2431703"/>
        <n v="2817499"/>
        <n v="6622345"/>
        <n v="8398871"/>
        <n v="190280"/>
        <n v="697938"/>
        <n v="1713580"/>
        <n v="934252"/>
        <n v="3302260"/>
        <n v="7811789"/>
        <n v="22742"/>
        <n v="281414"/>
        <n v="1034062"/>
        <n v="2448272"/>
        <n v="5694909"/>
        <n v="5750357"/>
        <n v="228180"/>
        <n v="242531"/>
        <n v="1498280"/>
        <n v="971435"/>
        <n v="5567938"/>
        <n v="8682237"/>
        <n v="140257"/>
        <n v="1347808"/>
        <n v="1023634"/>
        <n v="3263180"/>
        <n v="4367582"/>
        <n v="3986348"/>
        <n v="270104"/>
        <n v="1467285"/>
        <n v="2410459"/>
        <n v="1270351"/>
        <n v="3986884"/>
        <n v="8317232"/>
        <n v="317459"/>
        <n v="1385724"/>
        <n v="1423886"/>
        <n v="1191869"/>
        <n v="5770606"/>
        <n v="8240682"/>
        <n v="111205"/>
        <n v="84264"/>
        <n v="660425"/>
        <n v="1293653"/>
        <n v="5482992"/>
        <n v="7262200"/>
        <n v="76707"/>
        <n v="550801"/>
        <n v="1981805"/>
        <n v="2171719"/>
        <n v="5694679"/>
        <n v="3909820"/>
        <n v="92011"/>
        <n v="1348191"/>
        <n v="824057"/>
        <n v="2505928"/>
        <n v="3969573"/>
        <n v="7608898"/>
        <n v="378863"/>
        <n v="983268"/>
        <n v="1529907"/>
        <n v="2469662"/>
        <n v="5838638"/>
        <n v="5025092"/>
        <n v="195706"/>
        <n v="303384"/>
        <n v="1038383"/>
        <n v="1920435"/>
        <n v="3427694"/>
        <n v="5464180"/>
        <n v="32638"/>
        <n v="1598785"/>
        <n v="442394"/>
        <n v="2378209"/>
        <n v="3604994"/>
        <n v="3497936"/>
        <n v="8432"/>
        <n v="1651398"/>
        <n v="829783"/>
        <n v="1504760"/>
        <n v="2381239"/>
        <n v="3539877"/>
        <n v="166159"/>
        <n v="1968268"/>
        <n v="805133"/>
        <n v="2282820"/>
        <n v="6146239"/>
        <n v="6641580"/>
        <n v="262504"/>
        <n v="546563"/>
        <n v="1055200"/>
        <n v="1766377"/>
        <n v="6237477"/>
        <n v="5035372"/>
        <n v="388887"/>
        <n v="398781"/>
        <n v="1657729"/>
        <n v="741244"/>
        <n v="6024813"/>
        <n v="2754695"/>
        <n v="155105"/>
        <n v="1285436"/>
        <n v="1800495"/>
        <n v="2289687"/>
        <n v="4941264"/>
        <n v="6242464"/>
        <n v="139813"/>
        <n v="987124"/>
        <n v="1423402"/>
        <n v="1684036"/>
        <n v="1999044"/>
        <n v="7565539"/>
        <n v="375869"/>
        <n v="1498643"/>
        <n v="395450"/>
        <n v="630281"/>
        <n v="2229756"/>
        <n v="5446114"/>
        <n v="344076"/>
        <n v="994600"/>
        <n v="1407990"/>
        <n v="2835256"/>
        <n v="5034997"/>
        <n v="3869722"/>
        <n v="94331"/>
        <n v="475364"/>
        <n v="1937081"/>
        <n v="3337583"/>
        <n v="5724725"/>
        <n v="4415441"/>
        <n v="-62623"/>
        <n v="1315849"/>
        <n v="1405653"/>
        <n v="2044476"/>
        <n v="6199034"/>
        <n v="2155402"/>
        <n v="165536"/>
        <n v="899031"/>
        <n v="1369383"/>
        <n v="2374915"/>
        <n v="3756912"/>
        <n v="4016112"/>
        <n v="155478"/>
        <n v="552762"/>
        <n v="449419"/>
        <n v="1506329"/>
        <n v="2108184"/>
        <n v="7094659"/>
        <n v="123920"/>
        <n v="1333087"/>
        <n v="1859972"/>
        <n v="1043333"/>
        <n v="3023093"/>
        <n v="5665928"/>
        <n v="333977"/>
        <n v="882505"/>
        <n v="239049"/>
        <n v="2869584"/>
        <n v="6085148"/>
        <n v="6520003"/>
        <n v="203368"/>
        <n v="1223292"/>
        <n v="830733"/>
        <n v="1449685"/>
        <n v="3845986"/>
        <n v="5899224"/>
        <n v="206672"/>
        <n v="1527649"/>
        <n v="1473582"/>
        <n v="1059372"/>
        <n v="4373712"/>
        <n v="4367459"/>
        <n v="137639"/>
        <n v="233779"/>
        <n v="1510263"/>
        <n v="2568766"/>
        <n v="5389302"/>
        <n v="7610812"/>
        <n v="310422"/>
        <n v="1373941"/>
        <n v="996129"/>
        <n v="2114520"/>
        <n v="4005401"/>
        <n v="8643184"/>
        <n v="350451"/>
        <n v="902738"/>
        <n v="-134712"/>
        <n v="2423492"/>
        <n v="2468437"/>
        <n v="5412412"/>
        <n v="-43810"/>
        <n v="1207003"/>
        <n v="1884860"/>
        <n v="307875"/>
        <n v="2815611"/>
        <n v="4155976"/>
        <n v="-81310"/>
        <n v="101448"/>
        <n v="1411560"/>
        <n v="625841"/>
        <n v="2762244"/>
        <n v="6361143"/>
        <n v="391178"/>
        <n v="1426393"/>
        <n v="1762744"/>
        <n v="2297865"/>
        <n v="2329545"/>
        <n v="8943775"/>
        <n v="374096"/>
        <n v="1815086"/>
        <n v="2429406"/>
        <n v="3190082"/>
        <n v="5257066"/>
        <n v="6311702"/>
        <n v="346989"/>
        <n v="185936"/>
        <n v="1057211"/>
        <n v="2075509"/>
        <n v="6225850"/>
        <n v="2199052"/>
        <n v="92759"/>
        <n v="632865"/>
        <n v="1797101"/>
        <n v="2464716"/>
        <n v="3852391"/>
        <n v="2558005"/>
        <n v="60664"/>
        <n v="675840"/>
        <n v="1423695"/>
        <n v="1808981"/>
        <n v="2841825"/>
        <n v="6412783"/>
        <n v="378806"/>
        <n v="1208821"/>
        <n v="1743660"/>
        <n v="1591646"/>
        <n v="4141387"/>
        <n v="9255196"/>
        <n v="204879"/>
        <n v="1744952"/>
        <n v="1548825"/>
        <n v="1205158"/>
        <n v="3055664"/>
        <n v="3812847"/>
        <n v="51841"/>
        <n v="541382"/>
        <n v="-52554"/>
        <n v="1238802"/>
        <n v="4073489"/>
        <n v="5973951"/>
        <n v="77731"/>
        <n v="194341"/>
        <n v="447151"/>
        <n v="2072884"/>
        <n v="3406026"/>
        <n v="4263713"/>
        <n v="72423"/>
        <n v="723265"/>
        <n v="1945650"/>
        <n v="778255"/>
        <n v="3663168"/>
        <n v="4041211"/>
        <n v="146144"/>
        <n v="550161"/>
        <n v="2045377"/>
        <n v="2947527"/>
        <n v="6791548"/>
        <n v="3459086"/>
        <n v="453537"/>
        <n v="1025308"/>
        <n v="2020836"/>
        <n v="3489554"/>
        <n v="3744782"/>
        <n v="8519324"/>
        <n v="276788"/>
        <n v="417571"/>
        <n v="1807168"/>
        <n v="1466999"/>
        <n v="5858737"/>
        <n v="5580582"/>
        <n v="80941"/>
        <n v="1605659"/>
        <n v="544124"/>
        <n v="2269648"/>
        <n v="3895427"/>
        <n v="7131303"/>
        <n v="67441"/>
        <n v="824226"/>
        <n v="2451797"/>
        <n v="608901"/>
        <n v="2731729"/>
        <n v="4115982"/>
        <n v="245635"/>
        <n v="541454"/>
        <n v="2046276"/>
        <n v="1510572"/>
        <n v="7977583"/>
        <n v="4720521"/>
        <n v="95267"/>
        <n v="623821"/>
        <n v="2073146"/>
        <n v="1244056"/>
        <n v="5543655"/>
        <n v="4260988"/>
        <n v="42185"/>
        <n v="420210"/>
        <n v="758763"/>
        <n v="1484233"/>
        <n v="6456703"/>
        <n v="7161360"/>
        <n v="263190"/>
        <n v="420463"/>
        <n v="1736839"/>
        <n v="622551"/>
        <n v="4446753"/>
        <n v="4038212"/>
        <n v="207626"/>
        <n v="440262"/>
        <n v="1267615"/>
        <n v="428166"/>
        <n v="2942817"/>
        <n v="8286056"/>
        <n v="66329"/>
        <n v="1058299"/>
        <n v="604674"/>
        <n v="1430160"/>
        <n v="5866707"/>
        <n v="8527724"/>
        <n v="292426"/>
        <n v="962859"/>
        <n v="2015071"/>
        <n v="2127881"/>
        <n v="6815256"/>
        <n v="6880369"/>
        <n v="159456"/>
        <n v="1008323"/>
        <n v="1467337"/>
        <n v="1229324"/>
        <n v="4657443"/>
        <n v="4932248"/>
        <n v="13448"/>
        <n v="433633"/>
        <n v="1600054"/>
        <n v="1212397"/>
        <n v="3330984"/>
        <n v="3153117"/>
        <n v="54378"/>
        <n v="1503390"/>
        <n v="1103680"/>
        <n v="1292840"/>
        <n v="5953260"/>
        <n v="4434179"/>
        <n v="106389"/>
        <n v="1212516"/>
        <n v="2467519"/>
        <n v="2755500"/>
        <n v="4807805"/>
        <n v="3384624"/>
        <n v="88595"/>
        <n v="1065759"/>
        <n v="916188"/>
        <n v="2556277"/>
        <n v="7436236"/>
        <n v="7211980"/>
        <n v="126087"/>
        <n v="829807"/>
        <n v="677782"/>
        <n v="2095049"/>
        <n v="5288884"/>
        <n v="3499043"/>
        <n v="30095"/>
        <n v="672686"/>
        <n v="2286108"/>
        <n v="2042096"/>
        <n v="2174053"/>
        <n v="3169337"/>
        <n v="88745"/>
        <n v="732712"/>
        <n v="131669"/>
        <n v="520858"/>
        <n v="4326988"/>
        <n v="6635931"/>
        <n v="48005"/>
        <n v="1303459"/>
        <n v="522607"/>
        <n v="2002231"/>
        <n v="3892468"/>
        <n v="7016487"/>
        <n v="149051"/>
        <n v="555727"/>
        <n v="610158"/>
        <n v="2637034"/>
        <n v="2427125"/>
        <n v="4813979"/>
        <n v="47493"/>
        <n v="1148667"/>
        <n v="927775"/>
        <n v="2854289"/>
        <n v="6349023"/>
        <n v="4619310"/>
        <n v="186998"/>
        <n v="1121381"/>
        <n v="-54072"/>
        <n v="780531"/>
        <n v="3228091"/>
        <n v="6363479"/>
        <n v="210201"/>
        <n v="1470282"/>
        <n v="1489454"/>
        <n v="1413861"/>
        <n v="2961051"/>
        <n v="7109209"/>
        <n v="233086"/>
        <n v="853852"/>
        <n v="1424522"/>
        <n v="456706"/>
        <n v="5530492"/>
        <n v="6686570"/>
        <n v="146235"/>
        <n v="1566132"/>
        <n v="1910795"/>
        <n v="1868112"/>
        <n v="3458590"/>
        <n v="4077628"/>
        <n v="22018"/>
        <n v="837264"/>
        <n v="905051"/>
        <n v="2199553"/>
        <n v="5300299"/>
        <n v="7659503"/>
        <n v="67245"/>
        <n v="552037"/>
        <n v="619390"/>
        <n v="2126891"/>
        <n v="6071398"/>
        <n v="4239144"/>
        <n v="115364"/>
        <n v="737119"/>
        <n v="1611487"/>
        <n v="1861359"/>
        <n v="2633929"/>
        <n v="3042340"/>
        <n v="233405"/>
        <n v="705737"/>
        <n v="353573"/>
        <n v="887007"/>
        <n v="5456538"/>
        <n v="7565039"/>
        <n v="266475"/>
        <n v="1292266"/>
        <n v="901957"/>
        <n v="1801836"/>
        <n v="5661150"/>
        <n v="7373474"/>
        <n v="113598"/>
        <n v="1045234"/>
        <n v="759121"/>
        <n v="1078508"/>
        <n v="5031298"/>
        <n v="5849051"/>
        <n v="121260"/>
        <n v="231587"/>
        <n v="696378"/>
        <n v="2552095"/>
        <n v="4899279"/>
        <n v="2941675"/>
        <n v="215051"/>
        <n v="189756"/>
        <n v="1912484"/>
        <n v="346237"/>
        <n v="1941731"/>
        <n v="6192666"/>
        <n v="329214"/>
        <n v="1820414"/>
        <n v="2656001"/>
        <n v="1711324"/>
        <n v="2859743"/>
        <n v="7176574"/>
        <n v="169757"/>
        <n v="538686"/>
        <n v="996221"/>
        <n v="1843515"/>
        <n v="370257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1"/>
    <x v="2"/>
    <x v="2"/>
    <x v="2"/>
    <x v="2"/>
    <x v="2"/>
    <x v="2"/>
    <x v="2"/>
    <x v="2"/>
    <x v="2"/>
    <x v="2"/>
  </r>
  <r>
    <x v="3"/>
    <x v="3"/>
    <x v="2"/>
    <x v="0"/>
    <x v="3"/>
    <x v="3"/>
    <x v="3"/>
    <x v="3"/>
    <x v="3"/>
    <x v="3"/>
    <x v="3"/>
    <x v="3"/>
    <x v="3"/>
  </r>
  <r>
    <x v="4"/>
    <x v="4"/>
    <x v="0"/>
    <x v="2"/>
    <x v="4"/>
    <x v="0"/>
    <x v="4"/>
    <x v="4"/>
    <x v="4"/>
    <x v="4"/>
    <x v="4"/>
    <x v="4"/>
    <x v="4"/>
  </r>
  <r>
    <x v="5"/>
    <x v="5"/>
    <x v="2"/>
    <x v="1"/>
    <x v="5"/>
    <x v="0"/>
    <x v="5"/>
    <x v="5"/>
    <x v="5"/>
    <x v="5"/>
    <x v="5"/>
    <x v="5"/>
    <x v="5"/>
  </r>
  <r>
    <x v="6"/>
    <x v="6"/>
    <x v="0"/>
    <x v="3"/>
    <x v="6"/>
    <x v="2"/>
    <x v="6"/>
    <x v="0"/>
    <x v="0"/>
    <x v="6"/>
    <x v="6"/>
    <x v="6"/>
    <x v="6"/>
  </r>
  <r>
    <x v="7"/>
    <x v="7"/>
    <x v="3"/>
    <x v="1"/>
    <x v="7"/>
    <x v="1"/>
    <x v="7"/>
    <x v="1"/>
    <x v="1"/>
    <x v="7"/>
    <x v="7"/>
    <x v="7"/>
    <x v="7"/>
  </r>
  <r>
    <x v="8"/>
    <x v="8"/>
    <x v="1"/>
    <x v="4"/>
    <x v="8"/>
    <x v="4"/>
    <x v="8"/>
    <x v="2"/>
    <x v="2"/>
    <x v="8"/>
    <x v="8"/>
    <x v="8"/>
    <x v="8"/>
  </r>
  <r>
    <x v="9"/>
    <x v="9"/>
    <x v="4"/>
    <x v="0"/>
    <x v="9"/>
    <x v="5"/>
    <x v="9"/>
    <x v="3"/>
    <x v="3"/>
    <x v="9"/>
    <x v="9"/>
    <x v="9"/>
    <x v="9"/>
  </r>
  <r>
    <x v="10"/>
    <x v="10"/>
    <x v="2"/>
    <x v="3"/>
    <x v="10"/>
    <x v="3"/>
    <x v="10"/>
    <x v="4"/>
    <x v="4"/>
    <x v="10"/>
    <x v="10"/>
    <x v="10"/>
    <x v="10"/>
  </r>
  <r>
    <x v="11"/>
    <x v="11"/>
    <x v="3"/>
    <x v="2"/>
    <x v="11"/>
    <x v="2"/>
    <x v="11"/>
    <x v="5"/>
    <x v="5"/>
    <x v="11"/>
    <x v="11"/>
    <x v="11"/>
    <x v="11"/>
  </r>
  <r>
    <x v="12"/>
    <x v="12"/>
    <x v="0"/>
    <x v="5"/>
    <x v="12"/>
    <x v="1"/>
    <x v="12"/>
    <x v="0"/>
    <x v="0"/>
    <x v="12"/>
    <x v="12"/>
    <x v="12"/>
    <x v="12"/>
  </r>
  <r>
    <x v="13"/>
    <x v="13"/>
    <x v="5"/>
    <x v="1"/>
    <x v="13"/>
    <x v="5"/>
    <x v="13"/>
    <x v="1"/>
    <x v="1"/>
    <x v="13"/>
    <x v="13"/>
    <x v="13"/>
    <x v="13"/>
  </r>
  <r>
    <x v="14"/>
    <x v="14"/>
    <x v="1"/>
    <x v="5"/>
    <x v="14"/>
    <x v="2"/>
    <x v="12"/>
    <x v="2"/>
    <x v="2"/>
    <x v="14"/>
    <x v="14"/>
    <x v="14"/>
    <x v="14"/>
  </r>
  <r>
    <x v="15"/>
    <x v="15"/>
    <x v="5"/>
    <x v="0"/>
    <x v="15"/>
    <x v="3"/>
    <x v="14"/>
    <x v="3"/>
    <x v="3"/>
    <x v="15"/>
    <x v="15"/>
    <x v="15"/>
    <x v="15"/>
  </r>
  <r>
    <x v="16"/>
    <x v="16"/>
    <x v="2"/>
    <x v="6"/>
    <x v="16"/>
    <x v="4"/>
    <x v="15"/>
    <x v="4"/>
    <x v="4"/>
    <x v="16"/>
    <x v="16"/>
    <x v="16"/>
    <x v="16"/>
  </r>
  <r>
    <x v="17"/>
    <x v="17"/>
    <x v="6"/>
    <x v="2"/>
    <x v="17"/>
    <x v="1"/>
    <x v="16"/>
    <x v="5"/>
    <x v="5"/>
    <x v="17"/>
    <x v="17"/>
    <x v="17"/>
    <x v="17"/>
  </r>
  <r>
    <x v="18"/>
    <x v="18"/>
    <x v="0"/>
    <x v="6"/>
    <x v="18"/>
    <x v="5"/>
    <x v="17"/>
    <x v="0"/>
    <x v="0"/>
    <x v="3"/>
    <x v="18"/>
    <x v="18"/>
    <x v="18"/>
  </r>
  <r>
    <x v="19"/>
    <x v="19"/>
    <x v="6"/>
    <x v="1"/>
    <x v="5"/>
    <x v="0"/>
    <x v="18"/>
    <x v="1"/>
    <x v="1"/>
    <x v="18"/>
    <x v="19"/>
    <x v="19"/>
    <x v="19"/>
  </r>
  <r>
    <x v="20"/>
    <x v="20"/>
    <x v="1"/>
    <x v="7"/>
    <x v="4"/>
    <x v="0"/>
    <x v="19"/>
    <x v="2"/>
    <x v="2"/>
    <x v="19"/>
    <x v="20"/>
    <x v="20"/>
    <x v="20"/>
  </r>
  <r>
    <x v="21"/>
    <x v="21"/>
    <x v="7"/>
    <x v="0"/>
    <x v="19"/>
    <x v="4"/>
    <x v="20"/>
    <x v="3"/>
    <x v="3"/>
    <x v="20"/>
    <x v="21"/>
    <x v="21"/>
    <x v="21"/>
  </r>
  <r>
    <x v="22"/>
    <x v="22"/>
    <x v="0"/>
    <x v="7"/>
    <x v="20"/>
    <x v="2"/>
    <x v="21"/>
    <x v="4"/>
    <x v="4"/>
    <x v="21"/>
    <x v="22"/>
    <x v="22"/>
    <x v="22"/>
  </r>
  <r>
    <x v="23"/>
    <x v="23"/>
    <x v="7"/>
    <x v="1"/>
    <x v="21"/>
    <x v="1"/>
    <x v="22"/>
    <x v="5"/>
    <x v="5"/>
    <x v="22"/>
    <x v="23"/>
    <x v="23"/>
    <x v="23"/>
  </r>
  <r>
    <x v="24"/>
    <x v="24"/>
    <x v="1"/>
    <x v="8"/>
    <x v="22"/>
    <x v="4"/>
    <x v="23"/>
    <x v="0"/>
    <x v="0"/>
    <x v="23"/>
    <x v="24"/>
    <x v="24"/>
    <x v="24"/>
  </r>
  <r>
    <x v="25"/>
    <x v="25"/>
    <x v="8"/>
    <x v="0"/>
    <x v="23"/>
    <x v="2"/>
    <x v="24"/>
    <x v="1"/>
    <x v="1"/>
    <x v="7"/>
    <x v="25"/>
    <x v="25"/>
    <x v="25"/>
  </r>
  <r>
    <x v="26"/>
    <x v="26"/>
    <x v="2"/>
    <x v="5"/>
    <x v="24"/>
    <x v="2"/>
    <x v="25"/>
    <x v="2"/>
    <x v="2"/>
    <x v="24"/>
    <x v="26"/>
    <x v="26"/>
    <x v="26"/>
  </r>
  <r>
    <x v="27"/>
    <x v="27"/>
    <x v="5"/>
    <x v="2"/>
    <x v="25"/>
    <x v="1"/>
    <x v="26"/>
    <x v="3"/>
    <x v="3"/>
    <x v="25"/>
    <x v="27"/>
    <x v="27"/>
    <x v="27"/>
  </r>
  <r>
    <x v="28"/>
    <x v="28"/>
    <x v="4"/>
    <x v="1"/>
    <x v="26"/>
    <x v="4"/>
    <x v="27"/>
    <x v="4"/>
    <x v="4"/>
    <x v="26"/>
    <x v="28"/>
    <x v="28"/>
    <x v="28"/>
  </r>
  <r>
    <x v="29"/>
    <x v="29"/>
    <x v="0"/>
    <x v="4"/>
    <x v="27"/>
    <x v="4"/>
    <x v="28"/>
    <x v="5"/>
    <x v="5"/>
    <x v="27"/>
    <x v="29"/>
    <x v="29"/>
    <x v="29"/>
  </r>
  <r>
    <x v="30"/>
    <x v="0"/>
    <x v="0"/>
    <x v="0"/>
    <x v="28"/>
    <x v="4"/>
    <x v="29"/>
    <x v="0"/>
    <x v="0"/>
    <x v="28"/>
    <x v="30"/>
    <x v="30"/>
    <x v="30"/>
  </r>
  <r>
    <x v="31"/>
    <x v="1"/>
    <x v="1"/>
    <x v="1"/>
    <x v="29"/>
    <x v="5"/>
    <x v="30"/>
    <x v="1"/>
    <x v="1"/>
    <x v="29"/>
    <x v="31"/>
    <x v="31"/>
    <x v="31"/>
  </r>
  <r>
    <x v="32"/>
    <x v="2"/>
    <x v="1"/>
    <x v="2"/>
    <x v="9"/>
    <x v="5"/>
    <x v="31"/>
    <x v="2"/>
    <x v="2"/>
    <x v="30"/>
    <x v="32"/>
    <x v="32"/>
    <x v="32"/>
  </r>
  <r>
    <x v="33"/>
    <x v="3"/>
    <x v="2"/>
    <x v="0"/>
    <x v="30"/>
    <x v="5"/>
    <x v="17"/>
    <x v="3"/>
    <x v="3"/>
    <x v="31"/>
    <x v="33"/>
    <x v="33"/>
    <x v="33"/>
  </r>
  <r>
    <x v="34"/>
    <x v="4"/>
    <x v="0"/>
    <x v="2"/>
    <x v="31"/>
    <x v="5"/>
    <x v="32"/>
    <x v="4"/>
    <x v="4"/>
    <x v="32"/>
    <x v="34"/>
    <x v="34"/>
    <x v="34"/>
  </r>
  <r>
    <x v="35"/>
    <x v="5"/>
    <x v="2"/>
    <x v="1"/>
    <x v="32"/>
    <x v="5"/>
    <x v="12"/>
    <x v="5"/>
    <x v="5"/>
    <x v="33"/>
    <x v="35"/>
    <x v="35"/>
    <x v="35"/>
  </r>
  <r>
    <x v="36"/>
    <x v="6"/>
    <x v="0"/>
    <x v="3"/>
    <x v="33"/>
    <x v="5"/>
    <x v="33"/>
    <x v="0"/>
    <x v="0"/>
    <x v="34"/>
    <x v="36"/>
    <x v="36"/>
    <x v="36"/>
  </r>
  <r>
    <x v="37"/>
    <x v="7"/>
    <x v="3"/>
    <x v="1"/>
    <x v="34"/>
    <x v="5"/>
    <x v="34"/>
    <x v="1"/>
    <x v="1"/>
    <x v="35"/>
    <x v="37"/>
    <x v="37"/>
    <x v="37"/>
  </r>
  <r>
    <x v="38"/>
    <x v="8"/>
    <x v="1"/>
    <x v="4"/>
    <x v="35"/>
    <x v="5"/>
    <x v="35"/>
    <x v="2"/>
    <x v="2"/>
    <x v="36"/>
    <x v="38"/>
    <x v="38"/>
    <x v="38"/>
  </r>
  <r>
    <x v="39"/>
    <x v="9"/>
    <x v="4"/>
    <x v="0"/>
    <x v="36"/>
    <x v="5"/>
    <x v="36"/>
    <x v="3"/>
    <x v="3"/>
    <x v="37"/>
    <x v="39"/>
    <x v="39"/>
    <x v="39"/>
  </r>
  <r>
    <x v="40"/>
    <x v="10"/>
    <x v="2"/>
    <x v="3"/>
    <x v="37"/>
    <x v="5"/>
    <x v="37"/>
    <x v="4"/>
    <x v="4"/>
    <x v="38"/>
    <x v="40"/>
    <x v="40"/>
    <x v="40"/>
  </r>
  <r>
    <x v="41"/>
    <x v="11"/>
    <x v="3"/>
    <x v="2"/>
    <x v="38"/>
    <x v="5"/>
    <x v="38"/>
    <x v="5"/>
    <x v="5"/>
    <x v="39"/>
    <x v="41"/>
    <x v="41"/>
    <x v="41"/>
  </r>
  <r>
    <x v="42"/>
    <x v="12"/>
    <x v="0"/>
    <x v="5"/>
    <x v="39"/>
    <x v="5"/>
    <x v="39"/>
    <x v="0"/>
    <x v="0"/>
    <x v="40"/>
    <x v="42"/>
    <x v="42"/>
    <x v="42"/>
  </r>
  <r>
    <x v="43"/>
    <x v="13"/>
    <x v="5"/>
    <x v="1"/>
    <x v="40"/>
    <x v="5"/>
    <x v="40"/>
    <x v="1"/>
    <x v="1"/>
    <x v="13"/>
    <x v="43"/>
    <x v="43"/>
    <x v="43"/>
  </r>
  <r>
    <x v="44"/>
    <x v="14"/>
    <x v="1"/>
    <x v="5"/>
    <x v="41"/>
    <x v="5"/>
    <x v="41"/>
    <x v="2"/>
    <x v="2"/>
    <x v="41"/>
    <x v="44"/>
    <x v="44"/>
    <x v="44"/>
  </r>
  <r>
    <x v="45"/>
    <x v="15"/>
    <x v="5"/>
    <x v="0"/>
    <x v="42"/>
    <x v="5"/>
    <x v="42"/>
    <x v="3"/>
    <x v="3"/>
    <x v="42"/>
    <x v="45"/>
    <x v="45"/>
    <x v="45"/>
  </r>
  <r>
    <x v="46"/>
    <x v="16"/>
    <x v="2"/>
    <x v="6"/>
    <x v="13"/>
    <x v="5"/>
    <x v="43"/>
    <x v="4"/>
    <x v="4"/>
    <x v="43"/>
    <x v="46"/>
    <x v="46"/>
    <x v="46"/>
  </r>
  <r>
    <x v="47"/>
    <x v="17"/>
    <x v="6"/>
    <x v="2"/>
    <x v="43"/>
    <x v="5"/>
    <x v="44"/>
    <x v="5"/>
    <x v="5"/>
    <x v="44"/>
    <x v="47"/>
    <x v="47"/>
    <x v="47"/>
  </r>
  <r>
    <x v="48"/>
    <x v="18"/>
    <x v="0"/>
    <x v="6"/>
    <x v="44"/>
    <x v="5"/>
    <x v="45"/>
    <x v="0"/>
    <x v="0"/>
    <x v="45"/>
    <x v="48"/>
    <x v="48"/>
    <x v="48"/>
  </r>
  <r>
    <x v="49"/>
    <x v="19"/>
    <x v="6"/>
    <x v="1"/>
    <x v="45"/>
    <x v="5"/>
    <x v="31"/>
    <x v="1"/>
    <x v="1"/>
    <x v="14"/>
    <x v="49"/>
    <x v="49"/>
    <x v="49"/>
  </r>
  <r>
    <x v="50"/>
    <x v="20"/>
    <x v="1"/>
    <x v="7"/>
    <x v="46"/>
    <x v="5"/>
    <x v="46"/>
    <x v="2"/>
    <x v="2"/>
    <x v="46"/>
    <x v="50"/>
    <x v="50"/>
    <x v="50"/>
  </r>
  <r>
    <x v="51"/>
    <x v="21"/>
    <x v="7"/>
    <x v="0"/>
    <x v="47"/>
    <x v="5"/>
    <x v="47"/>
    <x v="3"/>
    <x v="3"/>
    <x v="47"/>
    <x v="51"/>
    <x v="51"/>
    <x v="51"/>
  </r>
  <r>
    <x v="52"/>
    <x v="22"/>
    <x v="0"/>
    <x v="7"/>
    <x v="48"/>
    <x v="5"/>
    <x v="48"/>
    <x v="4"/>
    <x v="4"/>
    <x v="48"/>
    <x v="52"/>
    <x v="52"/>
    <x v="52"/>
  </r>
  <r>
    <x v="53"/>
    <x v="23"/>
    <x v="7"/>
    <x v="1"/>
    <x v="49"/>
    <x v="5"/>
    <x v="49"/>
    <x v="5"/>
    <x v="5"/>
    <x v="49"/>
    <x v="53"/>
    <x v="53"/>
    <x v="53"/>
  </r>
  <r>
    <x v="54"/>
    <x v="24"/>
    <x v="1"/>
    <x v="8"/>
    <x v="50"/>
    <x v="5"/>
    <x v="50"/>
    <x v="0"/>
    <x v="0"/>
    <x v="50"/>
    <x v="54"/>
    <x v="54"/>
    <x v="54"/>
  </r>
  <r>
    <x v="55"/>
    <x v="25"/>
    <x v="8"/>
    <x v="0"/>
    <x v="18"/>
    <x v="5"/>
    <x v="51"/>
    <x v="1"/>
    <x v="1"/>
    <x v="51"/>
    <x v="55"/>
    <x v="55"/>
    <x v="55"/>
  </r>
  <r>
    <x v="56"/>
    <x v="26"/>
    <x v="2"/>
    <x v="5"/>
    <x v="51"/>
    <x v="5"/>
    <x v="52"/>
    <x v="2"/>
    <x v="2"/>
    <x v="52"/>
    <x v="56"/>
    <x v="56"/>
    <x v="56"/>
  </r>
  <r>
    <x v="57"/>
    <x v="27"/>
    <x v="5"/>
    <x v="2"/>
    <x v="52"/>
    <x v="5"/>
    <x v="53"/>
    <x v="3"/>
    <x v="3"/>
    <x v="53"/>
    <x v="57"/>
    <x v="57"/>
    <x v="57"/>
  </r>
  <r>
    <x v="58"/>
    <x v="28"/>
    <x v="4"/>
    <x v="1"/>
    <x v="53"/>
    <x v="5"/>
    <x v="54"/>
    <x v="4"/>
    <x v="4"/>
    <x v="54"/>
    <x v="58"/>
    <x v="58"/>
    <x v="58"/>
  </r>
  <r>
    <x v="59"/>
    <x v="29"/>
    <x v="0"/>
    <x v="4"/>
    <x v="54"/>
    <x v="5"/>
    <x v="5"/>
    <x v="5"/>
    <x v="5"/>
    <x v="22"/>
    <x v="59"/>
    <x v="59"/>
    <x v="59"/>
  </r>
  <r>
    <x v="60"/>
    <x v="0"/>
    <x v="0"/>
    <x v="0"/>
    <x v="55"/>
    <x v="0"/>
    <x v="55"/>
    <x v="0"/>
    <x v="0"/>
    <x v="24"/>
    <x v="60"/>
    <x v="60"/>
    <x v="60"/>
  </r>
  <r>
    <x v="61"/>
    <x v="1"/>
    <x v="1"/>
    <x v="1"/>
    <x v="56"/>
    <x v="0"/>
    <x v="56"/>
    <x v="1"/>
    <x v="1"/>
    <x v="3"/>
    <x v="61"/>
    <x v="61"/>
    <x v="61"/>
  </r>
  <r>
    <x v="62"/>
    <x v="2"/>
    <x v="1"/>
    <x v="2"/>
    <x v="57"/>
    <x v="0"/>
    <x v="57"/>
    <x v="2"/>
    <x v="2"/>
    <x v="47"/>
    <x v="62"/>
    <x v="62"/>
    <x v="62"/>
  </r>
  <r>
    <x v="63"/>
    <x v="3"/>
    <x v="2"/>
    <x v="0"/>
    <x v="4"/>
    <x v="0"/>
    <x v="58"/>
    <x v="3"/>
    <x v="3"/>
    <x v="55"/>
    <x v="63"/>
    <x v="63"/>
    <x v="63"/>
  </r>
  <r>
    <x v="64"/>
    <x v="4"/>
    <x v="0"/>
    <x v="2"/>
    <x v="58"/>
    <x v="0"/>
    <x v="59"/>
    <x v="4"/>
    <x v="4"/>
    <x v="56"/>
    <x v="64"/>
    <x v="64"/>
    <x v="64"/>
  </r>
  <r>
    <x v="65"/>
    <x v="5"/>
    <x v="2"/>
    <x v="1"/>
    <x v="59"/>
    <x v="0"/>
    <x v="60"/>
    <x v="5"/>
    <x v="5"/>
    <x v="22"/>
    <x v="65"/>
    <x v="65"/>
    <x v="65"/>
  </r>
  <r>
    <x v="66"/>
    <x v="6"/>
    <x v="0"/>
    <x v="3"/>
    <x v="60"/>
    <x v="0"/>
    <x v="61"/>
    <x v="0"/>
    <x v="0"/>
    <x v="57"/>
    <x v="66"/>
    <x v="66"/>
    <x v="66"/>
  </r>
  <r>
    <x v="67"/>
    <x v="7"/>
    <x v="3"/>
    <x v="1"/>
    <x v="0"/>
    <x v="0"/>
    <x v="62"/>
    <x v="1"/>
    <x v="1"/>
    <x v="57"/>
    <x v="67"/>
    <x v="67"/>
    <x v="67"/>
  </r>
  <r>
    <x v="68"/>
    <x v="8"/>
    <x v="1"/>
    <x v="4"/>
    <x v="61"/>
    <x v="0"/>
    <x v="63"/>
    <x v="2"/>
    <x v="2"/>
    <x v="58"/>
    <x v="68"/>
    <x v="68"/>
    <x v="68"/>
  </r>
  <r>
    <x v="69"/>
    <x v="9"/>
    <x v="4"/>
    <x v="0"/>
    <x v="62"/>
    <x v="0"/>
    <x v="46"/>
    <x v="3"/>
    <x v="3"/>
    <x v="59"/>
    <x v="69"/>
    <x v="69"/>
    <x v="69"/>
  </r>
  <r>
    <x v="70"/>
    <x v="10"/>
    <x v="2"/>
    <x v="3"/>
    <x v="63"/>
    <x v="0"/>
    <x v="64"/>
    <x v="4"/>
    <x v="4"/>
    <x v="60"/>
    <x v="70"/>
    <x v="70"/>
    <x v="70"/>
  </r>
  <r>
    <x v="71"/>
    <x v="11"/>
    <x v="3"/>
    <x v="2"/>
    <x v="64"/>
    <x v="0"/>
    <x v="65"/>
    <x v="5"/>
    <x v="5"/>
    <x v="61"/>
    <x v="71"/>
    <x v="71"/>
    <x v="71"/>
  </r>
  <r>
    <x v="72"/>
    <x v="12"/>
    <x v="0"/>
    <x v="5"/>
    <x v="65"/>
    <x v="0"/>
    <x v="66"/>
    <x v="0"/>
    <x v="0"/>
    <x v="47"/>
    <x v="72"/>
    <x v="72"/>
    <x v="72"/>
  </r>
  <r>
    <x v="73"/>
    <x v="13"/>
    <x v="5"/>
    <x v="1"/>
    <x v="5"/>
    <x v="0"/>
    <x v="51"/>
    <x v="1"/>
    <x v="1"/>
    <x v="62"/>
    <x v="73"/>
    <x v="73"/>
    <x v="73"/>
  </r>
  <r>
    <x v="74"/>
    <x v="14"/>
    <x v="1"/>
    <x v="5"/>
    <x v="66"/>
    <x v="0"/>
    <x v="67"/>
    <x v="2"/>
    <x v="2"/>
    <x v="63"/>
    <x v="74"/>
    <x v="74"/>
    <x v="74"/>
  </r>
  <r>
    <x v="75"/>
    <x v="15"/>
    <x v="5"/>
    <x v="0"/>
    <x v="67"/>
    <x v="0"/>
    <x v="68"/>
    <x v="3"/>
    <x v="3"/>
    <x v="64"/>
    <x v="75"/>
    <x v="75"/>
    <x v="75"/>
  </r>
  <r>
    <x v="76"/>
    <x v="16"/>
    <x v="2"/>
    <x v="6"/>
    <x v="68"/>
    <x v="0"/>
    <x v="69"/>
    <x v="4"/>
    <x v="4"/>
    <x v="65"/>
    <x v="76"/>
    <x v="76"/>
    <x v="76"/>
  </r>
  <r>
    <x v="77"/>
    <x v="17"/>
    <x v="6"/>
    <x v="2"/>
    <x v="69"/>
    <x v="0"/>
    <x v="70"/>
    <x v="5"/>
    <x v="5"/>
    <x v="66"/>
    <x v="77"/>
    <x v="77"/>
    <x v="77"/>
  </r>
  <r>
    <x v="78"/>
    <x v="18"/>
    <x v="0"/>
    <x v="6"/>
    <x v="70"/>
    <x v="0"/>
    <x v="71"/>
    <x v="0"/>
    <x v="0"/>
    <x v="67"/>
    <x v="78"/>
    <x v="78"/>
    <x v="78"/>
  </r>
  <r>
    <x v="79"/>
    <x v="19"/>
    <x v="6"/>
    <x v="1"/>
    <x v="71"/>
    <x v="0"/>
    <x v="72"/>
    <x v="1"/>
    <x v="1"/>
    <x v="68"/>
    <x v="79"/>
    <x v="79"/>
    <x v="79"/>
  </r>
  <r>
    <x v="80"/>
    <x v="20"/>
    <x v="1"/>
    <x v="7"/>
    <x v="72"/>
    <x v="0"/>
    <x v="45"/>
    <x v="2"/>
    <x v="2"/>
    <x v="67"/>
    <x v="80"/>
    <x v="80"/>
    <x v="80"/>
  </r>
  <r>
    <x v="81"/>
    <x v="21"/>
    <x v="7"/>
    <x v="0"/>
    <x v="73"/>
    <x v="0"/>
    <x v="73"/>
    <x v="3"/>
    <x v="3"/>
    <x v="69"/>
    <x v="81"/>
    <x v="81"/>
    <x v="81"/>
  </r>
  <r>
    <x v="82"/>
    <x v="22"/>
    <x v="0"/>
    <x v="7"/>
    <x v="74"/>
    <x v="0"/>
    <x v="74"/>
    <x v="4"/>
    <x v="4"/>
    <x v="70"/>
    <x v="82"/>
    <x v="82"/>
    <x v="82"/>
  </r>
  <r>
    <x v="83"/>
    <x v="23"/>
    <x v="7"/>
    <x v="1"/>
    <x v="75"/>
    <x v="0"/>
    <x v="75"/>
    <x v="5"/>
    <x v="5"/>
    <x v="71"/>
    <x v="83"/>
    <x v="83"/>
    <x v="83"/>
  </r>
  <r>
    <x v="84"/>
    <x v="24"/>
    <x v="1"/>
    <x v="8"/>
    <x v="76"/>
    <x v="0"/>
    <x v="76"/>
    <x v="0"/>
    <x v="0"/>
    <x v="0"/>
    <x v="84"/>
    <x v="84"/>
    <x v="84"/>
  </r>
  <r>
    <x v="85"/>
    <x v="25"/>
    <x v="8"/>
    <x v="0"/>
    <x v="77"/>
    <x v="0"/>
    <x v="40"/>
    <x v="1"/>
    <x v="1"/>
    <x v="0"/>
    <x v="85"/>
    <x v="85"/>
    <x v="85"/>
  </r>
  <r>
    <x v="86"/>
    <x v="26"/>
    <x v="2"/>
    <x v="5"/>
    <x v="78"/>
    <x v="0"/>
    <x v="77"/>
    <x v="2"/>
    <x v="2"/>
    <x v="72"/>
    <x v="86"/>
    <x v="86"/>
    <x v="86"/>
  </r>
  <r>
    <x v="87"/>
    <x v="27"/>
    <x v="5"/>
    <x v="2"/>
    <x v="79"/>
    <x v="0"/>
    <x v="78"/>
    <x v="3"/>
    <x v="3"/>
    <x v="73"/>
    <x v="87"/>
    <x v="87"/>
    <x v="87"/>
  </r>
  <r>
    <x v="88"/>
    <x v="28"/>
    <x v="4"/>
    <x v="1"/>
    <x v="80"/>
    <x v="0"/>
    <x v="79"/>
    <x v="4"/>
    <x v="4"/>
    <x v="74"/>
    <x v="88"/>
    <x v="88"/>
    <x v="88"/>
  </r>
  <r>
    <x v="89"/>
    <x v="29"/>
    <x v="0"/>
    <x v="4"/>
    <x v="81"/>
    <x v="0"/>
    <x v="16"/>
    <x v="5"/>
    <x v="5"/>
    <x v="22"/>
    <x v="89"/>
    <x v="89"/>
    <x v="89"/>
  </r>
  <r>
    <x v="90"/>
    <x v="0"/>
    <x v="0"/>
    <x v="0"/>
    <x v="82"/>
    <x v="0"/>
    <x v="80"/>
    <x v="0"/>
    <x v="0"/>
    <x v="28"/>
    <x v="90"/>
    <x v="90"/>
    <x v="90"/>
  </r>
  <r>
    <x v="91"/>
    <x v="1"/>
    <x v="1"/>
    <x v="1"/>
    <x v="15"/>
    <x v="3"/>
    <x v="67"/>
    <x v="1"/>
    <x v="1"/>
    <x v="75"/>
    <x v="91"/>
    <x v="91"/>
    <x v="91"/>
  </r>
  <r>
    <x v="92"/>
    <x v="2"/>
    <x v="1"/>
    <x v="2"/>
    <x v="83"/>
    <x v="3"/>
    <x v="81"/>
    <x v="2"/>
    <x v="2"/>
    <x v="76"/>
    <x v="92"/>
    <x v="92"/>
    <x v="92"/>
  </r>
  <r>
    <x v="93"/>
    <x v="3"/>
    <x v="2"/>
    <x v="0"/>
    <x v="84"/>
    <x v="3"/>
    <x v="82"/>
    <x v="3"/>
    <x v="3"/>
    <x v="77"/>
    <x v="93"/>
    <x v="93"/>
    <x v="93"/>
  </r>
  <r>
    <x v="94"/>
    <x v="4"/>
    <x v="0"/>
    <x v="2"/>
    <x v="85"/>
    <x v="3"/>
    <x v="83"/>
    <x v="4"/>
    <x v="4"/>
    <x v="78"/>
    <x v="94"/>
    <x v="94"/>
    <x v="94"/>
  </r>
  <r>
    <x v="95"/>
    <x v="5"/>
    <x v="2"/>
    <x v="1"/>
    <x v="86"/>
    <x v="3"/>
    <x v="84"/>
    <x v="5"/>
    <x v="5"/>
    <x v="66"/>
    <x v="95"/>
    <x v="95"/>
    <x v="95"/>
  </r>
  <r>
    <x v="96"/>
    <x v="6"/>
    <x v="0"/>
    <x v="3"/>
    <x v="87"/>
    <x v="3"/>
    <x v="85"/>
    <x v="0"/>
    <x v="0"/>
    <x v="57"/>
    <x v="96"/>
    <x v="96"/>
    <x v="96"/>
  </r>
  <r>
    <x v="97"/>
    <x v="7"/>
    <x v="3"/>
    <x v="1"/>
    <x v="88"/>
    <x v="3"/>
    <x v="86"/>
    <x v="1"/>
    <x v="1"/>
    <x v="79"/>
    <x v="97"/>
    <x v="97"/>
    <x v="97"/>
  </r>
  <r>
    <x v="98"/>
    <x v="8"/>
    <x v="1"/>
    <x v="4"/>
    <x v="3"/>
    <x v="3"/>
    <x v="87"/>
    <x v="2"/>
    <x v="2"/>
    <x v="59"/>
    <x v="98"/>
    <x v="98"/>
    <x v="98"/>
  </r>
  <r>
    <x v="99"/>
    <x v="9"/>
    <x v="4"/>
    <x v="0"/>
    <x v="89"/>
    <x v="3"/>
    <x v="88"/>
    <x v="3"/>
    <x v="3"/>
    <x v="42"/>
    <x v="99"/>
    <x v="99"/>
    <x v="99"/>
  </r>
  <r>
    <x v="100"/>
    <x v="10"/>
    <x v="2"/>
    <x v="3"/>
    <x v="90"/>
    <x v="3"/>
    <x v="89"/>
    <x v="4"/>
    <x v="4"/>
    <x v="80"/>
    <x v="100"/>
    <x v="100"/>
    <x v="100"/>
  </r>
  <r>
    <x v="101"/>
    <x v="11"/>
    <x v="3"/>
    <x v="2"/>
    <x v="91"/>
    <x v="3"/>
    <x v="22"/>
    <x v="5"/>
    <x v="5"/>
    <x v="27"/>
    <x v="101"/>
    <x v="101"/>
    <x v="101"/>
  </r>
  <r>
    <x v="102"/>
    <x v="12"/>
    <x v="0"/>
    <x v="5"/>
    <x v="92"/>
    <x v="3"/>
    <x v="90"/>
    <x v="0"/>
    <x v="0"/>
    <x v="81"/>
    <x v="102"/>
    <x v="102"/>
    <x v="102"/>
  </r>
  <r>
    <x v="103"/>
    <x v="13"/>
    <x v="5"/>
    <x v="1"/>
    <x v="93"/>
    <x v="3"/>
    <x v="91"/>
    <x v="1"/>
    <x v="1"/>
    <x v="20"/>
    <x v="103"/>
    <x v="103"/>
    <x v="103"/>
  </r>
  <r>
    <x v="104"/>
    <x v="14"/>
    <x v="1"/>
    <x v="5"/>
    <x v="94"/>
    <x v="3"/>
    <x v="92"/>
    <x v="2"/>
    <x v="2"/>
    <x v="50"/>
    <x v="104"/>
    <x v="104"/>
    <x v="104"/>
  </r>
  <r>
    <x v="105"/>
    <x v="15"/>
    <x v="5"/>
    <x v="0"/>
    <x v="95"/>
    <x v="3"/>
    <x v="93"/>
    <x v="3"/>
    <x v="3"/>
    <x v="82"/>
    <x v="105"/>
    <x v="105"/>
    <x v="105"/>
  </r>
  <r>
    <x v="106"/>
    <x v="16"/>
    <x v="2"/>
    <x v="6"/>
    <x v="96"/>
    <x v="3"/>
    <x v="41"/>
    <x v="4"/>
    <x v="4"/>
    <x v="83"/>
    <x v="106"/>
    <x v="106"/>
    <x v="106"/>
  </r>
  <r>
    <x v="107"/>
    <x v="17"/>
    <x v="6"/>
    <x v="2"/>
    <x v="97"/>
    <x v="3"/>
    <x v="94"/>
    <x v="5"/>
    <x v="5"/>
    <x v="11"/>
    <x v="107"/>
    <x v="107"/>
    <x v="107"/>
  </r>
  <r>
    <x v="108"/>
    <x v="18"/>
    <x v="0"/>
    <x v="6"/>
    <x v="98"/>
    <x v="3"/>
    <x v="15"/>
    <x v="0"/>
    <x v="0"/>
    <x v="15"/>
    <x v="108"/>
    <x v="108"/>
    <x v="108"/>
  </r>
  <r>
    <x v="109"/>
    <x v="19"/>
    <x v="6"/>
    <x v="1"/>
    <x v="99"/>
    <x v="3"/>
    <x v="95"/>
    <x v="1"/>
    <x v="1"/>
    <x v="79"/>
    <x v="109"/>
    <x v="109"/>
    <x v="109"/>
  </r>
  <r>
    <x v="110"/>
    <x v="20"/>
    <x v="1"/>
    <x v="7"/>
    <x v="10"/>
    <x v="3"/>
    <x v="96"/>
    <x v="2"/>
    <x v="2"/>
    <x v="84"/>
    <x v="110"/>
    <x v="110"/>
    <x v="110"/>
  </r>
  <r>
    <x v="111"/>
    <x v="21"/>
    <x v="7"/>
    <x v="0"/>
    <x v="100"/>
    <x v="3"/>
    <x v="97"/>
    <x v="3"/>
    <x v="3"/>
    <x v="35"/>
    <x v="111"/>
    <x v="111"/>
    <x v="111"/>
  </r>
  <r>
    <x v="112"/>
    <x v="22"/>
    <x v="0"/>
    <x v="7"/>
    <x v="101"/>
    <x v="3"/>
    <x v="98"/>
    <x v="4"/>
    <x v="4"/>
    <x v="85"/>
    <x v="112"/>
    <x v="112"/>
    <x v="112"/>
  </r>
  <r>
    <x v="113"/>
    <x v="23"/>
    <x v="7"/>
    <x v="1"/>
    <x v="102"/>
    <x v="3"/>
    <x v="99"/>
    <x v="5"/>
    <x v="5"/>
    <x v="86"/>
    <x v="113"/>
    <x v="113"/>
    <x v="113"/>
  </r>
  <r>
    <x v="114"/>
    <x v="24"/>
    <x v="1"/>
    <x v="8"/>
    <x v="103"/>
    <x v="3"/>
    <x v="100"/>
    <x v="0"/>
    <x v="0"/>
    <x v="0"/>
    <x v="114"/>
    <x v="114"/>
    <x v="114"/>
  </r>
  <r>
    <x v="115"/>
    <x v="25"/>
    <x v="8"/>
    <x v="0"/>
    <x v="104"/>
    <x v="3"/>
    <x v="101"/>
    <x v="1"/>
    <x v="1"/>
    <x v="84"/>
    <x v="115"/>
    <x v="115"/>
    <x v="115"/>
  </r>
  <r>
    <x v="116"/>
    <x v="26"/>
    <x v="2"/>
    <x v="5"/>
    <x v="105"/>
    <x v="3"/>
    <x v="102"/>
    <x v="2"/>
    <x v="2"/>
    <x v="23"/>
    <x v="116"/>
    <x v="116"/>
    <x v="116"/>
  </r>
  <r>
    <x v="117"/>
    <x v="27"/>
    <x v="5"/>
    <x v="2"/>
    <x v="106"/>
    <x v="3"/>
    <x v="103"/>
    <x v="3"/>
    <x v="3"/>
    <x v="87"/>
    <x v="117"/>
    <x v="117"/>
    <x v="117"/>
  </r>
  <r>
    <x v="118"/>
    <x v="28"/>
    <x v="4"/>
    <x v="1"/>
    <x v="107"/>
    <x v="3"/>
    <x v="104"/>
    <x v="4"/>
    <x v="4"/>
    <x v="88"/>
    <x v="118"/>
    <x v="118"/>
    <x v="118"/>
  </r>
  <r>
    <x v="119"/>
    <x v="29"/>
    <x v="0"/>
    <x v="4"/>
    <x v="108"/>
    <x v="3"/>
    <x v="105"/>
    <x v="5"/>
    <x v="5"/>
    <x v="89"/>
    <x v="119"/>
    <x v="119"/>
    <x v="119"/>
  </r>
  <r>
    <x v="120"/>
    <x v="0"/>
    <x v="0"/>
    <x v="0"/>
    <x v="109"/>
    <x v="3"/>
    <x v="106"/>
    <x v="0"/>
    <x v="0"/>
    <x v="18"/>
    <x v="120"/>
    <x v="120"/>
    <x v="120"/>
  </r>
  <r>
    <x v="121"/>
    <x v="1"/>
    <x v="1"/>
    <x v="1"/>
    <x v="2"/>
    <x v="2"/>
    <x v="107"/>
    <x v="1"/>
    <x v="1"/>
    <x v="72"/>
    <x v="121"/>
    <x v="121"/>
    <x v="121"/>
  </r>
  <r>
    <x v="122"/>
    <x v="2"/>
    <x v="1"/>
    <x v="2"/>
    <x v="110"/>
    <x v="2"/>
    <x v="108"/>
    <x v="2"/>
    <x v="2"/>
    <x v="15"/>
    <x v="122"/>
    <x v="122"/>
    <x v="122"/>
  </r>
  <r>
    <x v="123"/>
    <x v="3"/>
    <x v="2"/>
    <x v="0"/>
    <x v="111"/>
    <x v="2"/>
    <x v="109"/>
    <x v="3"/>
    <x v="3"/>
    <x v="90"/>
    <x v="123"/>
    <x v="123"/>
    <x v="123"/>
  </r>
  <r>
    <x v="124"/>
    <x v="4"/>
    <x v="0"/>
    <x v="2"/>
    <x v="112"/>
    <x v="2"/>
    <x v="110"/>
    <x v="4"/>
    <x v="4"/>
    <x v="56"/>
    <x v="124"/>
    <x v="124"/>
    <x v="124"/>
  </r>
  <r>
    <x v="125"/>
    <x v="5"/>
    <x v="2"/>
    <x v="1"/>
    <x v="113"/>
    <x v="2"/>
    <x v="85"/>
    <x v="5"/>
    <x v="5"/>
    <x v="91"/>
    <x v="125"/>
    <x v="125"/>
    <x v="125"/>
  </r>
  <r>
    <x v="126"/>
    <x v="6"/>
    <x v="0"/>
    <x v="3"/>
    <x v="114"/>
    <x v="2"/>
    <x v="111"/>
    <x v="0"/>
    <x v="0"/>
    <x v="46"/>
    <x v="126"/>
    <x v="126"/>
    <x v="126"/>
  </r>
  <r>
    <x v="127"/>
    <x v="7"/>
    <x v="3"/>
    <x v="1"/>
    <x v="23"/>
    <x v="2"/>
    <x v="112"/>
    <x v="1"/>
    <x v="1"/>
    <x v="23"/>
    <x v="127"/>
    <x v="127"/>
    <x v="127"/>
  </r>
  <r>
    <x v="128"/>
    <x v="8"/>
    <x v="1"/>
    <x v="4"/>
    <x v="115"/>
    <x v="2"/>
    <x v="113"/>
    <x v="2"/>
    <x v="2"/>
    <x v="8"/>
    <x v="128"/>
    <x v="128"/>
    <x v="128"/>
  </r>
  <r>
    <x v="129"/>
    <x v="9"/>
    <x v="4"/>
    <x v="0"/>
    <x v="116"/>
    <x v="2"/>
    <x v="3"/>
    <x v="3"/>
    <x v="3"/>
    <x v="20"/>
    <x v="129"/>
    <x v="129"/>
    <x v="129"/>
  </r>
  <r>
    <x v="130"/>
    <x v="10"/>
    <x v="2"/>
    <x v="3"/>
    <x v="117"/>
    <x v="2"/>
    <x v="114"/>
    <x v="4"/>
    <x v="4"/>
    <x v="92"/>
    <x v="130"/>
    <x v="130"/>
    <x v="130"/>
  </r>
  <r>
    <x v="131"/>
    <x v="11"/>
    <x v="3"/>
    <x v="2"/>
    <x v="24"/>
    <x v="2"/>
    <x v="33"/>
    <x v="5"/>
    <x v="5"/>
    <x v="89"/>
    <x v="131"/>
    <x v="131"/>
    <x v="131"/>
  </r>
  <r>
    <x v="132"/>
    <x v="12"/>
    <x v="0"/>
    <x v="5"/>
    <x v="118"/>
    <x v="2"/>
    <x v="80"/>
    <x v="0"/>
    <x v="0"/>
    <x v="13"/>
    <x v="132"/>
    <x v="132"/>
    <x v="132"/>
  </r>
  <r>
    <x v="133"/>
    <x v="13"/>
    <x v="5"/>
    <x v="1"/>
    <x v="119"/>
    <x v="2"/>
    <x v="115"/>
    <x v="1"/>
    <x v="1"/>
    <x v="93"/>
    <x v="133"/>
    <x v="133"/>
    <x v="133"/>
  </r>
  <r>
    <x v="134"/>
    <x v="14"/>
    <x v="1"/>
    <x v="5"/>
    <x v="120"/>
    <x v="2"/>
    <x v="55"/>
    <x v="2"/>
    <x v="2"/>
    <x v="20"/>
    <x v="134"/>
    <x v="134"/>
    <x v="134"/>
  </r>
  <r>
    <x v="135"/>
    <x v="15"/>
    <x v="5"/>
    <x v="0"/>
    <x v="121"/>
    <x v="2"/>
    <x v="116"/>
    <x v="3"/>
    <x v="3"/>
    <x v="94"/>
    <x v="135"/>
    <x v="135"/>
    <x v="135"/>
  </r>
  <r>
    <x v="136"/>
    <x v="16"/>
    <x v="2"/>
    <x v="6"/>
    <x v="122"/>
    <x v="2"/>
    <x v="117"/>
    <x v="4"/>
    <x v="4"/>
    <x v="95"/>
    <x v="136"/>
    <x v="136"/>
    <x v="136"/>
  </r>
  <r>
    <x v="137"/>
    <x v="17"/>
    <x v="6"/>
    <x v="2"/>
    <x v="123"/>
    <x v="2"/>
    <x v="13"/>
    <x v="5"/>
    <x v="5"/>
    <x v="44"/>
    <x v="137"/>
    <x v="137"/>
    <x v="137"/>
  </r>
  <r>
    <x v="138"/>
    <x v="18"/>
    <x v="0"/>
    <x v="6"/>
    <x v="11"/>
    <x v="2"/>
    <x v="118"/>
    <x v="0"/>
    <x v="0"/>
    <x v="34"/>
    <x v="138"/>
    <x v="138"/>
    <x v="138"/>
  </r>
  <r>
    <x v="139"/>
    <x v="19"/>
    <x v="6"/>
    <x v="1"/>
    <x v="6"/>
    <x v="2"/>
    <x v="119"/>
    <x v="1"/>
    <x v="1"/>
    <x v="14"/>
    <x v="139"/>
    <x v="139"/>
    <x v="139"/>
  </r>
  <r>
    <x v="140"/>
    <x v="20"/>
    <x v="1"/>
    <x v="7"/>
    <x v="124"/>
    <x v="2"/>
    <x v="120"/>
    <x v="2"/>
    <x v="2"/>
    <x v="59"/>
    <x v="140"/>
    <x v="140"/>
    <x v="140"/>
  </r>
  <r>
    <x v="141"/>
    <x v="21"/>
    <x v="7"/>
    <x v="0"/>
    <x v="125"/>
    <x v="2"/>
    <x v="2"/>
    <x v="3"/>
    <x v="3"/>
    <x v="41"/>
    <x v="141"/>
    <x v="141"/>
    <x v="141"/>
  </r>
  <r>
    <x v="142"/>
    <x v="22"/>
    <x v="0"/>
    <x v="7"/>
    <x v="126"/>
    <x v="2"/>
    <x v="31"/>
    <x v="4"/>
    <x v="4"/>
    <x v="96"/>
    <x v="142"/>
    <x v="142"/>
    <x v="142"/>
  </r>
  <r>
    <x v="143"/>
    <x v="23"/>
    <x v="7"/>
    <x v="1"/>
    <x v="127"/>
    <x v="2"/>
    <x v="121"/>
    <x v="5"/>
    <x v="5"/>
    <x v="97"/>
    <x v="143"/>
    <x v="143"/>
    <x v="143"/>
  </r>
  <r>
    <x v="144"/>
    <x v="24"/>
    <x v="1"/>
    <x v="8"/>
    <x v="128"/>
    <x v="2"/>
    <x v="122"/>
    <x v="0"/>
    <x v="0"/>
    <x v="98"/>
    <x v="144"/>
    <x v="144"/>
    <x v="144"/>
  </r>
  <r>
    <x v="145"/>
    <x v="25"/>
    <x v="8"/>
    <x v="0"/>
    <x v="129"/>
    <x v="2"/>
    <x v="123"/>
    <x v="1"/>
    <x v="1"/>
    <x v="99"/>
    <x v="145"/>
    <x v="145"/>
    <x v="145"/>
  </r>
  <r>
    <x v="146"/>
    <x v="26"/>
    <x v="2"/>
    <x v="5"/>
    <x v="130"/>
    <x v="2"/>
    <x v="124"/>
    <x v="2"/>
    <x v="2"/>
    <x v="50"/>
    <x v="146"/>
    <x v="146"/>
    <x v="146"/>
  </r>
  <r>
    <x v="147"/>
    <x v="27"/>
    <x v="5"/>
    <x v="2"/>
    <x v="14"/>
    <x v="2"/>
    <x v="125"/>
    <x v="3"/>
    <x v="3"/>
    <x v="100"/>
    <x v="147"/>
    <x v="147"/>
    <x v="147"/>
  </r>
  <r>
    <x v="148"/>
    <x v="28"/>
    <x v="4"/>
    <x v="1"/>
    <x v="20"/>
    <x v="2"/>
    <x v="48"/>
    <x v="4"/>
    <x v="4"/>
    <x v="101"/>
    <x v="148"/>
    <x v="148"/>
    <x v="148"/>
  </r>
  <r>
    <x v="149"/>
    <x v="29"/>
    <x v="0"/>
    <x v="4"/>
    <x v="131"/>
    <x v="2"/>
    <x v="105"/>
    <x v="5"/>
    <x v="5"/>
    <x v="102"/>
    <x v="149"/>
    <x v="149"/>
    <x v="149"/>
  </r>
  <r>
    <x v="150"/>
    <x v="0"/>
    <x v="0"/>
    <x v="0"/>
    <x v="132"/>
    <x v="2"/>
    <x v="120"/>
    <x v="0"/>
    <x v="0"/>
    <x v="103"/>
    <x v="150"/>
    <x v="150"/>
    <x v="150"/>
  </r>
  <r>
    <x v="151"/>
    <x v="1"/>
    <x v="1"/>
    <x v="1"/>
    <x v="133"/>
    <x v="2"/>
    <x v="50"/>
    <x v="1"/>
    <x v="1"/>
    <x v="104"/>
    <x v="151"/>
    <x v="151"/>
    <x v="151"/>
  </r>
  <r>
    <x v="152"/>
    <x v="2"/>
    <x v="1"/>
    <x v="2"/>
    <x v="134"/>
    <x v="1"/>
    <x v="126"/>
    <x v="2"/>
    <x v="2"/>
    <x v="59"/>
    <x v="152"/>
    <x v="152"/>
    <x v="152"/>
  </r>
  <r>
    <x v="153"/>
    <x v="3"/>
    <x v="2"/>
    <x v="0"/>
    <x v="1"/>
    <x v="1"/>
    <x v="127"/>
    <x v="3"/>
    <x v="3"/>
    <x v="105"/>
    <x v="153"/>
    <x v="153"/>
    <x v="153"/>
  </r>
  <r>
    <x v="154"/>
    <x v="4"/>
    <x v="0"/>
    <x v="2"/>
    <x v="135"/>
    <x v="1"/>
    <x v="128"/>
    <x v="4"/>
    <x v="4"/>
    <x v="106"/>
    <x v="154"/>
    <x v="154"/>
    <x v="154"/>
  </r>
  <r>
    <x v="155"/>
    <x v="5"/>
    <x v="2"/>
    <x v="1"/>
    <x v="136"/>
    <x v="1"/>
    <x v="129"/>
    <x v="5"/>
    <x v="5"/>
    <x v="44"/>
    <x v="155"/>
    <x v="155"/>
    <x v="155"/>
  </r>
  <r>
    <x v="156"/>
    <x v="6"/>
    <x v="0"/>
    <x v="3"/>
    <x v="137"/>
    <x v="1"/>
    <x v="130"/>
    <x v="0"/>
    <x v="0"/>
    <x v="107"/>
    <x v="156"/>
    <x v="156"/>
    <x v="156"/>
  </r>
  <r>
    <x v="157"/>
    <x v="7"/>
    <x v="3"/>
    <x v="1"/>
    <x v="138"/>
    <x v="1"/>
    <x v="56"/>
    <x v="1"/>
    <x v="1"/>
    <x v="58"/>
    <x v="157"/>
    <x v="157"/>
    <x v="157"/>
  </r>
  <r>
    <x v="158"/>
    <x v="8"/>
    <x v="1"/>
    <x v="4"/>
    <x v="139"/>
    <x v="1"/>
    <x v="30"/>
    <x v="2"/>
    <x v="2"/>
    <x v="42"/>
    <x v="158"/>
    <x v="158"/>
    <x v="158"/>
  </r>
  <r>
    <x v="159"/>
    <x v="9"/>
    <x v="4"/>
    <x v="0"/>
    <x v="21"/>
    <x v="1"/>
    <x v="131"/>
    <x v="3"/>
    <x v="3"/>
    <x v="108"/>
    <x v="159"/>
    <x v="159"/>
    <x v="159"/>
  </r>
  <r>
    <x v="160"/>
    <x v="10"/>
    <x v="2"/>
    <x v="3"/>
    <x v="140"/>
    <x v="1"/>
    <x v="132"/>
    <x v="4"/>
    <x v="4"/>
    <x v="109"/>
    <x v="160"/>
    <x v="160"/>
    <x v="160"/>
  </r>
  <r>
    <x v="161"/>
    <x v="11"/>
    <x v="3"/>
    <x v="2"/>
    <x v="141"/>
    <x v="1"/>
    <x v="133"/>
    <x v="5"/>
    <x v="5"/>
    <x v="110"/>
    <x v="161"/>
    <x v="161"/>
    <x v="161"/>
  </r>
  <r>
    <x v="162"/>
    <x v="12"/>
    <x v="0"/>
    <x v="5"/>
    <x v="142"/>
    <x v="1"/>
    <x v="134"/>
    <x v="0"/>
    <x v="0"/>
    <x v="111"/>
    <x v="162"/>
    <x v="162"/>
    <x v="162"/>
  </r>
  <r>
    <x v="163"/>
    <x v="13"/>
    <x v="5"/>
    <x v="1"/>
    <x v="143"/>
    <x v="1"/>
    <x v="15"/>
    <x v="1"/>
    <x v="1"/>
    <x v="18"/>
    <x v="163"/>
    <x v="163"/>
    <x v="163"/>
  </r>
  <r>
    <x v="164"/>
    <x v="14"/>
    <x v="1"/>
    <x v="5"/>
    <x v="144"/>
    <x v="1"/>
    <x v="135"/>
    <x v="2"/>
    <x v="2"/>
    <x v="23"/>
    <x v="164"/>
    <x v="164"/>
    <x v="164"/>
  </r>
  <r>
    <x v="165"/>
    <x v="15"/>
    <x v="5"/>
    <x v="0"/>
    <x v="17"/>
    <x v="1"/>
    <x v="128"/>
    <x v="3"/>
    <x v="3"/>
    <x v="112"/>
    <x v="165"/>
    <x v="165"/>
    <x v="165"/>
  </r>
  <r>
    <x v="166"/>
    <x v="16"/>
    <x v="2"/>
    <x v="6"/>
    <x v="145"/>
    <x v="1"/>
    <x v="136"/>
    <x v="4"/>
    <x v="4"/>
    <x v="113"/>
    <x v="166"/>
    <x v="166"/>
    <x v="166"/>
  </r>
  <r>
    <x v="167"/>
    <x v="17"/>
    <x v="6"/>
    <x v="2"/>
    <x v="146"/>
    <x v="1"/>
    <x v="105"/>
    <x v="5"/>
    <x v="5"/>
    <x v="114"/>
    <x v="167"/>
    <x v="167"/>
    <x v="167"/>
  </r>
  <r>
    <x v="168"/>
    <x v="18"/>
    <x v="0"/>
    <x v="6"/>
    <x v="147"/>
    <x v="1"/>
    <x v="137"/>
    <x v="0"/>
    <x v="0"/>
    <x v="115"/>
    <x v="168"/>
    <x v="168"/>
    <x v="168"/>
  </r>
  <r>
    <x v="169"/>
    <x v="19"/>
    <x v="6"/>
    <x v="1"/>
    <x v="148"/>
    <x v="1"/>
    <x v="138"/>
    <x v="1"/>
    <x v="1"/>
    <x v="19"/>
    <x v="169"/>
    <x v="169"/>
    <x v="169"/>
  </r>
  <r>
    <x v="170"/>
    <x v="20"/>
    <x v="1"/>
    <x v="7"/>
    <x v="149"/>
    <x v="1"/>
    <x v="105"/>
    <x v="2"/>
    <x v="2"/>
    <x v="57"/>
    <x v="170"/>
    <x v="170"/>
    <x v="170"/>
  </r>
  <r>
    <x v="171"/>
    <x v="21"/>
    <x v="7"/>
    <x v="0"/>
    <x v="150"/>
    <x v="1"/>
    <x v="139"/>
    <x v="3"/>
    <x v="3"/>
    <x v="116"/>
    <x v="171"/>
    <x v="171"/>
    <x v="171"/>
  </r>
  <r>
    <x v="172"/>
    <x v="22"/>
    <x v="0"/>
    <x v="7"/>
    <x v="151"/>
    <x v="1"/>
    <x v="140"/>
    <x v="4"/>
    <x v="4"/>
    <x v="117"/>
    <x v="172"/>
    <x v="172"/>
    <x v="172"/>
  </r>
  <r>
    <x v="173"/>
    <x v="23"/>
    <x v="7"/>
    <x v="1"/>
    <x v="152"/>
    <x v="1"/>
    <x v="11"/>
    <x v="5"/>
    <x v="5"/>
    <x v="66"/>
    <x v="173"/>
    <x v="173"/>
    <x v="173"/>
  </r>
  <r>
    <x v="174"/>
    <x v="24"/>
    <x v="1"/>
    <x v="8"/>
    <x v="153"/>
    <x v="1"/>
    <x v="141"/>
    <x v="0"/>
    <x v="0"/>
    <x v="115"/>
    <x v="174"/>
    <x v="174"/>
    <x v="174"/>
  </r>
  <r>
    <x v="175"/>
    <x v="25"/>
    <x v="8"/>
    <x v="0"/>
    <x v="7"/>
    <x v="1"/>
    <x v="142"/>
    <x v="1"/>
    <x v="1"/>
    <x v="75"/>
    <x v="175"/>
    <x v="175"/>
    <x v="175"/>
  </r>
  <r>
    <x v="176"/>
    <x v="26"/>
    <x v="2"/>
    <x v="5"/>
    <x v="25"/>
    <x v="1"/>
    <x v="46"/>
    <x v="2"/>
    <x v="2"/>
    <x v="0"/>
    <x v="176"/>
    <x v="176"/>
    <x v="176"/>
  </r>
  <r>
    <x v="177"/>
    <x v="27"/>
    <x v="5"/>
    <x v="2"/>
    <x v="12"/>
    <x v="1"/>
    <x v="143"/>
    <x v="3"/>
    <x v="3"/>
    <x v="118"/>
    <x v="177"/>
    <x v="177"/>
    <x v="177"/>
  </r>
  <r>
    <x v="178"/>
    <x v="28"/>
    <x v="4"/>
    <x v="1"/>
    <x v="154"/>
    <x v="1"/>
    <x v="144"/>
    <x v="4"/>
    <x v="4"/>
    <x v="48"/>
    <x v="178"/>
    <x v="178"/>
    <x v="178"/>
  </r>
  <r>
    <x v="179"/>
    <x v="29"/>
    <x v="0"/>
    <x v="4"/>
    <x v="155"/>
    <x v="1"/>
    <x v="76"/>
    <x v="5"/>
    <x v="5"/>
    <x v="119"/>
    <x v="179"/>
    <x v="179"/>
    <x v="179"/>
  </r>
  <r>
    <x v="180"/>
    <x v="0"/>
    <x v="0"/>
    <x v="0"/>
    <x v="156"/>
    <x v="1"/>
    <x v="13"/>
    <x v="0"/>
    <x v="0"/>
    <x v="40"/>
    <x v="180"/>
    <x v="180"/>
    <x v="180"/>
  </r>
  <r>
    <x v="181"/>
    <x v="1"/>
    <x v="1"/>
    <x v="1"/>
    <x v="157"/>
    <x v="1"/>
    <x v="51"/>
    <x v="1"/>
    <x v="1"/>
    <x v="99"/>
    <x v="181"/>
    <x v="181"/>
    <x v="181"/>
  </r>
  <r>
    <x v="182"/>
    <x v="2"/>
    <x v="1"/>
    <x v="2"/>
    <x v="158"/>
    <x v="6"/>
    <x v="85"/>
    <x v="2"/>
    <x v="2"/>
    <x v="120"/>
    <x v="182"/>
    <x v="182"/>
    <x v="182"/>
  </r>
  <r>
    <x v="183"/>
    <x v="3"/>
    <x v="2"/>
    <x v="0"/>
    <x v="159"/>
    <x v="6"/>
    <x v="145"/>
    <x v="3"/>
    <x v="3"/>
    <x v="9"/>
    <x v="183"/>
    <x v="183"/>
    <x v="183"/>
  </r>
  <r>
    <x v="184"/>
    <x v="4"/>
    <x v="0"/>
    <x v="2"/>
    <x v="160"/>
    <x v="6"/>
    <x v="96"/>
    <x v="4"/>
    <x v="4"/>
    <x v="121"/>
    <x v="184"/>
    <x v="184"/>
    <x v="184"/>
  </r>
  <r>
    <x v="185"/>
    <x v="5"/>
    <x v="2"/>
    <x v="1"/>
    <x v="161"/>
    <x v="6"/>
    <x v="146"/>
    <x v="5"/>
    <x v="5"/>
    <x v="22"/>
    <x v="185"/>
    <x v="185"/>
    <x v="185"/>
  </r>
  <r>
    <x v="186"/>
    <x v="6"/>
    <x v="0"/>
    <x v="3"/>
    <x v="162"/>
    <x v="6"/>
    <x v="3"/>
    <x v="0"/>
    <x v="0"/>
    <x v="52"/>
    <x v="186"/>
    <x v="186"/>
    <x v="186"/>
  </r>
  <r>
    <x v="187"/>
    <x v="7"/>
    <x v="3"/>
    <x v="1"/>
    <x v="163"/>
    <x v="6"/>
    <x v="147"/>
    <x v="1"/>
    <x v="1"/>
    <x v="122"/>
    <x v="187"/>
    <x v="187"/>
    <x v="187"/>
  </r>
  <r>
    <x v="188"/>
    <x v="8"/>
    <x v="1"/>
    <x v="4"/>
    <x v="164"/>
    <x v="6"/>
    <x v="148"/>
    <x v="2"/>
    <x v="2"/>
    <x v="115"/>
    <x v="188"/>
    <x v="188"/>
    <x v="188"/>
  </r>
  <r>
    <x v="189"/>
    <x v="9"/>
    <x v="4"/>
    <x v="0"/>
    <x v="165"/>
    <x v="6"/>
    <x v="45"/>
    <x v="3"/>
    <x v="3"/>
    <x v="94"/>
    <x v="189"/>
    <x v="189"/>
    <x v="189"/>
  </r>
  <r>
    <x v="190"/>
    <x v="10"/>
    <x v="2"/>
    <x v="3"/>
    <x v="166"/>
    <x v="6"/>
    <x v="149"/>
    <x v="4"/>
    <x v="4"/>
    <x v="123"/>
    <x v="190"/>
    <x v="190"/>
    <x v="190"/>
  </r>
  <r>
    <x v="191"/>
    <x v="11"/>
    <x v="3"/>
    <x v="2"/>
    <x v="167"/>
    <x v="6"/>
    <x v="150"/>
    <x v="5"/>
    <x v="5"/>
    <x v="27"/>
    <x v="191"/>
    <x v="191"/>
    <x v="191"/>
  </r>
  <r>
    <x v="192"/>
    <x v="12"/>
    <x v="0"/>
    <x v="5"/>
    <x v="168"/>
    <x v="6"/>
    <x v="151"/>
    <x v="0"/>
    <x v="0"/>
    <x v="124"/>
    <x v="192"/>
    <x v="192"/>
    <x v="192"/>
  </r>
  <r>
    <x v="193"/>
    <x v="13"/>
    <x v="5"/>
    <x v="1"/>
    <x v="169"/>
    <x v="6"/>
    <x v="24"/>
    <x v="1"/>
    <x v="1"/>
    <x v="125"/>
    <x v="193"/>
    <x v="193"/>
    <x v="193"/>
  </r>
  <r>
    <x v="194"/>
    <x v="14"/>
    <x v="1"/>
    <x v="5"/>
    <x v="170"/>
    <x v="6"/>
    <x v="152"/>
    <x v="2"/>
    <x v="2"/>
    <x v="47"/>
    <x v="194"/>
    <x v="194"/>
    <x v="194"/>
  </r>
  <r>
    <x v="195"/>
    <x v="15"/>
    <x v="5"/>
    <x v="0"/>
    <x v="171"/>
    <x v="6"/>
    <x v="136"/>
    <x v="3"/>
    <x v="3"/>
    <x v="126"/>
    <x v="195"/>
    <x v="195"/>
    <x v="195"/>
  </r>
  <r>
    <x v="196"/>
    <x v="16"/>
    <x v="2"/>
    <x v="6"/>
    <x v="172"/>
    <x v="6"/>
    <x v="111"/>
    <x v="4"/>
    <x v="4"/>
    <x v="127"/>
    <x v="196"/>
    <x v="196"/>
    <x v="196"/>
  </r>
  <r>
    <x v="197"/>
    <x v="17"/>
    <x v="6"/>
    <x v="2"/>
    <x v="173"/>
    <x v="6"/>
    <x v="153"/>
    <x v="5"/>
    <x v="5"/>
    <x v="33"/>
    <x v="197"/>
    <x v="197"/>
    <x v="197"/>
  </r>
  <r>
    <x v="198"/>
    <x v="18"/>
    <x v="0"/>
    <x v="6"/>
    <x v="174"/>
    <x v="6"/>
    <x v="154"/>
    <x v="0"/>
    <x v="0"/>
    <x v="76"/>
    <x v="198"/>
    <x v="198"/>
    <x v="198"/>
  </r>
  <r>
    <x v="199"/>
    <x v="19"/>
    <x v="6"/>
    <x v="1"/>
    <x v="175"/>
    <x v="6"/>
    <x v="26"/>
    <x v="1"/>
    <x v="1"/>
    <x v="57"/>
    <x v="199"/>
    <x v="199"/>
    <x v="199"/>
  </r>
  <r>
    <x v="200"/>
    <x v="20"/>
    <x v="1"/>
    <x v="7"/>
    <x v="176"/>
    <x v="6"/>
    <x v="117"/>
    <x v="2"/>
    <x v="2"/>
    <x v="128"/>
    <x v="200"/>
    <x v="200"/>
    <x v="200"/>
  </r>
  <r>
    <x v="201"/>
    <x v="21"/>
    <x v="7"/>
    <x v="0"/>
    <x v="177"/>
    <x v="6"/>
    <x v="155"/>
    <x v="3"/>
    <x v="3"/>
    <x v="108"/>
    <x v="201"/>
    <x v="201"/>
    <x v="201"/>
  </r>
  <r>
    <x v="202"/>
    <x v="22"/>
    <x v="0"/>
    <x v="7"/>
    <x v="178"/>
    <x v="6"/>
    <x v="10"/>
    <x v="4"/>
    <x v="4"/>
    <x v="129"/>
    <x v="202"/>
    <x v="202"/>
    <x v="202"/>
  </r>
  <r>
    <x v="203"/>
    <x v="23"/>
    <x v="7"/>
    <x v="1"/>
    <x v="179"/>
    <x v="6"/>
    <x v="119"/>
    <x v="5"/>
    <x v="5"/>
    <x v="91"/>
    <x v="203"/>
    <x v="203"/>
    <x v="203"/>
  </r>
  <r>
    <x v="204"/>
    <x v="24"/>
    <x v="1"/>
    <x v="8"/>
    <x v="180"/>
    <x v="6"/>
    <x v="101"/>
    <x v="0"/>
    <x v="0"/>
    <x v="2"/>
    <x v="204"/>
    <x v="204"/>
    <x v="204"/>
  </r>
  <r>
    <x v="205"/>
    <x v="25"/>
    <x v="8"/>
    <x v="0"/>
    <x v="181"/>
    <x v="6"/>
    <x v="156"/>
    <x v="1"/>
    <x v="1"/>
    <x v="79"/>
    <x v="205"/>
    <x v="205"/>
    <x v="205"/>
  </r>
  <r>
    <x v="206"/>
    <x v="26"/>
    <x v="2"/>
    <x v="5"/>
    <x v="182"/>
    <x v="6"/>
    <x v="157"/>
    <x v="2"/>
    <x v="2"/>
    <x v="59"/>
    <x v="206"/>
    <x v="206"/>
    <x v="206"/>
  </r>
  <r>
    <x v="207"/>
    <x v="27"/>
    <x v="5"/>
    <x v="2"/>
    <x v="183"/>
    <x v="6"/>
    <x v="158"/>
    <x v="3"/>
    <x v="3"/>
    <x v="130"/>
    <x v="207"/>
    <x v="207"/>
    <x v="207"/>
  </r>
  <r>
    <x v="208"/>
    <x v="28"/>
    <x v="4"/>
    <x v="1"/>
    <x v="184"/>
    <x v="6"/>
    <x v="159"/>
    <x v="4"/>
    <x v="4"/>
    <x v="131"/>
    <x v="208"/>
    <x v="208"/>
    <x v="208"/>
  </r>
  <r>
    <x v="209"/>
    <x v="29"/>
    <x v="0"/>
    <x v="4"/>
    <x v="185"/>
    <x v="6"/>
    <x v="160"/>
    <x v="5"/>
    <x v="5"/>
    <x v="89"/>
    <x v="209"/>
    <x v="209"/>
    <x v="209"/>
  </r>
  <r>
    <x v="210"/>
    <x v="0"/>
    <x v="0"/>
    <x v="0"/>
    <x v="186"/>
    <x v="6"/>
    <x v="0"/>
    <x v="0"/>
    <x v="0"/>
    <x v="51"/>
    <x v="210"/>
    <x v="210"/>
    <x v="210"/>
  </r>
  <r>
    <x v="211"/>
    <x v="1"/>
    <x v="1"/>
    <x v="1"/>
    <x v="187"/>
    <x v="6"/>
    <x v="161"/>
    <x v="1"/>
    <x v="1"/>
    <x v="46"/>
    <x v="211"/>
    <x v="211"/>
    <x v="211"/>
  </r>
  <r>
    <x v="212"/>
    <x v="2"/>
    <x v="1"/>
    <x v="2"/>
    <x v="188"/>
    <x v="6"/>
    <x v="21"/>
    <x v="2"/>
    <x v="2"/>
    <x v="0"/>
    <x v="212"/>
    <x v="212"/>
    <x v="212"/>
  </r>
  <r>
    <x v="213"/>
    <x v="3"/>
    <x v="2"/>
    <x v="0"/>
    <x v="189"/>
    <x v="7"/>
    <x v="162"/>
    <x v="3"/>
    <x v="3"/>
    <x v="132"/>
    <x v="213"/>
    <x v="213"/>
    <x v="213"/>
  </r>
  <r>
    <x v="214"/>
    <x v="4"/>
    <x v="0"/>
    <x v="2"/>
    <x v="190"/>
    <x v="7"/>
    <x v="10"/>
    <x v="4"/>
    <x v="4"/>
    <x v="133"/>
    <x v="214"/>
    <x v="214"/>
    <x v="214"/>
  </r>
  <r>
    <x v="215"/>
    <x v="5"/>
    <x v="2"/>
    <x v="1"/>
    <x v="191"/>
    <x v="7"/>
    <x v="150"/>
    <x v="5"/>
    <x v="5"/>
    <x v="27"/>
    <x v="215"/>
    <x v="191"/>
    <x v="215"/>
  </r>
  <r>
    <x v="216"/>
    <x v="6"/>
    <x v="0"/>
    <x v="3"/>
    <x v="192"/>
    <x v="7"/>
    <x v="163"/>
    <x v="0"/>
    <x v="0"/>
    <x v="14"/>
    <x v="216"/>
    <x v="215"/>
    <x v="216"/>
  </r>
  <r>
    <x v="217"/>
    <x v="7"/>
    <x v="3"/>
    <x v="1"/>
    <x v="193"/>
    <x v="7"/>
    <x v="164"/>
    <x v="1"/>
    <x v="1"/>
    <x v="134"/>
    <x v="217"/>
    <x v="216"/>
    <x v="217"/>
  </r>
  <r>
    <x v="218"/>
    <x v="8"/>
    <x v="1"/>
    <x v="4"/>
    <x v="194"/>
    <x v="7"/>
    <x v="34"/>
    <x v="2"/>
    <x v="2"/>
    <x v="14"/>
    <x v="218"/>
    <x v="217"/>
    <x v="218"/>
  </r>
  <r>
    <x v="219"/>
    <x v="9"/>
    <x v="4"/>
    <x v="0"/>
    <x v="195"/>
    <x v="7"/>
    <x v="165"/>
    <x v="3"/>
    <x v="3"/>
    <x v="9"/>
    <x v="219"/>
    <x v="218"/>
    <x v="219"/>
  </r>
  <r>
    <x v="220"/>
    <x v="10"/>
    <x v="2"/>
    <x v="3"/>
    <x v="196"/>
    <x v="7"/>
    <x v="96"/>
    <x v="4"/>
    <x v="4"/>
    <x v="135"/>
    <x v="220"/>
    <x v="219"/>
    <x v="220"/>
  </r>
  <r>
    <x v="221"/>
    <x v="11"/>
    <x v="3"/>
    <x v="2"/>
    <x v="197"/>
    <x v="7"/>
    <x v="166"/>
    <x v="5"/>
    <x v="5"/>
    <x v="136"/>
    <x v="221"/>
    <x v="220"/>
    <x v="221"/>
  </r>
  <r>
    <x v="222"/>
    <x v="12"/>
    <x v="0"/>
    <x v="5"/>
    <x v="198"/>
    <x v="7"/>
    <x v="167"/>
    <x v="0"/>
    <x v="0"/>
    <x v="3"/>
    <x v="222"/>
    <x v="221"/>
    <x v="222"/>
  </r>
  <r>
    <x v="223"/>
    <x v="13"/>
    <x v="5"/>
    <x v="1"/>
    <x v="199"/>
    <x v="7"/>
    <x v="168"/>
    <x v="1"/>
    <x v="1"/>
    <x v="51"/>
    <x v="223"/>
    <x v="222"/>
    <x v="223"/>
  </r>
  <r>
    <x v="224"/>
    <x v="14"/>
    <x v="1"/>
    <x v="5"/>
    <x v="200"/>
    <x v="7"/>
    <x v="169"/>
    <x v="2"/>
    <x v="2"/>
    <x v="137"/>
    <x v="224"/>
    <x v="223"/>
    <x v="224"/>
  </r>
  <r>
    <x v="225"/>
    <x v="15"/>
    <x v="5"/>
    <x v="0"/>
    <x v="201"/>
    <x v="7"/>
    <x v="170"/>
    <x v="3"/>
    <x v="3"/>
    <x v="58"/>
    <x v="225"/>
    <x v="224"/>
    <x v="225"/>
  </r>
  <r>
    <x v="226"/>
    <x v="16"/>
    <x v="2"/>
    <x v="6"/>
    <x v="202"/>
    <x v="7"/>
    <x v="58"/>
    <x v="4"/>
    <x v="4"/>
    <x v="138"/>
    <x v="226"/>
    <x v="225"/>
    <x v="226"/>
  </r>
  <r>
    <x v="227"/>
    <x v="17"/>
    <x v="6"/>
    <x v="2"/>
    <x v="203"/>
    <x v="7"/>
    <x v="171"/>
    <x v="5"/>
    <x v="5"/>
    <x v="91"/>
    <x v="227"/>
    <x v="226"/>
    <x v="227"/>
  </r>
  <r>
    <x v="228"/>
    <x v="18"/>
    <x v="0"/>
    <x v="6"/>
    <x v="204"/>
    <x v="7"/>
    <x v="172"/>
    <x v="0"/>
    <x v="0"/>
    <x v="81"/>
    <x v="228"/>
    <x v="227"/>
    <x v="228"/>
  </r>
  <r>
    <x v="229"/>
    <x v="19"/>
    <x v="6"/>
    <x v="1"/>
    <x v="205"/>
    <x v="7"/>
    <x v="173"/>
    <x v="1"/>
    <x v="1"/>
    <x v="139"/>
    <x v="229"/>
    <x v="228"/>
    <x v="229"/>
  </r>
  <r>
    <x v="230"/>
    <x v="20"/>
    <x v="1"/>
    <x v="7"/>
    <x v="206"/>
    <x v="7"/>
    <x v="118"/>
    <x v="2"/>
    <x v="2"/>
    <x v="140"/>
    <x v="230"/>
    <x v="229"/>
    <x v="230"/>
  </r>
  <r>
    <x v="231"/>
    <x v="21"/>
    <x v="7"/>
    <x v="0"/>
    <x v="207"/>
    <x v="7"/>
    <x v="98"/>
    <x v="3"/>
    <x v="3"/>
    <x v="128"/>
    <x v="231"/>
    <x v="230"/>
    <x v="231"/>
  </r>
  <r>
    <x v="232"/>
    <x v="22"/>
    <x v="0"/>
    <x v="7"/>
    <x v="208"/>
    <x v="7"/>
    <x v="174"/>
    <x v="4"/>
    <x v="4"/>
    <x v="141"/>
    <x v="232"/>
    <x v="231"/>
    <x v="232"/>
  </r>
  <r>
    <x v="233"/>
    <x v="23"/>
    <x v="7"/>
    <x v="1"/>
    <x v="209"/>
    <x v="7"/>
    <x v="175"/>
    <x v="5"/>
    <x v="5"/>
    <x v="22"/>
    <x v="233"/>
    <x v="232"/>
    <x v="233"/>
  </r>
  <r>
    <x v="234"/>
    <x v="24"/>
    <x v="1"/>
    <x v="8"/>
    <x v="210"/>
    <x v="7"/>
    <x v="151"/>
    <x v="0"/>
    <x v="0"/>
    <x v="142"/>
    <x v="234"/>
    <x v="233"/>
    <x v="234"/>
  </r>
  <r>
    <x v="235"/>
    <x v="25"/>
    <x v="8"/>
    <x v="0"/>
    <x v="211"/>
    <x v="7"/>
    <x v="176"/>
    <x v="1"/>
    <x v="1"/>
    <x v="15"/>
    <x v="235"/>
    <x v="234"/>
    <x v="235"/>
  </r>
  <r>
    <x v="236"/>
    <x v="26"/>
    <x v="2"/>
    <x v="5"/>
    <x v="212"/>
    <x v="7"/>
    <x v="26"/>
    <x v="2"/>
    <x v="2"/>
    <x v="143"/>
    <x v="236"/>
    <x v="235"/>
    <x v="236"/>
  </r>
  <r>
    <x v="237"/>
    <x v="27"/>
    <x v="5"/>
    <x v="2"/>
    <x v="213"/>
    <x v="7"/>
    <x v="177"/>
    <x v="3"/>
    <x v="3"/>
    <x v="118"/>
    <x v="237"/>
    <x v="236"/>
    <x v="237"/>
  </r>
  <r>
    <x v="238"/>
    <x v="28"/>
    <x v="4"/>
    <x v="1"/>
    <x v="214"/>
    <x v="7"/>
    <x v="178"/>
    <x v="4"/>
    <x v="4"/>
    <x v="10"/>
    <x v="238"/>
    <x v="237"/>
    <x v="238"/>
  </r>
  <r>
    <x v="239"/>
    <x v="29"/>
    <x v="0"/>
    <x v="4"/>
    <x v="215"/>
    <x v="7"/>
    <x v="76"/>
    <x v="5"/>
    <x v="5"/>
    <x v="11"/>
    <x v="239"/>
    <x v="238"/>
    <x v="239"/>
  </r>
  <r>
    <x v="240"/>
    <x v="0"/>
    <x v="0"/>
    <x v="0"/>
    <x v="216"/>
    <x v="7"/>
    <x v="179"/>
    <x v="0"/>
    <x v="0"/>
    <x v="7"/>
    <x v="240"/>
    <x v="239"/>
    <x v="240"/>
  </r>
  <r>
    <x v="241"/>
    <x v="1"/>
    <x v="1"/>
    <x v="1"/>
    <x v="217"/>
    <x v="7"/>
    <x v="180"/>
    <x v="1"/>
    <x v="1"/>
    <x v="125"/>
    <x v="241"/>
    <x v="240"/>
    <x v="241"/>
  </r>
  <r>
    <x v="242"/>
    <x v="2"/>
    <x v="1"/>
    <x v="2"/>
    <x v="218"/>
    <x v="7"/>
    <x v="126"/>
    <x v="2"/>
    <x v="2"/>
    <x v="72"/>
    <x v="242"/>
    <x v="241"/>
    <x v="242"/>
  </r>
  <r>
    <x v="243"/>
    <x v="3"/>
    <x v="2"/>
    <x v="0"/>
    <x v="219"/>
    <x v="7"/>
    <x v="181"/>
    <x v="3"/>
    <x v="3"/>
    <x v="144"/>
    <x v="243"/>
    <x v="242"/>
    <x v="243"/>
  </r>
  <r>
    <x v="244"/>
    <x v="4"/>
    <x v="0"/>
    <x v="2"/>
    <x v="220"/>
    <x v="8"/>
    <x v="182"/>
    <x v="4"/>
    <x v="4"/>
    <x v="32"/>
    <x v="244"/>
    <x v="243"/>
    <x v="244"/>
  </r>
  <r>
    <x v="245"/>
    <x v="5"/>
    <x v="2"/>
    <x v="1"/>
    <x v="221"/>
    <x v="8"/>
    <x v="183"/>
    <x v="5"/>
    <x v="5"/>
    <x v="22"/>
    <x v="245"/>
    <x v="244"/>
    <x v="245"/>
  </r>
  <r>
    <x v="246"/>
    <x v="6"/>
    <x v="0"/>
    <x v="3"/>
    <x v="222"/>
    <x v="8"/>
    <x v="184"/>
    <x v="0"/>
    <x v="0"/>
    <x v="8"/>
    <x v="246"/>
    <x v="245"/>
    <x v="246"/>
  </r>
  <r>
    <x v="247"/>
    <x v="7"/>
    <x v="3"/>
    <x v="1"/>
    <x v="223"/>
    <x v="8"/>
    <x v="185"/>
    <x v="1"/>
    <x v="1"/>
    <x v="93"/>
    <x v="247"/>
    <x v="246"/>
    <x v="247"/>
  </r>
  <r>
    <x v="248"/>
    <x v="8"/>
    <x v="1"/>
    <x v="4"/>
    <x v="224"/>
    <x v="8"/>
    <x v="186"/>
    <x v="2"/>
    <x v="2"/>
    <x v="52"/>
    <x v="248"/>
    <x v="247"/>
    <x v="248"/>
  </r>
  <r>
    <x v="249"/>
    <x v="9"/>
    <x v="4"/>
    <x v="0"/>
    <x v="225"/>
    <x v="8"/>
    <x v="23"/>
    <x v="3"/>
    <x v="3"/>
    <x v="145"/>
    <x v="249"/>
    <x v="248"/>
    <x v="249"/>
  </r>
  <r>
    <x v="250"/>
    <x v="10"/>
    <x v="2"/>
    <x v="3"/>
    <x v="226"/>
    <x v="8"/>
    <x v="187"/>
    <x v="4"/>
    <x v="4"/>
    <x v="146"/>
    <x v="250"/>
    <x v="249"/>
    <x v="250"/>
  </r>
  <r>
    <x v="251"/>
    <x v="11"/>
    <x v="3"/>
    <x v="2"/>
    <x v="227"/>
    <x v="8"/>
    <x v="65"/>
    <x v="5"/>
    <x v="5"/>
    <x v="33"/>
    <x v="251"/>
    <x v="250"/>
    <x v="251"/>
  </r>
  <r>
    <x v="252"/>
    <x v="12"/>
    <x v="0"/>
    <x v="5"/>
    <x v="228"/>
    <x v="8"/>
    <x v="185"/>
    <x v="0"/>
    <x v="0"/>
    <x v="3"/>
    <x v="252"/>
    <x v="251"/>
    <x v="252"/>
  </r>
  <r>
    <x v="253"/>
    <x v="13"/>
    <x v="5"/>
    <x v="1"/>
    <x v="229"/>
    <x v="8"/>
    <x v="3"/>
    <x v="1"/>
    <x v="1"/>
    <x v="139"/>
    <x v="253"/>
    <x v="252"/>
    <x v="253"/>
  </r>
  <r>
    <x v="254"/>
    <x v="14"/>
    <x v="1"/>
    <x v="5"/>
    <x v="230"/>
    <x v="8"/>
    <x v="188"/>
    <x v="2"/>
    <x v="2"/>
    <x v="115"/>
    <x v="254"/>
    <x v="253"/>
    <x v="254"/>
  </r>
  <r>
    <x v="255"/>
    <x v="15"/>
    <x v="5"/>
    <x v="0"/>
    <x v="231"/>
    <x v="8"/>
    <x v="189"/>
    <x v="3"/>
    <x v="3"/>
    <x v="147"/>
    <x v="255"/>
    <x v="254"/>
    <x v="255"/>
  </r>
  <r>
    <x v="256"/>
    <x v="16"/>
    <x v="2"/>
    <x v="6"/>
    <x v="232"/>
    <x v="8"/>
    <x v="52"/>
    <x v="4"/>
    <x v="4"/>
    <x v="129"/>
    <x v="256"/>
    <x v="255"/>
    <x v="256"/>
  </r>
  <r>
    <x v="257"/>
    <x v="17"/>
    <x v="6"/>
    <x v="2"/>
    <x v="233"/>
    <x v="8"/>
    <x v="190"/>
    <x v="5"/>
    <x v="5"/>
    <x v="86"/>
    <x v="257"/>
    <x v="256"/>
    <x v="257"/>
  </r>
  <r>
    <x v="258"/>
    <x v="18"/>
    <x v="0"/>
    <x v="6"/>
    <x v="234"/>
    <x v="8"/>
    <x v="180"/>
    <x v="0"/>
    <x v="0"/>
    <x v="103"/>
    <x v="258"/>
    <x v="257"/>
    <x v="258"/>
  </r>
  <r>
    <x v="259"/>
    <x v="19"/>
    <x v="6"/>
    <x v="1"/>
    <x v="235"/>
    <x v="8"/>
    <x v="172"/>
    <x v="1"/>
    <x v="1"/>
    <x v="47"/>
    <x v="259"/>
    <x v="258"/>
    <x v="259"/>
  </r>
  <r>
    <x v="260"/>
    <x v="20"/>
    <x v="1"/>
    <x v="7"/>
    <x v="236"/>
    <x v="8"/>
    <x v="191"/>
    <x v="2"/>
    <x v="2"/>
    <x v="20"/>
    <x v="260"/>
    <x v="259"/>
    <x v="260"/>
  </r>
  <r>
    <x v="261"/>
    <x v="21"/>
    <x v="7"/>
    <x v="0"/>
    <x v="237"/>
    <x v="8"/>
    <x v="192"/>
    <x v="3"/>
    <x v="3"/>
    <x v="63"/>
    <x v="261"/>
    <x v="260"/>
    <x v="261"/>
  </r>
  <r>
    <x v="262"/>
    <x v="22"/>
    <x v="0"/>
    <x v="7"/>
    <x v="238"/>
    <x v="8"/>
    <x v="193"/>
    <x v="4"/>
    <x v="4"/>
    <x v="148"/>
    <x v="262"/>
    <x v="261"/>
    <x v="262"/>
  </r>
  <r>
    <x v="263"/>
    <x v="23"/>
    <x v="7"/>
    <x v="1"/>
    <x v="239"/>
    <x v="8"/>
    <x v="150"/>
    <x v="5"/>
    <x v="5"/>
    <x v="149"/>
    <x v="263"/>
    <x v="262"/>
    <x v="263"/>
  </r>
  <r>
    <x v="264"/>
    <x v="24"/>
    <x v="1"/>
    <x v="8"/>
    <x v="240"/>
    <x v="8"/>
    <x v="194"/>
    <x v="0"/>
    <x v="0"/>
    <x v="111"/>
    <x v="264"/>
    <x v="263"/>
    <x v="264"/>
  </r>
  <r>
    <x v="265"/>
    <x v="25"/>
    <x v="8"/>
    <x v="0"/>
    <x v="241"/>
    <x v="8"/>
    <x v="195"/>
    <x v="1"/>
    <x v="1"/>
    <x v="107"/>
    <x v="265"/>
    <x v="264"/>
    <x v="265"/>
  </r>
  <r>
    <x v="266"/>
    <x v="26"/>
    <x v="2"/>
    <x v="5"/>
    <x v="242"/>
    <x v="8"/>
    <x v="191"/>
    <x v="2"/>
    <x v="2"/>
    <x v="79"/>
    <x v="266"/>
    <x v="265"/>
    <x v="266"/>
  </r>
  <r>
    <x v="267"/>
    <x v="27"/>
    <x v="5"/>
    <x v="2"/>
    <x v="243"/>
    <x v="8"/>
    <x v="196"/>
    <x v="3"/>
    <x v="3"/>
    <x v="145"/>
    <x v="267"/>
    <x v="266"/>
    <x v="267"/>
  </r>
  <r>
    <x v="268"/>
    <x v="28"/>
    <x v="4"/>
    <x v="1"/>
    <x v="244"/>
    <x v="8"/>
    <x v="197"/>
    <x v="4"/>
    <x v="4"/>
    <x v="92"/>
    <x v="268"/>
    <x v="267"/>
    <x v="268"/>
  </r>
  <r>
    <x v="269"/>
    <x v="29"/>
    <x v="0"/>
    <x v="4"/>
    <x v="245"/>
    <x v="8"/>
    <x v="198"/>
    <x v="5"/>
    <x v="5"/>
    <x v="39"/>
    <x v="269"/>
    <x v="268"/>
    <x v="269"/>
  </r>
  <r>
    <x v="270"/>
    <x v="0"/>
    <x v="0"/>
    <x v="0"/>
    <x v="246"/>
    <x v="8"/>
    <x v="190"/>
    <x v="0"/>
    <x v="0"/>
    <x v="1"/>
    <x v="270"/>
    <x v="269"/>
    <x v="270"/>
  </r>
  <r>
    <x v="271"/>
    <x v="1"/>
    <x v="1"/>
    <x v="1"/>
    <x v="247"/>
    <x v="8"/>
    <x v="199"/>
    <x v="1"/>
    <x v="1"/>
    <x v="58"/>
    <x v="271"/>
    <x v="270"/>
    <x v="271"/>
  </r>
  <r>
    <x v="272"/>
    <x v="2"/>
    <x v="1"/>
    <x v="2"/>
    <x v="248"/>
    <x v="8"/>
    <x v="41"/>
    <x v="2"/>
    <x v="2"/>
    <x v="150"/>
    <x v="272"/>
    <x v="271"/>
    <x v="272"/>
  </r>
  <r>
    <x v="273"/>
    <x v="3"/>
    <x v="2"/>
    <x v="0"/>
    <x v="249"/>
    <x v="8"/>
    <x v="128"/>
    <x v="3"/>
    <x v="3"/>
    <x v="151"/>
    <x v="273"/>
    <x v="272"/>
    <x v="273"/>
  </r>
  <r>
    <x v="274"/>
    <x v="4"/>
    <x v="0"/>
    <x v="2"/>
    <x v="250"/>
    <x v="9"/>
    <x v="200"/>
    <x v="4"/>
    <x v="4"/>
    <x v="152"/>
    <x v="274"/>
    <x v="273"/>
    <x v="274"/>
  </r>
  <r>
    <x v="275"/>
    <x v="5"/>
    <x v="2"/>
    <x v="1"/>
    <x v="251"/>
    <x v="9"/>
    <x v="201"/>
    <x v="5"/>
    <x v="5"/>
    <x v="153"/>
    <x v="275"/>
    <x v="274"/>
    <x v="275"/>
  </r>
  <r>
    <x v="276"/>
    <x v="6"/>
    <x v="0"/>
    <x v="3"/>
    <x v="252"/>
    <x v="9"/>
    <x v="13"/>
    <x v="0"/>
    <x v="0"/>
    <x v="69"/>
    <x v="276"/>
    <x v="275"/>
    <x v="276"/>
  </r>
  <r>
    <x v="277"/>
    <x v="7"/>
    <x v="3"/>
    <x v="1"/>
    <x v="253"/>
    <x v="9"/>
    <x v="202"/>
    <x v="1"/>
    <x v="1"/>
    <x v="154"/>
    <x v="277"/>
    <x v="276"/>
    <x v="277"/>
  </r>
  <r>
    <x v="278"/>
    <x v="8"/>
    <x v="1"/>
    <x v="4"/>
    <x v="254"/>
    <x v="9"/>
    <x v="203"/>
    <x v="2"/>
    <x v="2"/>
    <x v="30"/>
    <x v="278"/>
    <x v="277"/>
    <x v="278"/>
  </r>
  <r>
    <x v="279"/>
    <x v="9"/>
    <x v="4"/>
    <x v="0"/>
    <x v="255"/>
    <x v="9"/>
    <x v="4"/>
    <x v="3"/>
    <x v="3"/>
    <x v="155"/>
    <x v="279"/>
    <x v="278"/>
    <x v="279"/>
  </r>
  <r>
    <x v="280"/>
    <x v="10"/>
    <x v="2"/>
    <x v="3"/>
    <x v="256"/>
    <x v="9"/>
    <x v="204"/>
    <x v="4"/>
    <x v="4"/>
    <x v="38"/>
    <x v="280"/>
    <x v="279"/>
    <x v="280"/>
  </r>
  <r>
    <x v="281"/>
    <x v="11"/>
    <x v="3"/>
    <x v="2"/>
    <x v="257"/>
    <x v="9"/>
    <x v="205"/>
    <x v="5"/>
    <x v="5"/>
    <x v="91"/>
    <x v="281"/>
    <x v="280"/>
    <x v="281"/>
  </r>
  <r>
    <x v="282"/>
    <x v="12"/>
    <x v="0"/>
    <x v="5"/>
    <x v="258"/>
    <x v="9"/>
    <x v="206"/>
    <x v="0"/>
    <x v="0"/>
    <x v="81"/>
    <x v="282"/>
    <x v="281"/>
    <x v="282"/>
  </r>
  <r>
    <x v="283"/>
    <x v="13"/>
    <x v="5"/>
    <x v="1"/>
    <x v="259"/>
    <x v="9"/>
    <x v="181"/>
    <x v="1"/>
    <x v="1"/>
    <x v="99"/>
    <x v="283"/>
    <x v="282"/>
    <x v="283"/>
  </r>
  <r>
    <x v="284"/>
    <x v="14"/>
    <x v="1"/>
    <x v="5"/>
    <x v="260"/>
    <x v="9"/>
    <x v="142"/>
    <x v="2"/>
    <x v="2"/>
    <x v="3"/>
    <x v="284"/>
    <x v="283"/>
    <x v="284"/>
  </r>
  <r>
    <x v="285"/>
    <x v="15"/>
    <x v="5"/>
    <x v="0"/>
    <x v="261"/>
    <x v="9"/>
    <x v="27"/>
    <x v="3"/>
    <x v="3"/>
    <x v="15"/>
    <x v="285"/>
    <x v="284"/>
    <x v="285"/>
  </r>
  <r>
    <x v="286"/>
    <x v="16"/>
    <x v="2"/>
    <x v="6"/>
    <x v="262"/>
    <x v="9"/>
    <x v="194"/>
    <x v="4"/>
    <x v="4"/>
    <x v="106"/>
    <x v="286"/>
    <x v="285"/>
    <x v="286"/>
  </r>
  <r>
    <x v="287"/>
    <x v="17"/>
    <x v="6"/>
    <x v="2"/>
    <x v="263"/>
    <x v="9"/>
    <x v="207"/>
    <x v="5"/>
    <x v="5"/>
    <x v="153"/>
    <x v="287"/>
    <x v="286"/>
    <x v="287"/>
  </r>
  <r>
    <x v="288"/>
    <x v="18"/>
    <x v="0"/>
    <x v="6"/>
    <x v="264"/>
    <x v="9"/>
    <x v="208"/>
    <x v="0"/>
    <x v="0"/>
    <x v="14"/>
    <x v="288"/>
    <x v="287"/>
    <x v="288"/>
  </r>
  <r>
    <x v="289"/>
    <x v="19"/>
    <x v="6"/>
    <x v="1"/>
    <x v="265"/>
    <x v="9"/>
    <x v="209"/>
    <x v="1"/>
    <x v="1"/>
    <x v="13"/>
    <x v="289"/>
    <x v="288"/>
    <x v="289"/>
  </r>
  <r>
    <x v="290"/>
    <x v="20"/>
    <x v="1"/>
    <x v="7"/>
    <x v="266"/>
    <x v="9"/>
    <x v="210"/>
    <x v="2"/>
    <x v="2"/>
    <x v="79"/>
    <x v="290"/>
    <x v="289"/>
    <x v="290"/>
  </r>
  <r>
    <x v="291"/>
    <x v="21"/>
    <x v="7"/>
    <x v="0"/>
    <x v="267"/>
    <x v="9"/>
    <x v="211"/>
    <x v="3"/>
    <x v="3"/>
    <x v="156"/>
    <x v="291"/>
    <x v="290"/>
    <x v="291"/>
  </r>
  <r>
    <x v="292"/>
    <x v="22"/>
    <x v="0"/>
    <x v="7"/>
    <x v="268"/>
    <x v="9"/>
    <x v="212"/>
    <x v="4"/>
    <x v="4"/>
    <x v="48"/>
    <x v="292"/>
    <x v="291"/>
    <x v="292"/>
  </r>
  <r>
    <x v="293"/>
    <x v="23"/>
    <x v="7"/>
    <x v="1"/>
    <x v="269"/>
    <x v="9"/>
    <x v="213"/>
    <x v="5"/>
    <x v="5"/>
    <x v="86"/>
    <x v="293"/>
    <x v="292"/>
    <x v="293"/>
  </r>
  <r>
    <x v="294"/>
    <x v="24"/>
    <x v="1"/>
    <x v="8"/>
    <x v="270"/>
    <x v="9"/>
    <x v="214"/>
    <x v="0"/>
    <x v="0"/>
    <x v="24"/>
    <x v="294"/>
    <x v="293"/>
    <x v="294"/>
  </r>
  <r>
    <x v="295"/>
    <x v="25"/>
    <x v="8"/>
    <x v="0"/>
    <x v="271"/>
    <x v="9"/>
    <x v="111"/>
    <x v="1"/>
    <x v="1"/>
    <x v="99"/>
    <x v="295"/>
    <x v="294"/>
    <x v="295"/>
  </r>
  <r>
    <x v="296"/>
    <x v="26"/>
    <x v="2"/>
    <x v="5"/>
    <x v="272"/>
    <x v="9"/>
    <x v="215"/>
    <x v="2"/>
    <x v="2"/>
    <x v="67"/>
    <x v="296"/>
    <x v="295"/>
    <x v="296"/>
  </r>
  <r>
    <x v="297"/>
    <x v="27"/>
    <x v="5"/>
    <x v="2"/>
    <x v="273"/>
    <x v="9"/>
    <x v="192"/>
    <x v="3"/>
    <x v="3"/>
    <x v="157"/>
    <x v="297"/>
    <x v="296"/>
    <x v="297"/>
  </r>
  <r>
    <x v="298"/>
    <x v="28"/>
    <x v="4"/>
    <x v="1"/>
    <x v="274"/>
    <x v="9"/>
    <x v="216"/>
    <x v="4"/>
    <x v="4"/>
    <x v="109"/>
    <x v="298"/>
    <x v="297"/>
    <x v="298"/>
  </r>
  <r>
    <x v="299"/>
    <x v="29"/>
    <x v="0"/>
    <x v="4"/>
    <x v="275"/>
    <x v="9"/>
    <x v="30"/>
    <x v="5"/>
    <x v="5"/>
    <x v="22"/>
    <x v="299"/>
    <x v="298"/>
    <x v="299"/>
  </r>
  <r>
    <x v="300"/>
    <x v="0"/>
    <x v="0"/>
    <x v="0"/>
    <x v="276"/>
    <x v="9"/>
    <x v="168"/>
    <x v="0"/>
    <x v="0"/>
    <x v="72"/>
    <x v="300"/>
    <x v="299"/>
    <x v="300"/>
  </r>
  <r>
    <x v="301"/>
    <x v="1"/>
    <x v="1"/>
    <x v="1"/>
    <x v="277"/>
    <x v="9"/>
    <x v="135"/>
    <x v="1"/>
    <x v="1"/>
    <x v="25"/>
    <x v="301"/>
    <x v="300"/>
    <x v="301"/>
  </r>
  <r>
    <x v="302"/>
    <x v="2"/>
    <x v="1"/>
    <x v="2"/>
    <x v="278"/>
    <x v="9"/>
    <x v="217"/>
    <x v="2"/>
    <x v="2"/>
    <x v="42"/>
    <x v="302"/>
    <x v="301"/>
    <x v="302"/>
  </r>
  <r>
    <x v="303"/>
    <x v="3"/>
    <x v="2"/>
    <x v="0"/>
    <x v="279"/>
    <x v="9"/>
    <x v="218"/>
    <x v="3"/>
    <x v="3"/>
    <x v="158"/>
    <x v="303"/>
    <x v="302"/>
    <x v="303"/>
  </r>
  <r>
    <x v="304"/>
    <x v="4"/>
    <x v="0"/>
    <x v="2"/>
    <x v="280"/>
    <x v="9"/>
    <x v="219"/>
    <x v="4"/>
    <x v="4"/>
    <x v="159"/>
    <x v="304"/>
    <x v="303"/>
    <x v="304"/>
  </r>
  <r>
    <x v="305"/>
    <x v="5"/>
    <x v="2"/>
    <x v="1"/>
    <x v="281"/>
    <x v="10"/>
    <x v="220"/>
    <x v="5"/>
    <x v="5"/>
    <x v="33"/>
    <x v="305"/>
    <x v="304"/>
    <x v="305"/>
  </r>
  <r>
    <x v="306"/>
    <x v="6"/>
    <x v="0"/>
    <x v="3"/>
    <x v="282"/>
    <x v="10"/>
    <x v="46"/>
    <x v="0"/>
    <x v="0"/>
    <x v="90"/>
    <x v="306"/>
    <x v="305"/>
    <x v="306"/>
  </r>
  <r>
    <x v="307"/>
    <x v="7"/>
    <x v="3"/>
    <x v="1"/>
    <x v="283"/>
    <x v="10"/>
    <x v="34"/>
    <x v="1"/>
    <x v="1"/>
    <x v="76"/>
    <x v="307"/>
    <x v="306"/>
    <x v="307"/>
  </r>
  <r>
    <x v="308"/>
    <x v="8"/>
    <x v="1"/>
    <x v="4"/>
    <x v="284"/>
    <x v="10"/>
    <x v="221"/>
    <x v="2"/>
    <x v="2"/>
    <x v="137"/>
    <x v="308"/>
    <x v="307"/>
    <x v="308"/>
  </r>
  <r>
    <x v="309"/>
    <x v="9"/>
    <x v="4"/>
    <x v="0"/>
    <x v="285"/>
    <x v="10"/>
    <x v="222"/>
    <x v="3"/>
    <x v="3"/>
    <x v="9"/>
    <x v="309"/>
    <x v="308"/>
    <x v="309"/>
  </r>
  <r>
    <x v="310"/>
    <x v="10"/>
    <x v="2"/>
    <x v="3"/>
    <x v="286"/>
    <x v="10"/>
    <x v="223"/>
    <x v="4"/>
    <x v="4"/>
    <x v="160"/>
    <x v="310"/>
    <x v="309"/>
    <x v="310"/>
  </r>
  <r>
    <x v="311"/>
    <x v="11"/>
    <x v="3"/>
    <x v="2"/>
    <x v="287"/>
    <x v="10"/>
    <x v="166"/>
    <x v="5"/>
    <x v="5"/>
    <x v="71"/>
    <x v="311"/>
    <x v="310"/>
    <x v="311"/>
  </r>
  <r>
    <x v="312"/>
    <x v="12"/>
    <x v="0"/>
    <x v="5"/>
    <x v="288"/>
    <x v="10"/>
    <x v="207"/>
    <x v="0"/>
    <x v="0"/>
    <x v="6"/>
    <x v="312"/>
    <x v="311"/>
    <x v="312"/>
  </r>
  <r>
    <x v="313"/>
    <x v="13"/>
    <x v="5"/>
    <x v="1"/>
    <x v="289"/>
    <x v="10"/>
    <x v="224"/>
    <x v="1"/>
    <x v="1"/>
    <x v="28"/>
    <x v="313"/>
    <x v="312"/>
    <x v="313"/>
  </r>
  <r>
    <x v="314"/>
    <x v="14"/>
    <x v="1"/>
    <x v="5"/>
    <x v="290"/>
    <x v="10"/>
    <x v="107"/>
    <x v="2"/>
    <x v="2"/>
    <x v="122"/>
    <x v="314"/>
    <x v="313"/>
    <x v="314"/>
  </r>
  <r>
    <x v="315"/>
    <x v="15"/>
    <x v="5"/>
    <x v="0"/>
    <x v="291"/>
    <x v="10"/>
    <x v="186"/>
    <x v="3"/>
    <x v="3"/>
    <x v="53"/>
    <x v="315"/>
    <x v="314"/>
    <x v="315"/>
  </r>
  <r>
    <x v="316"/>
    <x v="16"/>
    <x v="2"/>
    <x v="6"/>
    <x v="292"/>
    <x v="10"/>
    <x v="225"/>
    <x v="4"/>
    <x v="4"/>
    <x v="161"/>
    <x v="316"/>
    <x v="315"/>
    <x v="316"/>
  </r>
  <r>
    <x v="317"/>
    <x v="17"/>
    <x v="6"/>
    <x v="2"/>
    <x v="293"/>
    <x v="10"/>
    <x v="226"/>
    <x v="5"/>
    <x v="5"/>
    <x v="61"/>
    <x v="317"/>
    <x v="316"/>
    <x v="317"/>
  </r>
  <r>
    <x v="318"/>
    <x v="18"/>
    <x v="0"/>
    <x v="6"/>
    <x v="294"/>
    <x v="10"/>
    <x v="227"/>
    <x v="0"/>
    <x v="0"/>
    <x v="107"/>
    <x v="318"/>
    <x v="317"/>
    <x v="318"/>
  </r>
  <r>
    <x v="319"/>
    <x v="19"/>
    <x v="6"/>
    <x v="1"/>
    <x v="295"/>
    <x v="10"/>
    <x v="85"/>
    <x v="1"/>
    <x v="1"/>
    <x v="125"/>
    <x v="319"/>
    <x v="318"/>
    <x v="319"/>
  </r>
  <r>
    <x v="320"/>
    <x v="20"/>
    <x v="1"/>
    <x v="7"/>
    <x v="296"/>
    <x v="10"/>
    <x v="41"/>
    <x v="2"/>
    <x v="2"/>
    <x v="75"/>
    <x v="320"/>
    <x v="319"/>
    <x v="320"/>
  </r>
  <r>
    <x v="321"/>
    <x v="21"/>
    <x v="7"/>
    <x v="0"/>
    <x v="297"/>
    <x v="10"/>
    <x v="228"/>
    <x v="3"/>
    <x v="3"/>
    <x v="162"/>
    <x v="321"/>
    <x v="320"/>
    <x v="321"/>
  </r>
  <r>
    <x v="322"/>
    <x v="22"/>
    <x v="0"/>
    <x v="7"/>
    <x v="298"/>
    <x v="10"/>
    <x v="221"/>
    <x v="4"/>
    <x v="4"/>
    <x v="163"/>
    <x v="322"/>
    <x v="321"/>
    <x v="322"/>
  </r>
  <r>
    <x v="323"/>
    <x v="23"/>
    <x v="7"/>
    <x v="1"/>
    <x v="299"/>
    <x v="10"/>
    <x v="229"/>
    <x v="5"/>
    <x v="5"/>
    <x v="66"/>
    <x v="323"/>
    <x v="322"/>
    <x v="323"/>
  </r>
  <r>
    <x v="324"/>
    <x v="24"/>
    <x v="1"/>
    <x v="8"/>
    <x v="300"/>
    <x v="10"/>
    <x v="61"/>
    <x v="0"/>
    <x v="0"/>
    <x v="68"/>
    <x v="324"/>
    <x v="323"/>
    <x v="324"/>
  </r>
  <r>
    <x v="325"/>
    <x v="25"/>
    <x v="8"/>
    <x v="0"/>
    <x v="301"/>
    <x v="10"/>
    <x v="215"/>
    <x v="1"/>
    <x v="1"/>
    <x v="115"/>
    <x v="325"/>
    <x v="324"/>
    <x v="325"/>
  </r>
  <r>
    <x v="326"/>
    <x v="26"/>
    <x v="2"/>
    <x v="5"/>
    <x v="302"/>
    <x v="10"/>
    <x v="189"/>
    <x v="2"/>
    <x v="2"/>
    <x v="79"/>
    <x v="326"/>
    <x v="325"/>
    <x v="326"/>
  </r>
  <r>
    <x v="327"/>
    <x v="27"/>
    <x v="5"/>
    <x v="2"/>
    <x v="303"/>
    <x v="10"/>
    <x v="230"/>
    <x v="3"/>
    <x v="3"/>
    <x v="164"/>
    <x v="327"/>
    <x v="326"/>
    <x v="327"/>
  </r>
  <r>
    <x v="328"/>
    <x v="28"/>
    <x v="4"/>
    <x v="1"/>
    <x v="304"/>
    <x v="10"/>
    <x v="231"/>
    <x v="4"/>
    <x v="4"/>
    <x v="165"/>
    <x v="328"/>
    <x v="327"/>
    <x v="328"/>
  </r>
  <r>
    <x v="329"/>
    <x v="29"/>
    <x v="0"/>
    <x v="4"/>
    <x v="305"/>
    <x v="10"/>
    <x v="90"/>
    <x v="5"/>
    <x v="5"/>
    <x v="91"/>
    <x v="329"/>
    <x v="328"/>
    <x v="329"/>
  </r>
  <r>
    <x v="330"/>
    <x v="0"/>
    <x v="0"/>
    <x v="0"/>
    <x v="306"/>
    <x v="10"/>
    <x v="51"/>
    <x v="0"/>
    <x v="0"/>
    <x v="68"/>
    <x v="330"/>
    <x v="329"/>
    <x v="330"/>
  </r>
  <r>
    <x v="331"/>
    <x v="1"/>
    <x v="1"/>
    <x v="1"/>
    <x v="307"/>
    <x v="10"/>
    <x v="168"/>
    <x v="1"/>
    <x v="1"/>
    <x v="90"/>
    <x v="331"/>
    <x v="330"/>
    <x v="331"/>
  </r>
  <r>
    <x v="332"/>
    <x v="2"/>
    <x v="1"/>
    <x v="2"/>
    <x v="308"/>
    <x v="10"/>
    <x v="232"/>
    <x v="2"/>
    <x v="2"/>
    <x v="134"/>
    <x v="332"/>
    <x v="331"/>
    <x v="332"/>
  </r>
  <r>
    <x v="333"/>
    <x v="3"/>
    <x v="2"/>
    <x v="0"/>
    <x v="309"/>
    <x v="10"/>
    <x v="148"/>
    <x v="3"/>
    <x v="3"/>
    <x v="166"/>
    <x v="333"/>
    <x v="332"/>
    <x v="333"/>
  </r>
  <r>
    <x v="334"/>
    <x v="4"/>
    <x v="0"/>
    <x v="2"/>
    <x v="310"/>
    <x v="10"/>
    <x v="233"/>
    <x v="4"/>
    <x v="4"/>
    <x v="167"/>
    <x v="334"/>
    <x v="333"/>
    <x v="334"/>
  </r>
  <r>
    <x v="335"/>
    <x v="5"/>
    <x v="2"/>
    <x v="1"/>
    <x v="311"/>
    <x v="11"/>
    <x v="234"/>
    <x v="5"/>
    <x v="5"/>
    <x v="136"/>
    <x v="335"/>
    <x v="328"/>
    <x v="335"/>
  </r>
  <r>
    <x v="336"/>
    <x v="6"/>
    <x v="0"/>
    <x v="3"/>
    <x v="312"/>
    <x v="11"/>
    <x v="176"/>
    <x v="0"/>
    <x v="0"/>
    <x v="72"/>
    <x v="336"/>
    <x v="334"/>
    <x v="336"/>
  </r>
  <r>
    <x v="337"/>
    <x v="7"/>
    <x v="3"/>
    <x v="1"/>
    <x v="313"/>
    <x v="11"/>
    <x v="169"/>
    <x v="1"/>
    <x v="1"/>
    <x v="40"/>
    <x v="337"/>
    <x v="335"/>
    <x v="337"/>
  </r>
  <r>
    <x v="338"/>
    <x v="8"/>
    <x v="1"/>
    <x v="4"/>
    <x v="314"/>
    <x v="11"/>
    <x v="71"/>
    <x v="2"/>
    <x v="2"/>
    <x v="3"/>
    <x v="338"/>
    <x v="336"/>
    <x v="338"/>
  </r>
  <r>
    <x v="339"/>
    <x v="9"/>
    <x v="4"/>
    <x v="0"/>
    <x v="315"/>
    <x v="11"/>
    <x v="235"/>
    <x v="3"/>
    <x v="3"/>
    <x v="120"/>
    <x v="339"/>
    <x v="337"/>
    <x v="339"/>
  </r>
  <r>
    <x v="340"/>
    <x v="10"/>
    <x v="2"/>
    <x v="3"/>
    <x v="316"/>
    <x v="11"/>
    <x v="236"/>
    <x v="4"/>
    <x v="4"/>
    <x v="168"/>
    <x v="340"/>
    <x v="338"/>
    <x v="340"/>
  </r>
  <r>
    <x v="341"/>
    <x v="11"/>
    <x v="3"/>
    <x v="2"/>
    <x v="317"/>
    <x v="11"/>
    <x v="237"/>
    <x v="5"/>
    <x v="5"/>
    <x v="61"/>
    <x v="341"/>
    <x v="339"/>
    <x v="341"/>
  </r>
  <r>
    <x v="342"/>
    <x v="12"/>
    <x v="0"/>
    <x v="5"/>
    <x v="318"/>
    <x v="11"/>
    <x v="102"/>
    <x v="0"/>
    <x v="0"/>
    <x v="29"/>
    <x v="342"/>
    <x v="340"/>
    <x v="342"/>
  </r>
  <r>
    <x v="343"/>
    <x v="13"/>
    <x v="5"/>
    <x v="1"/>
    <x v="319"/>
    <x v="11"/>
    <x v="53"/>
    <x v="1"/>
    <x v="1"/>
    <x v="107"/>
    <x v="343"/>
    <x v="341"/>
    <x v="343"/>
  </r>
  <r>
    <x v="344"/>
    <x v="14"/>
    <x v="1"/>
    <x v="5"/>
    <x v="320"/>
    <x v="11"/>
    <x v="75"/>
    <x v="2"/>
    <x v="2"/>
    <x v="30"/>
    <x v="344"/>
    <x v="342"/>
    <x v="344"/>
  </r>
  <r>
    <x v="345"/>
    <x v="15"/>
    <x v="5"/>
    <x v="0"/>
    <x v="321"/>
    <x v="11"/>
    <x v="238"/>
    <x v="3"/>
    <x v="3"/>
    <x v="169"/>
    <x v="345"/>
    <x v="343"/>
    <x v="345"/>
  </r>
  <r>
    <x v="346"/>
    <x v="16"/>
    <x v="2"/>
    <x v="6"/>
    <x v="322"/>
    <x v="11"/>
    <x v="61"/>
    <x v="4"/>
    <x v="4"/>
    <x v="83"/>
    <x v="346"/>
    <x v="344"/>
    <x v="346"/>
  </r>
  <r>
    <x v="347"/>
    <x v="17"/>
    <x v="6"/>
    <x v="2"/>
    <x v="323"/>
    <x v="11"/>
    <x v="12"/>
    <x v="5"/>
    <x v="5"/>
    <x v="17"/>
    <x v="347"/>
    <x v="345"/>
    <x v="347"/>
  </r>
  <r>
    <x v="348"/>
    <x v="18"/>
    <x v="0"/>
    <x v="6"/>
    <x v="324"/>
    <x v="11"/>
    <x v="239"/>
    <x v="0"/>
    <x v="0"/>
    <x v="67"/>
    <x v="348"/>
    <x v="346"/>
    <x v="348"/>
  </r>
  <r>
    <x v="349"/>
    <x v="19"/>
    <x v="6"/>
    <x v="1"/>
    <x v="325"/>
    <x v="11"/>
    <x v="151"/>
    <x v="1"/>
    <x v="1"/>
    <x v="15"/>
    <x v="349"/>
    <x v="347"/>
    <x v="349"/>
  </r>
  <r>
    <x v="350"/>
    <x v="20"/>
    <x v="1"/>
    <x v="7"/>
    <x v="326"/>
    <x v="11"/>
    <x v="240"/>
    <x v="2"/>
    <x v="2"/>
    <x v="90"/>
    <x v="350"/>
    <x v="348"/>
    <x v="350"/>
  </r>
  <r>
    <x v="351"/>
    <x v="21"/>
    <x v="7"/>
    <x v="0"/>
    <x v="327"/>
    <x v="11"/>
    <x v="6"/>
    <x v="3"/>
    <x v="3"/>
    <x v="140"/>
    <x v="351"/>
    <x v="349"/>
    <x v="351"/>
  </r>
  <r>
    <x v="352"/>
    <x v="22"/>
    <x v="0"/>
    <x v="7"/>
    <x v="328"/>
    <x v="11"/>
    <x v="195"/>
    <x v="4"/>
    <x v="4"/>
    <x v="170"/>
    <x v="352"/>
    <x v="350"/>
    <x v="352"/>
  </r>
  <r>
    <x v="353"/>
    <x v="23"/>
    <x v="7"/>
    <x v="1"/>
    <x v="329"/>
    <x v="11"/>
    <x v="241"/>
    <x v="5"/>
    <x v="5"/>
    <x v="5"/>
    <x v="353"/>
    <x v="351"/>
    <x v="353"/>
  </r>
  <r>
    <x v="354"/>
    <x v="24"/>
    <x v="1"/>
    <x v="8"/>
    <x v="330"/>
    <x v="11"/>
    <x v="90"/>
    <x v="0"/>
    <x v="0"/>
    <x v="2"/>
    <x v="354"/>
    <x v="352"/>
    <x v="354"/>
  </r>
  <r>
    <x v="355"/>
    <x v="25"/>
    <x v="8"/>
    <x v="0"/>
    <x v="331"/>
    <x v="11"/>
    <x v="161"/>
    <x v="1"/>
    <x v="1"/>
    <x v="1"/>
    <x v="355"/>
    <x v="353"/>
    <x v="355"/>
  </r>
  <r>
    <x v="356"/>
    <x v="26"/>
    <x v="2"/>
    <x v="5"/>
    <x v="332"/>
    <x v="11"/>
    <x v="242"/>
    <x v="2"/>
    <x v="2"/>
    <x v="75"/>
    <x v="356"/>
    <x v="354"/>
    <x v="356"/>
  </r>
  <r>
    <x v="357"/>
    <x v="27"/>
    <x v="5"/>
    <x v="2"/>
    <x v="333"/>
    <x v="11"/>
    <x v="243"/>
    <x v="3"/>
    <x v="3"/>
    <x v="171"/>
    <x v="357"/>
    <x v="355"/>
    <x v="357"/>
  </r>
  <r>
    <x v="358"/>
    <x v="28"/>
    <x v="4"/>
    <x v="1"/>
    <x v="334"/>
    <x v="11"/>
    <x v="244"/>
    <x v="4"/>
    <x v="4"/>
    <x v="172"/>
    <x v="358"/>
    <x v="356"/>
    <x v="358"/>
  </r>
  <r>
    <x v="359"/>
    <x v="29"/>
    <x v="0"/>
    <x v="4"/>
    <x v="335"/>
    <x v="11"/>
    <x v="121"/>
    <x v="5"/>
    <x v="5"/>
    <x v="110"/>
    <x v="359"/>
    <x v="357"/>
    <x v="359"/>
  </r>
  <r>
    <x v="360"/>
    <x v="0"/>
    <x v="0"/>
    <x v="0"/>
    <x v="336"/>
    <x v="11"/>
    <x v="28"/>
    <x v="0"/>
    <x v="0"/>
    <x v="40"/>
    <x v="360"/>
    <x v="358"/>
    <x v="360"/>
  </r>
  <r>
    <x v="361"/>
    <x v="1"/>
    <x v="1"/>
    <x v="1"/>
    <x v="337"/>
    <x v="11"/>
    <x v="120"/>
    <x v="1"/>
    <x v="1"/>
    <x v="47"/>
    <x v="361"/>
    <x v="359"/>
    <x v="361"/>
  </r>
  <r>
    <x v="362"/>
    <x v="2"/>
    <x v="1"/>
    <x v="2"/>
    <x v="338"/>
    <x v="11"/>
    <x v="245"/>
    <x v="2"/>
    <x v="2"/>
    <x v="1"/>
    <x v="362"/>
    <x v="360"/>
    <x v="362"/>
  </r>
  <r>
    <x v="363"/>
    <x v="3"/>
    <x v="2"/>
    <x v="0"/>
    <x v="339"/>
    <x v="11"/>
    <x v="88"/>
    <x v="3"/>
    <x v="3"/>
    <x v="36"/>
    <x v="363"/>
    <x v="361"/>
    <x v="363"/>
  </r>
  <r>
    <x v="364"/>
    <x v="4"/>
    <x v="0"/>
    <x v="2"/>
    <x v="340"/>
    <x v="11"/>
    <x v="114"/>
    <x v="4"/>
    <x v="4"/>
    <x v="131"/>
    <x v="364"/>
    <x v="362"/>
    <x v="364"/>
  </r>
  <r>
    <x v="365"/>
    <x v="5"/>
    <x v="2"/>
    <x v="1"/>
    <x v="8"/>
    <x v="4"/>
    <x v="107"/>
    <x v="5"/>
    <x v="5"/>
    <x v="11"/>
    <x v="365"/>
    <x v="363"/>
    <x v="365"/>
  </r>
  <r>
    <x v="366"/>
    <x v="6"/>
    <x v="0"/>
    <x v="3"/>
    <x v="341"/>
    <x v="4"/>
    <x v="151"/>
    <x v="0"/>
    <x v="0"/>
    <x v="173"/>
    <x v="366"/>
    <x v="364"/>
    <x v="366"/>
  </r>
  <r>
    <x v="367"/>
    <x v="7"/>
    <x v="3"/>
    <x v="1"/>
    <x v="342"/>
    <x v="4"/>
    <x v="12"/>
    <x v="1"/>
    <x v="1"/>
    <x v="124"/>
    <x v="367"/>
    <x v="365"/>
    <x v="367"/>
  </r>
  <r>
    <x v="368"/>
    <x v="8"/>
    <x v="1"/>
    <x v="4"/>
    <x v="343"/>
    <x v="4"/>
    <x v="246"/>
    <x v="2"/>
    <x v="2"/>
    <x v="3"/>
    <x v="368"/>
    <x v="366"/>
    <x v="368"/>
  </r>
  <r>
    <x v="369"/>
    <x v="9"/>
    <x v="4"/>
    <x v="0"/>
    <x v="344"/>
    <x v="4"/>
    <x v="147"/>
    <x v="3"/>
    <x v="3"/>
    <x v="75"/>
    <x v="369"/>
    <x v="367"/>
    <x v="369"/>
  </r>
  <r>
    <x v="370"/>
    <x v="10"/>
    <x v="2"/>
    <x v="3"/>
    <x v="345"/>
    <x v="4"/>
    <x v="144"/>
    <x v="4"/>
    <x v="4"/>
    <x v="174"/>
    <x v="370"/>
    <x v="368"/>
    <x v="370"/>
  </r>
  <r>
    <x v="371"/>
    <x v="11"/>
    <x v="3"/>
    <x v="2"/>
    <x v="22"/>
    <x v="4"/>
    <x v="1"/>
    <x v="5"/>
    <x v="5"/>
    <x v="114"/>
    <x v="371"/>
    <x v="369"/>
    <x v="371"/>
  </r>
  <r>
    <x v="372"/>
    <x v="12"/>
    <x v="0"/>
    <x v="5"/>
    <x v="346"/>
    <x v="4"/>
    <x v="247"/>
    <x v="0"/>
    <x v="0"/>
    <x v="0"/>
    <x v="372"/>
    <x v="370"/>
    <x v="372"/>
  </r>
  <r>
    <x v="373"/>
    <x v="13"/>
    <x v="5"/>
    <x v="1"/>
    <x v="347"/>
    <x v="4"/>
    <x v="220"/>
    <x v="1"/>
    <x v="1"/>
    <x v="150"/>
    <x v="373"/>
    <x v="371"/>
    <x v="373"/>
  </r>
  <r>
    <x v="374"/>
    <x v="14"/>
    <x v="1"/>
    <x v="5"/>
    <x v="348"/>
    <x v="4"/>
    <x v="54"/>
    <x v="2"/>
    <x v="2"/>
    <x v="40"/>
    <x v="374"/>
    <x v="372"/>
    <x v="374"/>
  </r>
  <r>
    <x v="375"/>
    <x v="15"/>
    <x v="5"/>
    <x v="0"/>
    <x v="349"/>
    <x v="4"/>
    <x v="128"/>
    <x v="3"/>
    <x v="3"/>
    <x v="175"/>
    <x v="375"/>
    <x v="373"/>
    <x v="375"/>
  </r>
  <r>
    <x v="376"/>
    <x v="16"/>
    <x v="2"/>
    <x v="6"/>
    <x v="350"/>
    <x v="4"/>
    <x v="93"/>
    <x v="4"/>
    <x v="4"/>
    <x v="176"/>
    <x v="376"/>
    <x v="374"/>
    <x v="376"/>
  </r>
  <r>
    <x v="377"/>
    <x v="17"/>
    <x v="6"/>
    <x v="2"/>
    <x v="351"/>
    <x v="4"/>
    <x v="205"/>
    <x v="5"/>
    <x v="5"/>
    <x v="102"/>
    <x v="377"/>
    <x v="375"/>
    <x v="377"/>
  </r>
  <r>
    <x v="378"/>
    <x v="18"/>
    <x v="0"/>
    <x v="6"/>
    <x v="352"/>
    <x v="4"/>
    <x v="248"/>
    <x v="0"/>
    <x v="0"/>
    <x v="177"/>
    <x v="378"/>
    <x v="376"/>
    <x v="378"/>
  </r>
  <r>
    <x v="379"/>
    <x v="19"/>
    <x v="6"/>
    <x v="1"/>
    <x v="353"/>
    <x v="4"/>
    <x v="249"/>
    <x v="1"/>
    <x v="1"/>
    <x v="51"/>
    <x v="379"/>
    <x v="377"/>
    <x v="379"/>
  </r>
  <r>
    <x v="380"/>
    <x v="20"/>
    <x v="1"/>
    <x v="7"/>
    <x v="354"/>
    <x v="4"/>
    <x v="69"/>
    <x v="2"/>
    <x v="2"/>
    <x v="178"/>
    <x v="380"/>
    <x v="378"/>
    <x v="380"/>
  </r>
  <r>
    <x v="381"/>
    <x v="21"/>
    <x v="7"/>
    <x v="0"/>
    <x v="355"/>
    <x v="4"/>
    <x v="109"/>
    <x v="3"/>
    <x v="3"/>
    <x v="157"/>
    <x v="381"/>
    <x v="379"/>
    <x v="381"/>
  </r>
  <r>
    <x v="382"/>
    <x v="22"/>
    <x v="0"/>
    <x v="7"/>
    <x v="356"/>
    <x v="4"/>
    <x v="246"/>
    <x v="4"/>
    <x v="4"/>
    <x v="179"/>
    <x v="382"/>
    <x v="380"/>
    <x v="382"/>
  </r>
  <r>
    <x v="383"/>
    <x v="23"/>
    <x v="7"/>
    <x v="1"/>
    <x v="357"/>
    <x v="4"/>
    <x v="205"/>
    <x v="5"/>
    <x v="5"/>
    <x v="86"/>
    <x v="383"/>
    <x v="381"/>
    <x v="383"/>
  </r>
  <r>
    <x v="384"/>
    <x v="24"/>
    <x v="1"/>
    <x v="8"/>
    <x v="358"/>
    <x v="4"/>
    <x v="250"/>
    <x v="0"/>
    <x v="0"/>
    <x v="72"/>
    <x v="384"/>
    <x v="382"/>
    <x v="384"/>
  </r>
  <r>
    <x v="385"/>
    <x v="25"/>
    <x v="8"/>
    <x v="0"/>
    <x v="359"/>
    <x v="4"/>
    <x v="0"/>
    <x v="1"/>
    <x v="1"/>
    <x v="51"/>
    <x v="385"/>
    <x v="383"/>
    <x v="385"/>
  </r>
  <r>
    <x v="386"/>
    <x v="26"/>
    <x v="2"/>
    <x v="5"/>
    <x v="360"/>
    <x v="4"/>
    <x v="96"/>
    <x v="2"/>
    <x v="2"/>
    <x v="28"/>
    <x v="386"/>
    <x v="384"/>
    <x v="386"/>
  </r>
  <r>
    <x v="387"/>
    <x v="27"/>
    <x v="5"/>
    <x v="2"/>
    <x v="361"/>
    <x v="4"/>
    <x v="216"/>
    <x v="3"/>
    <x v="3"/>
    <x v="118"/>
    <x v="387"/>
    <x v="385"/>
    <x v="387"/>
  </r>
  <r>
    <x v="388"/>
    <x v="28"/>
    <x v="4"/>
    <x v="1"/>
    <x v="19"/>
    <x v="4"/>
    <x v="223"/>
    <x v="4"/>
    <x v="4"/>
    <x v="180"/>
    <x v="388"/>
    <x v="386"/>
    <x v="388"/>
  </r>
  <r>
    <x v="389"/>
    <x v="29"/>
    <x v="0"/>
    <x v="4"/>
    <x v="362"/>
    <x v="4"/>
    <x v="251"/>
    <x v="5"/>
    <x v="5"/>
    <x v="153"/>
    <x v="389"/>
    <x v="387"/>
    <x v="389"/>
  </r>
  <r>
    <x v="390"/>
    <x v="0"/>
    <x v="0"/>
    <x v="0"/>
    <x v="16"/>
    <x v="4"/>
    <x v="252"/>
    <x v="0"/>
    <x v="0"/>
    <x v="18"/>
    <x v="390"/>
    <x v="388"/>
    <x v="390"/>
  </r>
  <r>
    <x v="391"/>
    <x v="1"/>
    <x v="1"/>
    <x v="1"/>
    <x v="363"/>
    <x v="4"/>
    <x v="253"/>
    <x v="1"/>
    <x v="1"/>
    <x v="68"/>
    <x v="391"/>
    <x v="389"/>
    <x v="391"/>
  </r>
  <r>
    <x v="392"/>
    <x v="2"/>
    <x v="1"/>
    <x v="2"/>
    <x v="364"/>
    <x v="4"/>
    <x v="254"/>
    <x v="2"/>
    <x v="2"/>
    <x v="178"/>
    <x v="392"/>
    <x v="390"/>
    <x v="392"/>
  </r>
  <r>
    <x v="393"/>
    <x v="3"/>
    <x v="2"/>
    <x v="0"/>
    <x v="26"/>
    <x v="4"/>
    <x v="255"/>
    <x v="3"/>
    <x v="3"/>
    <x v="118"/>
    <x v="393"/>
    <x v="391"/>
    <x v="393"/>
  </r>
  <r>
    <x v="394"/>
    <x v="4"/>
    <x v="0"/>
    <x v="2"/>
    <x v="27"/>
    <x v="4"/>
    <x v="256"/>
    <x v="4"/>
    <x v="4"/>
    <x v="181"/>
    <x v="394"/>
    <x v="392"/>
    <x v="394"/>
  </r>
  <r>
    <x v="395"/>
    <x v="5"/>
    <x v="2"/>
    <x v="1"/>
    <x v="28"/>
    <x v="4"/>
    <x v="257"/>
    <x v="5"/>
    <x v="5"/>
    <x v="110"/>
    <x v="395"/>
    <x v="393"/>
    <x v="395"/>
  </r>
  <r>
    <x v="396"/>
    <x v="6"/>
    <x v="0"/>
    <x v="3"/>
    <x v="29"/>
    <x v="5"/>
    <x v="7"/>
    <x v="0"/>
    <x v="0"/>
    <x v="81"/>
    <x v="396"/>
    <x v="394"/>
    <x v="396"/>
  </r>
  <r>
    <x v="397"/>
    <x v="7"/>
    <x v="3"/>
    <x v="1"/>
    <x v="9"/>
    <x v="5"/>
    <x v="178"/>
    <x v="1"/>
    <x v="1"/>
    <x v="18"/>
    <x v="397"/>
    <x v="395"/>
    <x v="397"/>
  </r>
  <r>
    <x v="398"/>
    <x v="8"/>
    <x v="1"/>
    <x v="4"/>
    <x v="30"/>
    <x v="5"/>
    <x v="38"/>
    <x v="2"/>
    <x v="2"/>
    <x v="14"/>
    <x v="398"/>
    <x v="396"/>
    <x v="398"/>
  </r>
  <r>
    <x v="399"/>
    <x v="9"/>
    <x v="4"/>
    <x v="0"/>
    <x v="31"/>
    <x v="5"/>
    <x v="258"/>
    <x v="3"/>
    <x v="3"/>
    <x v="182"/>
    <x v="399"/>
    <x v="397"/>
    <x v="399"/>
  </r>
  <r>
    <x v="400"/>
    <x v="10"/>
    <x v="2"/>
    <x v="3"/>
    <x v="32"/>
    <x v="5"/>
    <x v="259"/>
    <x v="4"/>
    <x v="4"/>
    <x v="183"/>
    <x v="400"/>
    <x v="398"/>
    <x v="400"/>
  </r>
  <r>
    <x v="401"/>
    <x v="11"/>
    <x v="3"/>
    <x v="2"/>
    <x v="33"/>
    <x v="5"/>
    <x v="119"/>
    <x v="5"/>
    <x v="5"/>
    <x v="27"/>
    <x v="401"/>
    <x v="399"/>
    <x v="401"/>
  </r>
  <r>
    <x v="402"/>
    <x v="12"/>
    <x v="0"/>
    <x v="5"/>
    <x v="34"/>
    <x v="5"/>
    <x v="248"/>
    <x v="0"/>
    <x v="0"/>
    <x v="122"/>
    <x v="402"/>
    <x v="400"/>
    <x v="402"/>
  </r>
  <r>
    <x v="403"/>
    <x v="13"/>
    <x v="5"/>
    <x v="1"/>
    <x v="35"/>
    <x v="5"/>
    <x v="260"/>
    <x v="1"/>
    <x v="1"/>
    <x v="150"/>
    <x v="403"/>
    <x v="401"/>
    <x v="403"/>
  </r>
  <r>
    <x v="404"/>
    <x v="14"/>
    <x v="1"/>
    <x v="5"/>
    <x v="36"/>
    <x v="5"/>
    <x v="111"/>
    <x v="2"/>
    <x v="2"/>
    <x v="42"/>
    <x v="404"/>
    <x v="402"/>
    <x v="404"/>
  </r>
  <r>
    <x v="405"/>
    <x v="15"/>
    <x v="5"/>
    <x v="0"/>
    <x v="37"/>
    <x v="5"/>
    <x v="261"/>
    <x v="3"/>
    <x v="3"/>
    <x v="116"/>
    <x v="405"/>
    <x v="403"/>
    <x v="405"/>
  </r>
  <r>
    <x v="406"/>
    <x v="16"/>
    <x v="2"/>
    <x v="6"/>
    <x v="38"/>
    <x v="5"/>
    <x v="195"/>
    <x v="4"/>
    <x v="4"/>
    <x v="21"/>
    <x v="406"/>
    <x v="404"/>
    <x v="406"/>
  </r>
  <r>
    <x v="407"/>
    <x v="17"/>
    <x v="6"/>
    <x v="2"/>
    <x v="39"/>
    <x v="5"/>
    <x v="205"/>
    <x v="5"/>
    <x v="5"/>
    <x v="27"/>
    <x v="407"/>
    <x v="405"/>
    <x v="407"/>
  </r>
  <r>
    <x v="408"/>
    <x v="18"/>
    <x v="0"/>
    <x v="6"/>
    <x v="40"/>
    <x v="5"/>
    <x v="142"/>
    <x v="0"/>
    <x v="0"/>
    <x v="20"/>
    <x v="408"/>
    <x v="406"/>
    <x v="408"/>
  </r>
  <r>
    <x v="409"/>
    <x v="19"/>
    <x v="6"/>
    <x v="1"/>
    <x v="41"/>
    <x v="5"/>
    <x v="173"/>
    <x v="1"/>
    <x v="1"/>
    <x v="23"/>
    <x v="409"/>
    <x v="407"/>
    <x v="409"/>
  </r>
  <r>
    <x v="410"/>
    <x v="20"/>
    <x v="1"/>
    <x v="7"/>
    <x v="42"/>
    <x v="5"/>
    <x v="262"/>
    <x v="2"/>
    <x v="2"/>
    <x v="120"/>
    <x v="410"/>
    <x v="408"/>
    <x v="410"/>
  </r>
  <r>
    <x v="411"/>
    <x v="21"/>
    <x v="7"/>
    <x v="0"/>
    <x v="13"/>
    <x v="5"/>
    <x v="32"/>
    <x v="3"/>
    <x v="3"/>
    <x v="47"/>
    <x v="411"/>
    <x v="409"/>
    <x v="411"/>
  </r>
  <r>
    <x v="412"/>
    <x v="22"/>
    <x v="0"/>
    <x v="7"/>
    <x v="43"/>
    <x v="5"/>
    <x v="186"/>
    <x v="4"/>
    <x v="4"/>
    <x v="184"/>
    <x v="412"/>
    <x v="410"/>
    <x v="412"/>
  </r>
  <r>
    <x v="413"/>
    <x v="23"/>
    <x v="7"/>
    <x v="1"/>
    <x v="44"/>
    <x v="5"/>
    <x v="49"/>
    <x v="5"/>
    <x v="5"/>
    <x v="39"/>
    <x v="413"/>
    <x v="411"/>
    <x v="413"/>
  </r>
  <r>
    <x v="414"/>
    <x v="24"/>
    <x v="1"/>
    <x v="8"/>
    <x v="45"/>
    <x v="5"/>
    <x v="263"/>
    <x v="0"/>
    <x v="0"/>
    <x v="115"/>
    <x v="414"/>
    <x v="412"/>
    <x v="414"/>
  </r>
  <r>
    <x v="415"/>
    <x v="25"/>
    <x v="8"/>
    <x v="0"/>
    <x v="46"/>
    <x v="5"/>
    <x v="264"/>
    <x v="1"/>
    <x v="1"/>
    <x v="36"/>
    <x v="415"/>
    <x v="413"/>
    <x v="415"/>
  </r>
  <r>
    <x v="416"/>
    <x v="26"/>
    <x v="2"/>
    <x v="5"/>
    <x v="47"/>
    <x v="5"/>
    <x v="260"/>
    <x v="2"/>
    <x v="2"/>
    <x v="128"/>
    <x v="416"/>
    <x v="414"/>
    <x v="416"/>
  </r>
  <r>
    <x v="417"/>
    <x v="27"/>
    <x v="5"/>
    <x v="2"/>
    <x v="48"/>
    <x v="5"/>
    <x v="265"/>
    <x v="3"/>
    <x v="3"/>
    <x v="112"/>
    <x v="417"/>
    <x v="415"/>
    <x v="417"/>
  </r>
  <r>
    <x v="418"/>
    <x v="28"/>
    <x v="4"/>
    <x v="1"/>
    <x v="49"/>
    <x v="5"/>
    <x v="266"/>
    <x v="4"/>
    <x v="4"/>
    <x v="185"/>
    <x v="418"/>
    <x v="416"/>
    <x v="418"/>
  </r>
  <r>
    <x v="419"/>
    <x v="29"/>
    <x v="0"/>
    <x v="4"/>
    <x v="50"/>
    <x v="5"/>
    <x v="257"/>
    <x v="5"/>
    <x v="5"/>
    <x v="136"/>
    <x v="419"/>
    <x v="417"/>
    <x v="419"/>
  </r>
  <r>
    <x v="420"/>
    <x v="0"/>
    <x v="0"/>
    <x v="0"/>
    <x v="18"/>
    <x v="5"/>
    <x v="267"/>
    <x v="0"/>
    <x v="0"/>
    <x v="186"/>
    <x v="420"/>
    <x v="418"/>
    <x v="420"/>
  </r>
  <r>
    <x v="421"/>
    <x v="1"/>
    <x v="1"/>
    <x v="1"/>
    <x v="51"/>
    <x v="5"/>
    <x v="234"/>
    <x v="1"/>
    <x v="1"/>
    <x v="57"/>
    <x v="421"/>
    <x v="419"/>
    <x v="421"/>
  </r>
  <r>
    <x v="422"/>
    <x v="2"/>
    <x v="1"/>
    <x v="2"/>
    <x v="52"/>
    <x v="5"/>
    <x v="56"/>
    <x v="2"/>
    <x v="2"/>
    <x v="50"/>
    <x v="422"/>
    <x v="420"/>
    <x v="422"/>
  </r>
  <r>
    <x v="423"/>
    <x v="3"/>
    <x v="2"/>
    <x v="0"/>
    <x v="53"/>
    <x v="5"/>
    <x v="73"/>
    <x v="3"/>
    <x v="3"/>
    <x v="187"/>
    <x v="423"/>
    <x v="421"/>
    <x v="423"/>
  </r>
  <r>
    <x v="424"/>
    <x v="4"/>
    <x v="0"/>
    <x v="2"/>
    <x v="54"/>
    <x v="5"/>
    <x v="268"/>
    <x v="4"/>
    <x v="4"/>
    <x v="188"/>
    <x v="424"/>
    <x v="422"/>
    <x v="424"/>
  </r>
  <r>
    <x v="425"/>
    <x v="5"/>
    <x v="2"/>
    <x v="1"/>
    <x v="55"/>
    <x v="0"/>
    <x v="172"/>
    <x v="5"/>
    <x v="5"/>
    <x v="11"/>
    <x v="425"/>
    <x v="423"/>
    <x v="425"/>
  </r>
  <r>
    <x v="426"/>
    <x v="6"/>
    <x v="0"/>
    <x v="3"/>
    <x v="56"/>
    <x v="0"/>
    <x v="68"/>
    <x v="0"/>
    <x v="0"/>
    <x v="18"/>
    <x v="426"/>
    <x v="424"/>
    <x v="426"/>
  </r>
  <r>
    <x v="427"/>
    <x v="7"/>
    <x v="3"/>
    <x v="1"/>
    <x v="57"/>
    <x v="0"/>
    <x v="124"/>
    <x v="1"/>
    <x v="1"/>
    <x v="0"/>
    <x v="427"/>
    <x v="425"/>
    <x v="427"/>
  </r>
  <r>
    <x v="428"/>
    <x v="8"/>
    <x v="1"/>
    <x v="4"/>
    <x v="4"/>
    <x v="0"/>
    <x v="269"/>
    <x v="2"/>
    <x v="2"/>
    <x v="87"/>
    <x v="428"/>
    <x v="426"/>
    <x v="428"/>
  </r>
  <r>
    <x v="429"/>
    <x v="9"/>
    <x v="4"/>
    <x v="0"/>
    <x v="58"/>
    <x v="0"/>
    <x v="270"/>
    <x v="3"/>
    <x v="3"/>
    <x v="189"/>
    <x v="429"/>
    <x v="427"/>
    <x v="429"/>
  </r>
  <r>
    <x v="430"/>
    <x v="10"/>
    <x v="2"/>
    <x v="3"/>
    <x v="59"/>
    <x v="0"/>
    <x v="227"/>
    <x v="4"/>
    <x v="4"/>
    <x v="190"/>
    <x v="430"/>
    <x v="428"/>
    <x v="430"/>
  </r>
  <r>
    <x v="431"/>
    <x v="11"/>
    <x v="3"/>
    <x v="2"/>
    <x v="60"/>
    <x v="0"/>
    <x v="209"/>
    <x v="5"/>
    <x v="5"/>
    <x v="91"/>
    <x v="431"/>
    <x v="429"/>
    <x v="431"/>
  </r>
  <r>
    <x v="432"/>
    <x v="12"/>
    <x v="0"/>
    <x v="5"/>
    <x v="0"/>
    <x v="0"/>
    <x v="141"/>
    <x v="0"/>
    <x v="0"/>
    <x v="99"/>
    <x v="432"/>
    <x v="430"/>
    <x v="432"/>
  </r>
  <r>
    <x v="433"/>
    <x v="13"/>
    <x v="5"/>
    <x v="1"/>
    <x v="61"/>
    <x v="0"/>
    <x v="271"/>
    <x v="1"/>
    <x v="1"/>
    <x v="128"/>
    <x v="433"/>
    <x v="431"/>
    <x v="433"/>
  </r>
  <r>
    <x v="434"/>
    <x v="14"/>
    <x v="1"/>
    <x v="5"/>
    <x v="62"/>
    <x v="0"/>
    <x v="168"/>
    <x v="2"/>
    <x v="2"/>
    <x v="150"/>
    <x v="434"/>
    <x v="432"/>
    <x v="434"/>
  </r>
  <r>
    <x v="435"/>
    <x v="15"/>
    <x v="5"/>
    <x v="0"/>
    <x v="63"/>
    <x v="0"/>
    <x v="272"/>
    <x v="3"/>
    <x v="3"/>
    <x v="93"/>
    <x v="435"/>
    <x v="433"/>
    <x v="435"/>
  </r>
  <r>
    <x v="436"/>
    <x v="16"/>
    <x v="2"/>
    <x v="6"/>
    <x v="64"/>
    <x v="0"/>
    <x v="273"/>
    <x v="4"/>
    <x v="4"/>
    <x v="117"/>
    <x v="436"/>
    <x v="434"/>
    <x v="436"/>
  </r>
  <r>
    <x v="437"/>
    <x v="17"/>
    <x v="6"/>
    <x v="2"/>
    <x v="65"/>
    <x v="0"/>
    <x v="34"/>
    <x v="5"/>
    <x v="5"/>
    <x v="102"/>
    <x v="437"/>
    <x v="435"/>
    <x v="437"/>
  </r>
  <r>
    <x v="438"/>
    <x v="18"/>
    <x v="0"/>
    <x v="6"/>
    <x v="5"/>
    <x v="0"/>
    <x v="274"/>
    <x v="0"/>
    <x v="0"/>
    <x v="50"/>
    <x v="438"/>
    <x v="436"/>
    <x v="438"/>
  </r>
  <r>
    <x v="439"/>
    <x v="19"/>
    <x v="6"/>
    <x v="1"/>
    <x v="66"/>
    <x v="0"/>
    <x v="220"/>
    <x v="1"/>
    <x v="1"/>
    <x v="107"/>
    <x v="439"/>
    <x v="437"/>
    <x v="439"/>
  </r>
  <r>
    <x v="440"/>
    <x v="20"/>
    <x v="1"/>
    <x v="7"/>
    <x v="67"/>
    <x v="0"/>
    <x v="225"/>
    <x v="2"/>
    <x v="2"/>
    <x v="28"/>
    <x v="440"/>
    <x v="438"/>
    <x v="440"/>
  </r>
  <r>
    <x v="441"/>
    <x v="21"/>
    <x v="7"/>
    <x v="0"/>
    <x v="68"/>
    <x v="0"/>
    <x v="275"/>
    <x v="3"/>
    <x v="3"/>
    <x v="191"/>
    <x v="441"/>
    <x v="439"/>
    <x v="441"/>
  </r>
  <r>
    <x v="442"/>
    <x v="22"/>
    <x v="0"/>
    <x v="7"/>
    <x v="69"/>
    <x v="0"/>
    <x v="46"/>
    <x v="4"/>
    <x v="4"/>
    <x v="135"/>
    <x v="442"/>
    <x v="440"/>
    <x v="442"/>
  </r>
  <r>
    <x v="443"/>
    <x v="23"/>
    <x v="7"/>
    <x v="1"/>
    <x v="70"/>
    <x v="0"/>
    <x v="276"/>
    <x v="5"/>
    <x v="5"/>
    <x v="27"/>
    <x v="443"/>
    <x v="441"/>
    <x v="443"/>
  </r>
  <r>
    <x v="444"/>
    <x v="24"/>
    <x v="1"/>
    <x v="8"/>
    <x v="71"/>
    <x v="0"/>
    <x v="72"/>
    <x v="0"/>
    <x v="0"/>
    <x v="40"/>
    <x v="444"/>
    <x v="442"/>
    <x v="444"/>
  </r>
  <r>
    <x v="445"/>
    <x v="25"/>
    <x v="8"/>
    <x v="0"/>
    <x v="72"/>
    <x v="0"/>
    <x v="242"/>
    <x v="1"/>
    <x v="1"/>
    <x v="173"/>
    <x v="445"/>
    <x v="443"/>
    <x v="445"/>
  </r>
  <r>
    <x v="446"/>
    <x v="26"/>
    <x v="2"/>
    <x v="5"/>
    <x v="73"/>
    <x v="0"/>
    <x v="134"/>
    <x v="2"/>
    <x v="2"/>
    <x v="41"/>
    <x v="446"/>
    <x v="444"/>
    <x v="446"/>
  </r>
  <r>
    <x v="447"/>
    <x v="27"/>
    <x v="5"/>
    <x v="2"/>
    <x v="74"/>
    <x v="0"/>
    <x v="277"/>
    <x v="3"/>
    <x v="3"/>
    <x v="108"/>
    <x v="447"/>
    <x v="445"/>
    <x v="447"/>
  </r>
  <r>
    <x v="448"/>
    <x v="28"/>
    <x v="4"/>
    <x v="1"/>
    <x v="75"/>
    <x v="0"/>
    <x v="86"/>
    <x v="4"/>
    <x v="4"/>
    <x v="192"/>
    <x v="448"/>
    <x v="446"/>
    <x v="448"/>
  </r>
  <r>
    <x v="449"/>
    <x v="29"/>
    <x v="0"/>
    <x v="4"/>
    <x v="76"/>
    <x v="0"/>
    <x v="278"/>
    <x v="5"/>
    <x v="5"/>
    <x v="71"/>
    <x v="449"/>
    <x v="447"/>
    <x v="449"/>
  </r>
  <r>
    <x v="450"/>
    <x v="0"/>
    <x v="0"/>
    <x v="0"/>
    <x v="77"/>
    <x v="0"/>
    <x v="191"/>
    <x v="0"/>
    <x v="0"/>
    <x v="193"/>
    <x v="450"/>
    <x v="448"/>
    <x v="450"/>
  </r>
  <r>
    <x v="451"/>
    <x v="1"/>
    <x v="1"/>
    <x v="1"/>
    <x v="78"/>
    <x v="0"/>
    <x v="184"/>
    <x v="1"/>
    <x v="1"/>
    <x v="140"/>
    <x v="451"/>
    <x v="449"/>
    <x v="451"/>
  </r>
  <r>
    <x v="452"/>
    <x v="2"/>
    <x v="1"/>
    <x v="2"/>
    <x v="79"/>
    <x v="0"/>
    <x v="105"/>
    <x v="2"/>
    <x v="2"/>
    <x v="46"/>
    <x v="452"/>
    <x v="450"/>
    <x v="452"/>
  </r>
  <r>
    <x v="453"/>
    <x v="3"/>
    <x v="2"/>
    <x v="0"/>
    <x v="80"/>
    <x v="0"/>
    <x v="279"/>
    <x v="3"/>
    <x v="3"/>
    <x v="93"/>
    <x v="453"/>
    <x v="451"/>
    <x v="453"/>
  </r>
  <r>
    <x v="454"/>
    <x v="4"/>
    <x v="0"/>
    <x v="2"/>
    <x v="81"/>
    <x v="0"/>
    <x v="280"/>
    <x v="4"/>
    <x v="4"/>
    <x v="194"/>
    <x v="454"/>
    <x v="452"/>
    <x v="454"/>
  </r>
  <r>
    <x v="455"/>
    <x v="5"/>
    <x v="2"/>
    <x v="1"/>
    <x v="82"/>
    <x v="0"/>
    <x v="168"/>
    <x v="5"/>
    <x v="5"/>
    <x v="86"/>
    <x v="455"/>
    <x v="453"/>
    <x v="455"/>
  </r>
  <r>
    <x v="456"/>
    <x v="6"/>
    <x v="0"/>
    <x v="3"/>
    <x v="15"/>
    <x v="3"/>
    <x v="17"/>
    <x v="0"/>
    <x v="0"/>
    <x v="13"/>
    <x v="456"/>
    <x v="454"/>
    <x v="456"/>
  </r>
  <r>
    <x v="457"/>
    <x v="7"/>
    <x v="3"/>
    <x v="1"/>
    <x v="83"/>
    <x v="3"/>
    <x v="163"/>
    <x v="1"/>
    <x v="1"/>
    <x v="18"/>
    <x v="457"/>
    <x v="455"/>
    <x v="457"/>
  </r>
  <r>
    <x v="458"/>
    <x v="8"/>
    <x v="1"/>
    <x v="4"/>
    <x v="84"/>
    <x v="3"/>
    <x v="281"/>
    <x v="2"/>
    <x v="2"/>
    <x v="19"/>
    <x v="458"/>
    <x v="456"/>
    <x v="458"/>
  </r>
  <r>
    <x v="459"/>
    <x v="9"/>
    <x v="4"/>
    <x v="0"/>
    <x v="85"/>
    <x v="3"/>
    <x v="282"/>
    <x v="3"/>
    <x v="3"/>
    <x v="139"/>
    <x v="459"/>
    <x v="457"/>
    <x v="459"/>
  </r>
  <r>
    <x v="460"/>
    <x v="10"/>
    <x v="2"/>
    <x v="3"/>
    <x v="86"/>
    <x v="3"/>
    <x v="83"/>
    <x v="4"/>
    <x v="4"/>
    <x v="195"/>
    <x v="460"/>
    <x v="458"/>
    <x v="460"/>
  </r>
  <r>
    <x v="461"/>
    <x v="11"/>
    <x v="3"/>
    <x v="2"/>
    <x v="87"/>
    <x v="3"/>
    <x v="283"/>
    <x v="5"/>
    <x v="5"/>
    <x v="71"/>
    <x v="461"/>
    <x v="459"/>
    <x v="461"/>
  </r>
  <r>
    <x v="462"/>
    <x v="12"/>
    <x v="0"/>
    <x v="5"/>
    <x v="88"/>
    <x v="3"/>
    <x v="284"/>
    <x v="0"/>
    <x v="0"/>
    <x v="104"/>
    <x v="462"/>
    <x v="460"/>
    <x v="462"/>
  </r>
  <r>
    <x v="463"/>
    <x v="13"/>
    <x v="5"/>
    <x v="1"/>
    <x v="3"/>
    <x v="3"/>
    <x v="5"/>
    <x v="1"/>
    <x v="1"/>
    <x v="62"/>
    <x v="463"/>
    <x v="461"/>
    <x v="463"/>
  </r>
  <r>
    <x v="464"/>
    <x v="14"/>
    <x v="1"/>
    <x v="5"/>
    <x v="89"/>
    <x v="3"/>
    <x v="69"/>
    <x v="2"/>
    <x v="2"/>
    <x v="84"/>
    <x v="464"/>
    <x v="462"/>
    <x v="464"/>
  </r>
  <r>
    <x v="465"/>
    <x v="15"/>
    <x v="5"/>
    <x v="0"/>
    <x v="90"/>
    <x v="3"/>
    <x v="285"/>
    <x v="3"/>
    <x v="3"/>
    <x v="155"/>
    <x v="465"/>
    <x v="463"/>
    <x v="465"/>
  </r>
  <r>
    <x v="466"/>
    <x v="16"/>
    <x v="2"/>
    <x v="6"/>
    <x v="91"/>
    <x v="3"/>
    <x v="240"/>
    <x v="4"/>
    <x v="4"/>
    <x v="196"/>
    <x v="466"/>
    <x v="464"/>
    <x v="466"/>
  </r>
  <r>
    <x v="467"/>
    <x v="17"/>
    <x v="6"/>
    <x v="2"/>
    <x v="92"/>
    <x v="3"/>
    <x v="286"/>
    <x v="5"/>
    <x v="5"/>
    <x v="49"/>
    <x v="467"/>
    <x v="465"/>
    <x v="467"/>
  </r>
  <r>
    <x v="468"/>
    <x v="18"/>
    <x v="0"/>
    <x v="6"/>
    <x v="93"/>
    <x v="3"/>
    <x v="208"/>
    <x v="0"/>
    <x v="0"/>
    <x v="154"/>
    <x v="468"/>
    <x v="466"/>
    <x v="468"/>
  </r>
  <r>
    <x v="469"/>
    <x v="19"/>
    <x v="6"/>
    <x v="1"/>
    <x v="94"/>
    <x v="3"/>
    <x v="135"/>
    <x v="1"/>
    <x v="1"/>
    <x v="99"/>
    <x v="469"/>
    <x v="467"/>
    <x v="469"/>
  </r>
  <r>
    <x v="470"/>
    <x v="20"/>
    <x v="1"/>
    <x v="7"/>
    <x v="95"/>
    <x v="3"/>
    <x v="101"/>
    <x v="2"/>
    <x v="2"/>
    <x v="76"/>
    <x v="470"/>
    <x v="468"/>
    <x v="470"/>
  </r>
  <r>
    <x v="471"/>
    <x v="21"/>
    <x v="7"/>
    <x v="0"/>
    <x v="96"/>
    <x v="3"/>
    <x v="123"/>
    <x v="3"/>
    <x v="3"/>
    <x v="116"/>
    <x v="471"/>
    <x v="469"/>
    <x v="471"/>
  </r>
  <r>
    <x v="472"/>
    <x v="22"/>
    <x v="0"/>
    <x v="7"/>
    <x v="97"/>
    <x v="3"/>
    <x v="287"/>
    <x v="4"/>
    <x v="4"/>
    <x v="197"/>
    <x v="472"/>
    <x v="470"/>
    <x v="472"/>
  </r>
  <r>
    <x v="473"/>
    <x v="23"/>
    <x v="7"/>
    <x v="1"/>
    <x v="98"/>
    <x v="3"/>
    <x v="288"/>
    <x v="5"/>
    <x v="5"/>
    <x v="89"/>
    <x v="473"/>
    <x v="471"/>
    <x v="473"/>
  </r>
  <r>
    <x v="474"/>
    <x v="24"/>
    <x v="1"/>
    <x v="8"/>
    <x v="99"/>
    <x v="3"/>
    <x v="289"/>
    <x v="0"/>
    <x v="0"/>
    <x v="62"/>
    <x v="474"/>
    <x v="472"/>
    <x v="474"/>
  </r>
  <r>
    <x v="475"/>
    <x v="25"/>
    <x v="8"/>
    <x v="0"/>
    <x v="10"/>
    <x v="3"/>
    <x v="227"/>
    <x v="1"/>
    <x v="1"/>
    <x v="104"/>
    <x v="475"/>
    <x v="473"/>
    <x v="475"/>
  </r>
  <r>
    <x v="476"/>
    <x v="26"/>
    <x v="2"/>
    <x v="5"/>
    <x v="100"/>
    <x v="3"/>
    <x v="290"/>
    <x v="2"/>
    <x v="2"/>
    <x v="68"/>
    <x v="476"/>
    <x v="474"/>
    <x v="476"/>
  </r>
  <r>
    <x v="477"/>
    <x v="27"/>
    <x v="5"/>
    <x v="2"/>
    <x v="101"/>
    <x v="3"/>
    <x v="109"/>
    <x v="3"/>
    <x v="3"/>
    <x v="139"/>
    <x v="477"/>
    <x v="475"/>
    <x v="477"/>
  </r>
  <r>
    <x v="478"/>
    <x v="28"/>
    <x v="4"/>
    <x v="1"/>
    <x v="102"/>
    <x v="3"/>
    <x v="139"/>
    <x v="4"/>
    <x v="4"/>
    <x v="198"/>
    <x v="478"/>
    <x v="476"/>
    <x v="478"/>
  </r>
  <r>
    <x v="479"/>
    <x v="29"/>
    <x v="0"/>
    <x v="4"/>
    <x v="103"/>
    <x v="3"/>
    <x v="264"/>
    <x v="5"/>
    <x v="5"/>
    <x v="136"/>
    <x v="479"/>
    <x v="477"/>
    <x v="479"/>
  </r>
  <r>
    <x v="480"/>
    <x v="0"/>
    <x v="0"/>
    <x v="0"/>
    <x v="104"/>
    <x v="3"/>
    <x v="291"/>
    <x v="0"/>
    <x v="0"/>
    <x v="12"/>
    <x v="480"/>
    <x v="478"/>
    <x v="480"/>
  </r>
  <r>
    <x v="481"/>
    <x v="1"/>
    <x v="1"/>
    <x v="1"/>
    <x v="105"/>
    <x v="3"/>
    <x v="275"/>
    <x v="1"/>
    <x v="1"/>
    <x v="59"/>
    <x v="481"/>
    <x v="479"/>
    <x v="481"/>
  </r>
  <r>
    <x v="482"/>
    <x v="2"/>
    <x v="1"/>
    <x v="2"/>
    <x v="106"/>
    <x v="3"/>
    <x v="74"/>
    <x v="2"/>
    <x v="2"/>
    <x v="93"/>
    <x v="482"/>
    <x v="480"/>
    <x v="482"/>
  </r>
  <r>
    <x v="483"/>
    <x v="3"/>
    <x v="2"/>
    <x v="0"/>
    <x v="107"/>
    <x v="3"/>
    <x v="196"/>
    <x v="3"/>
    <x v="3"/>
    <x v="105"/>
    <x v="483"/>
    <x v="481"/>
    <x v="483"/>
  </r>
  <r>
    <x v="484"/>
    <x v="4"/>
    <x v="0"/>
    <x v="2"/>
    <x v="108"/>
    <x v="3"/>
    <x v="292"/>
    <x v="4"/>
    <x v="4"/>
    <x v="131"/>
    <x v="484"/>
    <x v="482"/>
    <x v="484"/>
  </r>
  <r>
    <x v="485"/>
    <x v="5"/>
    <x v="2"/>
    <x v="1"/>
    <x v="109"/>
    <x v="3"/>
    <x v="12"/>
    <x v="5"/>
    <x v="5"/>
    <x v="114"/>
    <x v="485"/>
    <x v="483"/>
    <x v="485"/>
  </r>
  <r>
    <x v="486"/>
    <x v="6"/>
    <x v="0"/>
    <x v="3"/>
    <x v="2"/>
    <x v="2"/>
    <x v="280"/>
    <x v="0"/>
    <x v="0"/>
    <x v="199"/>
    <x v="486"/>
    <x v="484"/>
    <x v="486"/>
  </r>
  <r>
    <x v="487"/>
    <x v="7"/>
    <x v="3"/>
    <x v="1"/>
    <x v="110"/>
    <x v="2"/>
    <x v="163"/>
    <x v="1"/>
    <x v="1"/>
    <x v="14"/>
    <x v="487"/>
    <x v="215"/>
    <x v="487"/>
  </r>
  <r>
    <x v="488"/>
    <x v="8"/>
    <x v="1"/>
    <x v="4"/>
    <x v="111"/>
    <x v="2"/>
    <x v="76"/>
    <x v="2"/>
    <x v="2"/>
    <x v="58"/>
    <x v="488"/>
    <x v="485"/>
    <x v="488"/>
  </r>
  <r>
    <x v="489"/>
    <x v="9"/>
    <x v="4"/>
    <x v="0"/>
    <x v="112"/>
    <x v="2"/>
    <x v="293"/>
    <x v="3"/>
    <x v="3"/>
    <x v="200"/>
    <x v="489"/>
    <x v="486"/>
    <x v="489"/>
  </r>
  <r>
    <x v="490"/>
    <x v="10"/>
    <x v="2"/>
    <x v="3"/>
    <x v="113"/>
    <x v="2"/>
    <x v="174"/>
    <x v="4"/>
    <x v="4"/>
    <x v="201"/>
    <x v="490"/>
    <x v="487"/>
    <x v="490"/>
  </r>
  <r>
    <x v="491"/>
    <x v="11"/>
    <x v="3"/>
    <x v="2"/>
    <x v="114"/>
    <x v="2"/>
    <x v="39"/>
    <x v="5"/>
    <x v="5"/>
    <x v="202"/>
    <x v="491"/>
    <x v="488"/>
    <x v="491"/>
  </r>
  <r>
    <x v="492"/>
    <x v="12"/>
    <x v="0"/>
    <x v="5"/>
    <x v="23"/>
    <x v="2"/>
    <x v="29"/>
    <x v="0"/>
    <x v="0"/>
    <x v="124"/>
    <x v="492"/>
    <x v="489"/>
    <x v="492"/>
  </r>
  <r>
    <x v="493"/>
    <x v="13"/>
    <x v="5"/>
    <x v="1"/>
    <x v="115"/>
    <x v="2"/>
    <x v="294"/>
    <x v="1"/>
    <x v="1"/>
    <x v="29"/>
    <x v="493"/>
    <x v="490"/>
    <x v="493"/>
  </r>
  <r>
    <x v="494"/>
    <x v="14"/>
    <x v="1"/>
    <x v="5"/>
    <x v="116"/>
    <x v="2"/>
    <x v="242"/>
    <x v="2"/>
    <x v="2"/>
    <x v="122"/>
    <x v="494"/>
    <x v="491"/>
    <x v="494"/>
  </r>
  <r>
    <x v="495"/>
    <x v="15"/>
    <x v="5"/>
    <x v="0"/>
    <x v="117"/>
    <x v="2"/>
    <x v="295"/>
    <x v="3"/>
    <x v="3"/>
    <x v="15"/>
    <x v="495"/>
    <x v="492"/>
    <x v="495"/>
  </r>
  <r>
    <x v="496"/>
    <x v="16"/>
    <x v="2"/>
    <x v="6"/>
    <x v="24"/>
    <x v="2"/>
    <x v="296"/>
    <x v="4"/>
    <x v="4"/>
    <x v="159"/>
    <x v="496"/>
    <x v="493"/>
    <x v="496"/>
  </r>
  <r>
    <x v="497"/>
    <x v="17"/>
    <x v="6"/>
    <x v="2"/>
    <x v="118"/>
    <x v="2"/>
    <x v="44"/>
    <x v="5"/>
    <x v="5"/>
    <x v="71"/>
    <x v="497"/>
    <x v="494"/>
    <x v="497"/>
  </r>
  <r>
    <x v="498"/>
    <x v="18"/>
    <x v="0"/>
    <x v="6"/>
    <x v="119"/>
    <x v="2"/>
    <x v="119"/>
    <x v="0"/>
    <x v="0"/>
    <x v="107"/>
    <x v="498"/>
    <x v="495"/>
    <x v="498"/>
  </r>
  <r>
    <x v="499"/>
    <x v="19"/>
    <x v="6"/>
    <x v="1"/>
    <x v="120"/>
    <x v="2"/>
    <x v="297"/>
    <x v="1"/>
    <x v="1"/>
    <x v="203"/>
    <x v="499"/>
    <x v="496"/>
    <x v="499"/>
  </r>
  <r>
    <x v="500"/>
    <x v="20"/>
    <x v="1"/>
    <x v="7"/>
    <x v="121"/>
    <x v="2"/>
    <x v="47"/>
    <x v="2"/>
    <x v="2"/>
    <x v="67"/>
    <x v="500"/>
    <x v="497"/>
    <x v="500"/>
  </r>
  <r>
    <x v="501"/>
    <x v="21"/>
    <x v="7"/>
    <x v="0"/>
    <x v="122"/>
    <x v="2"/>
    <x v="216"/>
    <x v="3"/>
    <x v="3"/>
    <x v="120"/>
    <x v="501"/>
    <x v="498"/>
    <x v="501"/>
  </r>
  <r>
    <x v="502"/>
    <x v="22"/>
    <x v="0"/>
    <x v="7"/>
    <x v="123"/>
    <x v="2"/>
    <x v="260"/>
    <x v="4"/>
    <x v="4"/>
    <x v="204"/>
    <x v="502"/>
    <x v="499"/>
    <x v="502"/>
  </r>
  <r>
    <x v="503"/>
    <x v="23"/>
    <x v="7"/>
    <x v="1"/>
    <x v="11"/>
    <x v="2"/>
    <x v="298"/>
    <x v="5"/>
    <x v="5"/>
    <x v="66"/>
    <x v="503"/>
    <x v="500"/>
    <x v="503"/>
  </r>
  <r>
    <x v="504"/>
    <x v="24"/>
    <x v="1"/>
    <x v="8"/>
    <x v="6"/>
    <x v="2"/>
    <x v="142"/>
    <x v="0"/>
    <x v="0"/>
    <x v="122"/>
    <x v="504"/>
    <x v="501"/>
    <x v="504"/>
  </r>
  <r>
    <x v="505"/>
    <x v="25"/>
    <x v="8"/>
    <x v="0"/>
    <x v="124"/>
    <x v="2"/>
    <x v="258"/>
    <x v="1"/>
    <x v="1"/>
    <x v="90"/>
    <x v="505"/>
    <x v="502"/>
    <x v="505"/>
  </r>
  <r>
    <x v="506"/>
    <x v="26"/>
    <x v="2"/>
    <x v="5"/>
    <x v="125"/>
    <x v="2"/>
    <x v="109"/>
    <x v="2"/>
    <x v="2"/>
    <x v="182"/>
    <x v="506"/>
    <x v="503"/>
    <x v="506"/>
  </r>
  <r>
    <x v="507"/>
    <x v="27"/>
    <x v="5"/>
    <x v="2"/>
    <x v="126"/>
    <x v="2"/>
    <x v="299"/>
    <x v="3"/>
    <x v="3"/>
    <x v="116"/>
    <x v="507"/>
    <x v="504"/>
    <x v="507"/>
  </r>
  <r>
    <x v="508"/>
    <x v="28"/>
    <x v="4"/>
    <x v="1"/>
    <x v="127"/>
    <x v="2"/>
    <x v="300"/>
    <x v="4"/>
    <x v="4"/>
    <x v="205"/>
    <x v="508"/>
    <x v="505"/>
    <x v="508"/>
  </r>
  <r>
    <x v="509"/>
    <x v="29"/>
    <x v="0"/>
    <x v="4"/>
    <x v="128"/>
    <x v="2"/>
    <x v="250"/>
    <x v="5"/>
    <x v="5"/>
    <x v="114"/>
    <x v="509"/>
    <x v="506"/>
    <x v="509"/>
  </r>
  <r>
    <x v="510"/>
    <x v="0"/>
    <x v="0"/>
    <x v="0"/>
    <x v="129"/>
    <x v="2"/>
    <x v="13"/>
    <x v="0"/>
    <x v="0"/>
    <x v="3"/>
    <x v="510"/>
    <x v="507"/>
    <x v="510"/>
  </r>
  <r>
    <x v="511"/>
    <x v="1"/>
    <x v="1"/>
    <x v="1"/>
    <x v="130"/>
    <x v="2"/>
    <x v="286"/>
    <x v="1"/>
    <x v="1"/>
    <x v="52"/>
    <x v="511"/>
    <x v="508"/>
    <x v="511"/>
  </r>
  <r>
    <x v="512"/>
    <x v="2"/>
    <x v="1"/>
    <x v="2"/>
    <x v="14"/>
    <x v="2"/>
    <x v="215"/>
    <x v="2"/>
    <x v="2"/>
    <x v="47"/>
    <x v="512"/>
    <x v="509"/>
    <x v="512"/>
  </r>
  <r>
    <x v="513"/>
    <x v="3"/>
    <x v="2"/>
    <x v="0"/>
    <x v="20"/>
    <x v="2"/>
    <x v="280"/>
    <x v="3"/>
    <x v="3"/>
    <x v="206"/>
    <x v="513"/>
    <x v="510"/>
    <x v="513"/>
  </r>
  <r>
    <x v="514"/>
    <x v="4"/>
    <x v="0"/>
    <x v="2"/>
    <x v="131"/>
    <x v="2"/>
    <x v="301"/>
    <x v="4"/>
    <x v="4"/>
    <x v="4"/>
    <x v="514"/>
    <x v="511"/>
    <x v="514"/>
  </r>
  <r>
    <x v="515"/>
    <x v="5"/>
    <x v="2"/>
    <x v="1"/>
    <x v="132"/>
    <x v="2"/>
    <x v="183"/>
    <x v="5"/>
    <x v="5"/>
    <x v="5"/>
    <x v="515"/>
    <x v="512"/>
    <x v="515"/>
  </r>
  <r>
    <x v="516"/>
    <x v="6"/>
    <x v="0"/>
    <x v="3"/>
    <x v="133"/>
    <x v="2"/>
    <x v="280"/>
    <x v="0"/>
    <x v="0"/>
    <x v="51"/>
    <x v="516"/>
    <x v="513"/>
    <x v="516"/>
  </r>
  <r>
    <x v="517"/>
    <x v="7"/>
    <x v="3"/>
    <x v="1"/>
    <x v="134"/>
    <x v="1"/>
    <x v="152"/>
    <x v="1"/>
    <x v="1"/>
    <x v="68"/>
    <x v="517"/>
    <x v="514"/>
    <x v="517"/>
  </r>
  <r>
    <x v="518"/>
    <x v="8"/>
    <x v="1"/>
    <x v="4"/>
    <x v="1"/>
    <x v="1"/>
    <x v="302"/>
    <x v="2"/>
    <x v="2"/>
    <x v="154"/>
    <x v="518"/>
    <x v="515"/>
    <x v="518"/>
  </r>
  <r>
    <x v="519"/>
    <x v="9"/>
    <x v="4"/>
    <x v="0"/>
    <x v="135"/>
    <x v="1"/>
    <x v="303"/>
    <x v="3"/>
    <x v="3"/>
    <x v="126"/>
    <x v="519"/>
    <x v="516"/>
    <x v="519"/>
  </r>
  <r>
    <x v="520"/>
    <x v="10"/>
    <x v="2"/>
    <x v="3"/>
    <x v="136"/>
    <x v="1"/>
    <x v="304"/>
    <x v="4"/>
    <x v="4"/>
    <x v="207"/>
    <x v="520"/>
    <x v="517"/>
    <x v="520"/>
  </r>
  <r>
    <x v="521"/>
    <x v="11"/>
    <x v="3"/>
    <x v="2"/>
    <x v="137"/>
    <x v="1"/>
    <x v="76"/>
    <x v="5"/>
    <x v="5"/>
    <x v="39"/>
    <x v="521"/>
    <x v="518"/>
    <x v="521"/>
  </r>
  <r>
    <x v="522"/>
    <x v="12"/>
    <x v="0"/>
    <x v="5"/>
    <x v="138"/>
    <x v="1"/>
    <x v="217"/>
    <x v="0"/>
    <x v="0"/>
    <x v="50"/>
    <x v="522"/>
    <x v="519"/>
    <x v="522"/>
  </r>
  <r>
    <x v="523"/>
    <x v="13"/>
    <x v="5"/>
    <x v="1"/>
    <x v="139"/>
    <x v="1"/>
    <x v="280"/>
    <x v="1"/>
    <x v="1"/>
    <x v="125"/>
    <x v="523"/>
    <x v="520"/>
    <x v="523"/>
  </r>
  <r>
    <x v="524"/>
    <x v="14"/>
    <x v="1"/>
    <x v="5"/>
    <x v="21"/>
    <x v="1"/>
    <x v="229"/>
    <x v="2"/>
    <x v="2"/>
    <x v="177"/>
    <x v="524"/>
    <x v="521"/>
    <x v="524"/>
  </r>
  <r>
    <x v="525"/>
    <x v="15"/>
    <x v="5"/>
    <x v="0"/>
    <x v="140"/>
    <x v="1"/>
    <x v="208"/>
    <x v="3"/>
    <x v="3"/>
    <x v="208"/>
    <x v="525"/>
    <x v="522"/>
    <x v="525"/>
  </r>
  <r>
    <x v="526"/>
    <x v="16"/>
    <x v="2"/>
    <x v="6"/>
    <x v="141"/>
    <x v="1"/>
    <x v="197"/>
    <x v="4"/>
    <x v="4"/>
    <x v="209"/>
    <x v="526"/>
    <x v="523"/>
    <x v="526"/>
  </r>
  <r>
    <x v="527"/>
    <x v="17"/>
    <x v="6"/>
    <x v="2"/>
    <x v="142"/>
    <x v="1"/>
    <x v="305"/>
    <x v="5"/>
    <x v="5"/>
    <x v="33"/>
    <x v="527"/>
    <x v="524"/>
    <x v="527"/>
  </r>
  <r>
    <x v="528"/>
    <x v="18"/>
    <x v="0"/>
    <x v="6"/>
    <x v="143"/>
    <x v="1"/>
    <x v="119"/>
    <x v="0"/>
    <x v="0"/>
    <x v="14"/>
    <x v="528"/>
    <x v="139"/>
    <x v="528"/>
  </r>
  <r>
    <x v="529"/>
    <x v="19"/>
    <x v="6"/>
    <x v="1"/>
    <x v="144"/>
    <x v="1"/>
    <x v="6"/>
    <x v="1"/>
    <x v="1"/>
    <x v="81"/>
    <x v="529"/>
    <x v="525"/>
    <x v="529"/>
  </r>
  <r>
    <x v="530"/>
    <x v="20"/>
    <x v="1"/>
    <x v="7"/>
    <x v="17"/>
    <x v="1"/>
    <x v="73"/>
    <x v="2"/>
    <x v="2"/>
    <x v="178"/>
    <x v="530"/>
    <x v="526"/>
    <x v="530"/>
  </r>
  <r>
    <x v="531"/>
    <x v="21"/>
    <x v="7"/>
    <x v="0"/>
    <x v="145"/>
    <x v="1"/>
    <x v="306"/>
    <x v="3"/>
    <x v="3"/>
    <x v="90"/>
    <x v="531"/>
    <x v="527"/>
    <x v="531"/>
  </r>
  <r>
    <x v="532"/>
    <x v="22"/>
    <x v="0"/>
    <x v="7"/>
    <x v="146"/>
    <x v="1"/>
    <x v="277"/>
    <x v="4"/>
    <x v="4"/>
    <x v="210"/>
    <x v="532"/>
    <x v="528"/>
    <x v="532"/>
  </r>
  <r>
    <x v="533"/>
    <x v="23"/>
    <x v="7"/>
    <x v="1"/>
    <x v="147"/>
    <x v="1"/>
    <x v="278"/>
    <x v="5"/>
    <x v="5"/>
    <x v="119"/>
    <x v="533"/>
    <x v="529"/>
    <x v="533"/>
  </r>
  <r>
    <x v="534"/>
    <x v="24"/>
    <x v="1"/>
    <x v="8"/>
    <x v="148"/>
    <x v="1"/>
    <x v="307"/>
    <x v="0"/>
    <x v="0"/>
    <x v="51"/>
    <x v="534"/>
    <x v="530"/>
    <x v="534"/>
  </r>
  <r>
    <x v="535"/>
    <x v="25"/>
    <x v="8"/>
    <x v="0"/>
    <x v="149"/>
    <x v="1"/>
    <x v="31"/>
    <x v="1"/>
    <x v="1"/>
    <x v="199"/>
    <x v="535"/>
    <x v="531"/>
    <x v="535"/>
  </r>
  <r>
    <x v="536"/>
    <x v="26"/>
    <x v="2"/>
    <x v="5"/>
    <x v="150"/>
    <x v="1"/>
    <x v="25"/>
    <x v="2"/>
    <x v="2"/>
    <x v="87"/>
    <x v="536"/>
    <x v="532"/>
    <x v="536"/>
  </r>
  <r>
    <x v="537"/>
    <x v="27"/>
    <x v="5"/>
    <x v="2"/>
    <x v="151"/>
    <x v="1"/>
    <x v="145"/>
    <x v="3"/>
    <x v="3"/>
    <x v="211"/>
    <x v="537"/>
    <x v="533"/>
    <x v="537"/>
  </r>
  <r>
    <x v="538"/>
    <x v="28"/>
    <x v="4"/>
    <x v="1"/>
    <x v="152"/>
    <x v="1"/>
    <x v="104"/>
    <x v="4"/>
    <x v="4"/>
    <x v="16"/>
    <x v="538"/>
    <x v="534"/>
    <x v="538"/>
  </r>
  <r>
    <x v="539"/>
    <x v="29"/>
    <x v="0"/>
    <x v="4"/>
    <x v="153"/>
    <x v="1"/>
    <x v="274"/>
    <x v="5"/>
    <x v="5"/>
    <x v="91"/>
    <x v="539"/>
    <x v="535"/>
    <x v="539"/>
  </r>
  <r>
    <x v="540"/>
    <x v="0"/>
    <x v="0"/>
    <x v="0"/>
    <x v="7"/>
    <x v="1"/>
    <x v="147"/>
    <x v="0"/>
    <x v="0"/>
    <x v="20"/>
    <x v="540"/>
    <x v="536"/>
    <x v="540"/>
  </r>
  <r>
    <x v="541"/>
    <x v="1"/>
    <x v="1"/>
    <x v="1"/>
    <x v="25"/>
    <x v="1"/>
    <x v="267"/>
    <x v="1"/>
    <x v="1"/>
    <x v="107"/>
    <x v="541"/>
    <x v="537"/>
    <x v="541"/>
  </r>
  <r>
    <x v="542"/>
    <x v="2"/>
    <x v="1"/>
    <x v="2"/>
    <x v="12"/>
    <x v="1"/>
    <x v="308"/>
    <x v="2"/>
    <x v="2"/>
    <x v="199"/>
    <x v="542"/>
    <x v="538"/>
    <x v="542"/>
  </r>
  <r>
    <x v="543"/>
    <x v="3"/>
    <x v="2"/>
    <x v="0"/>
    <x v="154"/>
    <x v="1"/>
    <x v="258"/>
    <x v="3"/>
    <x v="3"/>
    <x v="212"/>
    <x v="543"/>
    <x v="539"/>
    <x v="543"/>
  </r>
  <r>
    <x v="544"/>
    <x v="4"/>
    <x v="0"/>
    <x v="2"/>
    <x v="155"/>
    <x v="1"/>
    <x v="252"/>
    <x v="4"/>
    <x v="4"/>
    <x v="213"/>
    <x v="544"/>
    <x v="540"/>
    <x v="544"/>
  </r>
  <r>
    <x v="545"/>
    <x v="5"/>
    <x v="2"/>
    <x v="1"/>
    <x v="156"/>
    <x v="1"/>
    <x v="309"/>
    <x v="5"/>
    <x v="5"/>
    <x v="33"/>
    <x v="545"/>
    <x v="541"/>
    <x v="545"/>
  </r>
  <r>
    <x v="546"/>
    <x v="6"/>
    <x v="0"/>
    <x v="3"/>
    <x v="157"/>
    <x v="1"/>
    <x v="310"/>
    <x v="0"/>
    <x v="0"/>
    <x v="67"/>
    <x v="546"/>
    <x v="542"/>
    <x v="546"/>
  </r>
  <r>
    <x v="547"/>
    <x v="7"/>
    <x v="3"/>
    <x v="1"/>
    <x v="158"/>
    <x v="6"/>
    <x v="311"/>
    <x v="1"/>
    <x v="1"/>
    <x v="177"/>
    <x v="547"/>
    <x v="543"/>
    <x v="547"/>
  </r>
  <r>
    <x v="548"/>
    <x v="8"/>
    <x v="1"/>
    <x v="4"/>
    <x v="159"/>
    <x v="6"/>
    <x v="312"/>
    <x v="2"/>
    <x v="2"/>
    <x v="79"/>
    <x v="548"/>
    <x v="544"/>
    <x v="548"/>
  </r>
  <r>
    <x v="549"/>
    <x v="9"/>
    <x v="4"/>
    <x v="0"/>
    <x v="160"/>
    <x v="6"/>
    <x v="313"/>
    <x v="3"/>
    <x v="3"/>
    <x v="191"/>
    <x v="549"/>
    <x v="545"/>
    <x v="549"/>
  </r>
  <r>
    <x v="550"/>
    <x v="10"/>
    <x v="2"/>
    <x v="3"/>
    <x v="161"/>
    <x v="6"/>
    <x v="314"/>
    <x v="4"/>
    <x v="4"/>
    <x v="214"/>
    <x v="550"/>
    <x v="546"/>
    <x v="550"/>
  </r>
  <r>
    <x v="551"/>
    <x v="11"/>
    <x v="3"/>
    <x v="2"/>
    <x v="162"/>
    <x v="6"/>
    <x v="191"/>
    <x v="5"/>
    <x v="5"/>
    <x v="44"/>
    <x v="551"/>
    <x v="547"/>
    <x v="551"/>
  </r>
  <r>
    <x v="552"/>
    <x v="12"/>
    <x v="0"/>
    <x v="5"/>
    <x v="163"/>
    <x v="6"/>
    <x v="315"/>
    <x v="0"/>
    <x v="0"/>
    <x v="28"/>
    <x v="552"/>
    <x v="548"/>
    <x v="552"/>
  </r>
  <r>
    <x v="553"/>
    <x v="13"/>
    <x v="5"/>
    <x v="1"/>
    <x v="164"/>
    <x v="6"/>
    <x v="316"/>
    <x v="1"/>
    <x v="1"/>
    <x v="177"/>
    <x v="553"/>
    <x v="549"/>
    <x v="553"/>
  </r>
  <r>
    <x v="554"/>
    <x v="14"/>
    <x v="1"/>
    <x v="5"/>
    <x v="165"/>
    <x v="6"/>
    <x v="120"/>
    <x v="2"/>
    <x v="2"/>
    <x v="177"/>
    <x v="554"/>
    <x v="550"/>
    <x v="554"/>
  </r>
  <r>
    <x v="555"/>
    <x v="15"/>
    <x v="5"/>
    <x v="0"/>
    <x v="166"/>
    <x v="6"/>
    <x v="317"/>
    <x v="3"/>
    <x v="3"/>
    <x v="93"/>
    <x v="555"/>
    <x v="551"/>
    <x v="555"/>
  </r>
  <r>
    <x v="556"/>
    <x v="16"/>
    <x v="2"/>
    <x v="6"/>
    <x v="167"/>
    <x v="6"/>
    <x v="98"/>
    <x v="4"/>
    <x v="4"/>
    <x v="121"/>
    <x v="556"/>
    <x v="552"/>
    <x v="556"/>
  </r>
  <r>
    <x v="557"/>
    <x v="17"/>
    <x v="6"/>
    <x v="2"/>
    <x v="168"/>
    <x v="6"/>
    <x v="318"/>
    <x v="5"/>
    <x v="5"/>
    <x v="215"/>
    <x v="557"/>
    <x v="553"/>
    <x v="557"/>
  </r>
  <r>
    <x v="558"/>
    <x v="18"/>
    <x v="0"/>
    <x v="6"/>
    <x v="169"/>
    <x v="6"/>
    <x v="249"/>
    <x v="0"/>
    <x v="0"/>
    <x v="13"/>
    <x v="558"/>
    <x v="554"/>
    <x v="558"/>
  </r>
  <r>
    <x v="559"/>
    <x v="19"/>
    <x v="6"/>
    <x v="1"/>
    <x v="170"/>
    <x v="6"/>
    <x v="142"/>
    <x v="1"/>
    <x v="1"/>
    <x v="36"/>
    <x v="559"/>
    <x v="555"/>
    <x v="559"/>
  </r>
  <r>
    <x v="560"/>
    <x v="20"/>
    <x v="1"/>
    <x v="7"/>
    <x v="171"/>
    <x v="6"/>
    <x v="319"/>
    <x v="2"/>
    <x v="2"/>
    <x v="81"/>
    <x v="560"/>
    <x v="556"/>
    <x v="560"/>
  </r>
  <r>
    <x v="561"/>
    <x v="21"/>
    <x v="7"/>
    <x v="0"/>
    <x v="172"/>
    <x v="6"/>
    <x v="320"/>
    <x v="3"/>
    <x v="3"/>
    <x v="216"/>
    <x v="561"/>
    <x v="557"/>
    <x v="561"/>
  </r>
  <r>
    <x v="562"/>
    <x v="22"/>
    <x v="0"/>
    <x v="7"/>
    <x v="173"/>
    <x v="6"/>
    <x v="321"/>
    <x v="4"/>
    <x v="4"/>
    <x v="113"/>
    <x v="562"/>
    <x v="558"/>
    <x v="562"/>
  </r>
  <r>
    <x v="563"/>
    <x v="23"/>
    <x v="7"/>
    <x v="1"/>
    <x v="174"/>
    <x v="6"/>
    <x v="274"/>
    <x v="5"/>
    <x v="5"/>
    <x v="5"/>
    <x v="563"/>
    <x v="559"/>
    <x v="563"/>
  </r>
  <r>
    <x v="564"/>
    <x v="24"/>
    <x v="1"/>
    <x v="8"/>
    <x v="175"/>
    <x v="6"/>
    <x v="70"/>
    <x v="0"/>
    <x v="0"/>
    <x v="79"/>
    <x v="564"/>
    <x v="560"/>
    <x v="564"/>
  </r>
  <r>
    <x v="565"/>
    <x v="25"/>
    <x v="8"/>
    <x v="0"/>
    <x v="176"/>
    <x v="6"/>
    <x v="82"/>
    <x v="1"/>
    <x v="1"/>
    <x v="90"/>
    <x v="565"/>
    <x v="561"/>
    <x v="565"/>
  </r>
  <r>
    <x v="566"/>
    <x v="26"/>
    <x v="2"/>
    <x v="5"/>
    <x v="177"/>
    <x v="6"/>
    <x v="186"/>
    <x v="2"/>
    <x v="2"/>
    <x v="1"/>
    <x v="566"/>
    <x v="562"/>
    <x v="566"/>
  </r>
  <r>
    <x v="567"/>
    <x v="27"/>
    <x v="5"/>
    <x v="2"/>
    <x v="178"/>
    <x v="6"/>
    <x v="197"/>
    <x v="3"/>
    <x v="3"/>
    <x v="169"/>
    <x v="567"/>
    <x v="563"/>
    <x v="567"/>
  </r>
  <r>
    <x v="568"/>
    <x v="28"/>
    <x v="4"/>
    <x v="1"/>
    <x v="179"/>
    <x v="6"/>
    <x v="322"/>
    <x v="4"/>
    <x v="4"/>
    <x v="217"/>
    <x v="568"/>
    <x v="564"/>
    <x v="568"/>
  </r>
  <r>
    <x v="569"/>
    <x v="29"/>
    <x v="0"/>
    <x v="4"/>
    <x v="180"/>
    <x v="6"/>
    <x v="175"/>
    <x v="5"/>
    <x v="5"/>
    <x v="119"/>
    <x v="569"/>
    <x v="565"/>
    <x v="569"/>
  </r>
  <r>
    <x v="570"/>
    <x v="0"/>
    <x v="0"/>
    <x v="0"/>
    <x v="181"/>
    <x v="6"/>
    <x v="122"/>
    <x v="0"/>
    <x v="0"/>
    <x v="1"/>
    <x v="570"/>
    <x v="566"/>
    <x v="570"/>
  </r>
  <r>
    <x v="571"/>
    <x v="1"/>
    <x v="1"/>
    <x v="1"/>
    <x v="182"/>
    <x v="6"/>
    <x v="291"/>
    <x v="1"/>
    <x v="1"/>
    <x v="76"/>
    <x v="571"/>
    <x v="567"/>
    <x v="571"/>
  </r>
  <r>
    <x v="572"/>
    <x v="2"/>
    <x v="1"/>
    <x v="2"/>
    <x v="183"/>
    <x v="6"/>
    <x v="63"/>
    <x v="2"/>
    <x v="2"/>
    <x v="13"/>
    <x v="572"/>
    <x v="568"/>
    <x v="572"/>
  </r>
  <r>
    <x v="573"/>
    <x v="3"/>
    <x v="2"/>
    <x v="0"/>
    <x v="184"/>
    <x v="6"/>
    <x v="57"/>
    <x v="3"/>
    <x v="3"/>
    <x v="218"/>
    <x v="573"/>
    <x v="569"/>
    <x v="573"/>
  </r>
  <r>
    <x v="574"/>
    <x v="4"/>
    <x v="0"/>
    <x v="2"/>
    <x v="185"/>
    <x v="6"/>
    <x v="323"/>
    <x v="4"/>
    <x v="4"/>
    <x v="219"/>
    <x v="574"/>
    <x v="570"/>
    <x v="574"/>
  </r>
  <r>
    <x v="575"/>
    <x v="5"/>
    <x v="2"/>
    <x v="1"/>
    <x v="186"/>
    <x v="6"/>
    <x v="207"/>
    <x v="5"/>
    <x v="5"/>
    <x v="153"/>
    <x v="575"/>
    <x v="571"/>
    <x v="575"/>
  </r>
  <r>
    <x v="576"/>
    <x v="6"/>
    <x v="0"/>
    <x v="3"/>
    <x v="187"/>
    <x v="6"/>
    <x v="324"/>
    <x v="0"/>
    <x v="0"/>
    <x v="76"/>
    <x v="576"/>
    <x v="572"/>
    <x v="576"/>
  </r>
  <r>
    <x v="577"/>
    <x v="7"/>
    <x v="3"/>
    <x v="1"/>
    <x v="188"/>
    <x v="6"/>
    <x v="325"/>
    <x v="1"/>
    <x v="1"/>
    <x v="72"/>
    <x v="577"/>
    <x v="573"/>
    <x v="577"/>
  </r>
  <r>
    <x v="578"/>
    <x v="8"/>
    <x v="1"/>
    <x v="4"/>
    <x v="189"/>
    <x v="7"/>
    <x v="31"/>
    <x v="2"/>
    <x v="2"/>
    <x v="47"/>
    <x v="578"/>
    <x v="574"/>
    <x v="578"/>
  </r>
  <r>
    <x v="579"/>
    <x v="9"/>
    <x v="4"/>
    <x v="0"/>
    <x v="190"/>
    <x v="7"/>
    <x v="9"/>
    <x v="3"/>
    <x v="3"/>
    <x v="64"/>
    <x v="579"/>
    <x v="575"/>
    <x v="579"/>
  </r>
  <r>
    <x v="580"/>
    <x v="10"/>
    <x v="2"/>
    <x v="3"/>
    <x v="191"/>
    <x v="7"/>
    <x v="311"/>
    <x v="4"/>
    <x v="4"/>
    <x v="220"/>
    <x v="580"/>
    <x v="576"/>
    <x v="580"/>
  </r>
  <r>
    <x v="581"/>
    <x v="11"/>
    <x v="3"/>
    <x v="2"/>
    <x v="192"/>
    <x v="7"/>
    <x v="326"/>
    <x v="5"/>
    <x v="5"/>
    <x v="102"/>
    <x v="581"/>
    <x v="577"/>
    <x v="581"/>
  </r>
  <r>
    <x v="582"/>
    <x v="12"/>
    <x v="0"/>
    <x v="5"/>
    <x v="193"/>
    <x v="7"/>
    <x v="327"/>
    <x v="0"/>
    <x v="0"/>
    <x v="72"/>
    <x v="582"/>
    <x v="578"/>
    <x v="582"/>
  </r>
  <r>
    <x v="583"/>
    <x v="13"/>
    <x v="5"/>
    <x v="1"/>
    <x v="194"/>
    <x v="7"/>
    <x v="138"/>
    <x v="1"/>
    <x v="1"/>
    <x v="0"/>
    <x v="583"/>
    <x v="579"/>
    <x v="583"/>
  </r>
  <r>
    <x v="584"/>
    <x v="14"/>
    <x v="1"/>
    <x v="5"/>
    <x v="195"/>
    <x v="7"/>
    <x v="328"/>
    <x v="2"/>
    <x v="2"/>
    <x v="52"/>
    <x v="584"/>
    <x v="580"/>
    <x v="584"/>
  </r>
  <r>
    <x v="585"/>
    <x v="15"/>
    <x v="5"/>
    <x v="0"/>
    <x v="196"/>
    <x v="7"/>
    <x v="110"/>
    <x v="3"/>
    <x v="3"/>
    <x v="87"/>
    <x v="585"/>
    <x v="581"/>
    <x v="585"/>
  </r>
  <r>
    <x v="586"/>
    <x v="16"/>
    <x v="2"/>
    <x v="6"/>
    <x v="197"/>
    <x v="7"/>
    <x v="329"/>
    <x v="4"/>
    <x v="4"/>
    <x v="74"/>
    <x v="586"/>
    <x v="582"/>
    <x v="586"/>
  </r>
  <r>
    <x v="587"/>
    <x v="17"/>
    <x v="6"/>
    <x v="2"/>
    <x v="198"/>
    <x v="7"/>
    <x v="276"/>
    <x v="5"/>
    <x v="5"/>
    <x v="5"/>
    <x v="587"/>
    <x v="583"/>
    <x v="587"/>
  </r>
  <r>
    <x v="588"/>
    <x v="18"/>
    <x v="0"/>
    <x v="6"/>
    <x v="199"/>
    <x v="7"/>
    <x v="3"/>
    <x v="0"/>
    <x v="0"/>
    <x v="104"/>
    <x v="588"/>
    <x v="584"/>
    <x v="588"/>
  </r>
  <r>
    <x v="589"/>
    <x v="19"/>
    <x v="6"/>
    <x v="1"/>
    <x v="200"/>
    <x v="7"/>
    <x v="283"/>
    <x v="1"/>
    <x v="1"/>
    <x v="46"/>
    <x v="589"/>
    <x v="585"/>
    <x v="589"/>
  </r>
  <r>
    <x v="590"/>
    <x v="20"/>
    <x v="1"/>
    <x v="7"/>
    <x v="201"/>
    <x v="7"/>
    <x v="330"/>
    <x v="2"/>
    <x v="2"/>
    <x v="103"/>
    <x v="590"/>
    <x v="586"/>
    <x v="590"/>
  </r>
  <r>
    <x v="591"/>
    <x v="21"/>
    <x v="7"/>
    <x v="0"/>
    <x v="202"/>
    <x v="7"/>
    <x v="259"/>
    <x v="3"/>
    <x v="3"/>
    <x v="132"/>
    <x v="591"/>
    <x v="587"/>
    <x v="591"/>
  </r>
  <r>
    <x v="592"/>
    <x v="22"/>
    <x v="0"/>
    <x v="7"/>
    <x v="203"/>
    <x v="7"/>
    <x v="152"/>
    <x v="4"/>
    <x v="4"/>
    <x v="176"/>
    <x v="592"/>
    <x v="588"/>
    <x v="592"/>
  </r>
  <r>
    <x v="593"/>
    <x v="23"/>
    <x v="7"/>
    <x v="1"/>
    <x v="204"/>
    <x v="7"/>
    <x v="22"/>
    <x v="5"/>
    <x v="5"/>
    <x v="49"/>
    <x v="593"/>
    <x v="589"/>
    <x v="593"/>
  </r>
  <r>
    <x v="594"/>
    <x v="24"/>
    <x v="1"/>
    <x v="8"/>
    <x v="205"/>
    <x v="7"/>
    <x v="111"/>
    <x v="0"/>
    <x v="0"/>
    <x v="68"/>
    <x v="594"/>
    <x v="590"/>
    <x v="594"/>
  </r>
  <r>
    <x v="595"/>
    <x v="25"/>
    <x v="8"/>
    <x v="0"/>
    <x v="206"/>
    <x v="7"/>
    <x v="151"/>
    <x v="1"/>
    <x v="1"/>
    <x v="98"/>
    <x v="595"/>
    <x v="591"/>
    <x v="595"/>
  </r>
  <r>
    <x v="596"/>
    <x v="26"/>
    <x v="2"/>
    <x v="5"/>
    <x v="207"/>
    <x v="7"/>
    <x v="328"/>
    <x v="2"/>
    <x v="2"/>
    <x v="24"/>
    <x v="596"/>
    <x v="592"/>
    <x v="596"/>
  </r>
  <r>
    <x v="597"/>
    <x v="27"/>
    <x v="5"/>
    <x v="2"/>
    <x v="208"/>
    <x v="7"/>
    <x v="254"/>
    <x v="3"/>
    <x v="3"/>
    <x v="42"/>
    <x v="597"/>
    <x v="593"/>
    <x v="597"/>
  </r>
  <r>
    <x v="598"/>
    <x v="28"/>
    <x v="4"/>
    <x v="1"/>
    <x v="209"/>
    <x v="7"/>
    <x v="310"/>
    <x v="4"/>
    <x v="4"/>
    <x v="221"/>
    <x v="598"/>
    <x v="594"/>
    <x v="598"/>
  </r>
  <r>
    <x v="599"/>
    <x v="29"/>
    <x v="0"/>
    <x v="4"/>
    <x v="210"/>
    <x v="7"/>
    <x v="13"/>
    <x v="5"/>
    <x v="5"/>
    <x v="102"/>
    <x v="599"/>
    <x v="595"/>
    <x v="599"/>
  </r>
  <r>
    <x v="600"/>
    <x v="0"/>
    <x v="0"/>
    <x v="0"/>
    <x v="211"/>
    <x v="7"/>
    <x v="134"/>
    <x v="0"/>
    <x v="0"/>
    <x v="125"/>
    <x v="600"/>
    <x v="596"/>
    <x v="600"/>
  </r>
  <r>
    <x v="601"/>
    <x v="1"/>
    <x v="1"/>
    <x v="1"/>
    <x v="212"/>
    <x v="7"/>
    <x v="191"/>
    <x v="1"/>
    <x v="1"/>
    <x v="14"/>
    <x v="601"/>
    <x v="597"/>
    <x v="601"/>
  </r>
  <r>
    <x v="602"/>
    <x v="2"/>
    <x v="1"/>
    <x v="2"/>
    <x v="213"/>
    <x v="7"/>
    <x v="2"/>
    <x v="2"/>
    <x v="2"/>
    <x v="50"/>
    <x v="602"/>
    <x v="598"/>
    <x v="602"/>
  </r>
  <r>
    <x v="603"/>
    <x v="3"/>
    <x v="2"/>
    <x v="0"/>
    <x v="214"/>
    <x v="7"/>
    <x v="317"/>
    <x v="3"/>
    <x v="3"/>
    <x v="175"/>
    <x v="603"/>
    <x v="599"/>
    <x v="603"/>
  </r>
  <r>
    <x v="604"/>
    <x v="4"/>
    <x v="0"/>
    <x v="2"/>
    <x v="215"/>
    <x v="7"/>
    <x v="14"/>
    <x v="4"/>
    <x v="4"/>
    <x v="123"/>
    <x v="604"/>
    <x v="600"/>
    <x v="604"/>
  </r>
  <r>
    <x v="605"/>
    <x v="5"/>
    <x v="2"/>
    <x v="1"/>
    <x v="216"/>
    <x v="7"/>
    <x v="129"/>
    <x v="5"/>
    <x v="5"/>
    <x v="39"/>
    <x v="605"/>
    <x v="601"/>
    <x v="605"/>
  </r>
  <r>
    <x v="606"/>
    <x v="6"/>
    <x v="0"/>
    <x v="3"/>
    <x v="217"/>
    <x v="7"/>
    <x v="160"/>
    <x v="0"/>
    <x v="0"/>
    <x v="76"/>
    <x v="606"/>
    <x v="602"/>
    <x v="606"/>
  </r>
  <r>
    <x v="607"/>
    <x v="7"/>
    <x v="3"/>
    <x v="1"/>
    <x v="218"/>
    <x v="7"/>
    <x v="217"/>
    <x v="1"/>
    <x v="1"/>
    <x v="36"/>
    <x v="607"/>
    <x v="536"/>
    <x v="607"/>
  </r>
  <r>
    <x v="608"/>
    <x v="8"/>
    <x v="1"/>
    <x v="4"/>
    <x v="219"/>
    <x v="7"/>
    <x v="37"/>
    <x v="2"/>
    <x v="2"/>
    <x v="139"/>
    <x v="608"/>
    <x v="603"/>
    <x v="608"/>
  </r>
  <r>
    <x v="609"/>
    <x v="9"/>
    <x v="4"/>
    <x v="0"/>
    <x v="220"/>
    <x v="8"/>
    <x v="299"/>
    <x v="3"/>
    <x v="3"/>
    <x v="58"/>
    <x v="609"/>
    <x v="604"/>
    <x v="609"/>
  </r>
  <r>
    <x v="610"/>
    <x v="10"/>
    <x v="2"/>
    <x v="3"/>
    <x v="221"/>
    <x v="8"/>
    <x v="239"/>
    <x v="4"/>
    <x v="4"/>
    <x v="222"/>
    <x v="610"/>
    <x v="605"/>
    <x v="610"/>
  </r>
  <r>
    <x v="611"/>
    <x v="11"/>
    <x v="3"/>
    <x v="2"/>
    <x v="222"/>
    <x v="8"/>
    <x v="283"/>
    <x v="5"/>
    <x v="5"/>
    <x v="102"/>
    <x v="611"/>
    <x v="606"/>
    <x v="611"/>
  </r>
  <r>
    <x v="612"/>
    <x v="12"/>
    <x v="0"/>
    <x v="5"/>
    <x v="223"/>
    <x v="8"/>
    <x v="163"/>
    <x v="0"/>
    <x v="0"/>
    <x v="81"/>
    <x v="612"/>
    <x v="607"/>
    <x v="612"/>
  </r>
  <r>
    <x v="613"/>
    <x v="13"/>
    <x v="5"/>
    <x v="1"/>
    <x v="224"/>
    <x v="8"/>
    <x v="181"/>
    <x v="1"/>
    <x v="1"/>
    <x v="87"/>
    <x v="613"/>
    <x v="608"/>
    <x v="613"/>
  </r>
  <r>
    <x v="614"/>
    <x v="14"/>
    <x v="1"/>
    <x v="5"/>
    <x v="225"/>
    <x v="8"/>
    <x v="191"/>
    <x v="2"/>
    <x v="2"/>
    <x v="203"/>
    <x v="614"/>
    <x v="609"/>
    <x v="614"/>
  </r>
  <r>
    <x v="615"/>
    <x v="15"/>
    <x v="5"/>
    <x v="0"/>
    <x v="226"/>
    <x v="8"/>
    <x v="331"/>
    <x v="3"/>
    <x v="3"/>
    <x v="182"/>
    <x v="615"/>
    <x v="610"/>
    <x v="615"/>
  </r>
  <r>
    <x v="616"/>
    <x v="16"/>
    <x v="2"/>
    <x v="6"/>
    <x v="227"/>
    <x v="8"/>
    <x v="332"/>
    <x v="4"/>
    <x v="4"/>
    <x v="10"/>
    <x v="616"/>
    <x v="611"/>
    <x v="616"/>
  </r>
  <r>
    <x v="617"/>
    <x v="17"/>
    <x v="6"/>
    <x v="2"/>
    <x v="228"/>
    <x v="8"/>
    <x v="113"/>
    <x v="5"/>
    <x v="5"/>
    <x v="119"/>
    <x v="617"/>
    <x v="612"/>
    <x v="617"/>
  </r>
  <r>
    <x v="618"/>
    <x v="18"/>
    <x v="0"/>
    <x v="6"/>
    <x v="229"/>
    <x v="8"/>
    <x v="254"/>
    <x v="0"/>
    <x v="0"/>
    <x v="14"/>
    <x v="618"/>
    <x v="613"/>
    <x v="618"/>
  </r>
  <r>
    <x v="619"/>
    <x v="19"/>
    <x v="6"/>
    <x v="1"/>
    <x v="230"/>
    <x v="8"/>
    <x v="258"/>
    <x v="1"/>
    <x v="1"/>
    <x v="139"/>
    <x v="619"/>
    <x v="614"/>
    <x v="619"/>
  </r>
  <r>
    <x v="620"/>
    <x v="20"/>
    <x v="1"/>
    <x v="7"/>
    <x v="231"/>
    <x v="8"/>
    <x v="333"/>
    <x v="2"/>
    <x v="2"/>
    <x v="59"/>
    <x v="620"/>
    <x v="615"/>
    <x v="620"/>
  </r>
  <r>
    <x v="621"/>
    <x v="21"/>
    <x v="7"/>
    <x v="0"/>
    <x v="232"/>
    <x v="8"/>
    <x v="334"/>
    <x v="3"/>
    <x v="3"/>
    <x v="132"/>
    <x v="621"/>
    <x v="616"/>
    <x v="621"/>
  </r>
  <r>
    <x v="622"/>
    <x v="22"/>
    <x v="0"/>
    <x v="7"/>
    <x v="233"/>
    <x v="8"/>
    <x v="317"/>
    <x v="4"/>
    <x v="4"/>
    <x v="223"/>
    <x v="622"/>
    <x v="617"/>
    <x v="622"/>
  </r>
  <r>
    <x v="623"/>
    <x v="23"/>
    <x v="7"/>
    <x v="1"/>
    <x v="234"/>
    <x v="8"/>
    <x v="66"/>
    <x v="5"/>
    <x v="5"/>
    <x v="153"/>
    <x v="623"/>
    <x v="618"/>
    <x v="623"/>
  </r>
  <r>
    <x v="624"/>
    <x v="24"/>
    <x v="1"/>
    <x v="8"/>
    <x v="235"/>
    <x v="8"/>
    <x v="46"/>
    <x v="0"/>
    <x v="0"/>
    <x v="15"/>
    <x v="624"/>
    <x v="619"/>
    <x v="624"/>
  </r>
  <r>
    <x v="625"/>
    <x v="25"/>
    <x v="8"/>
    <x v="0"/>
    <x v="236"/>
    <x v="8"/>
    <x v="92"/>
    <x v="1"/>
    <x v="1"/>
    <x v="23"/>
    <x v="625"/>
    <x v="620"/>
    <x v="625"/>
  </r>
  <r>
    <x v="626"/>
    <x v="26"/>
    <x v="2"/>
    <x v="5"/>
    <x v="237"/>
    <x v="8"/>
    <x v="184"/>
    <x v="2"/>
    <x v="2"/>
    <x v="42"/>
    <x v="626"/>
    <x v="621"/>
    <x v="626"/>
  </r>
  <r>
    <x v="627"/>
    <x v="27"/>
    <x v="5"/>
    <x v="2"/>
    <x v="238"/>
    <x v="8"/>
    <x v="147"/>
    <x v="3"/>
    <x v="3"/>
    <x v="112"/>
    <x v="627"/>
    <x v="622"/>
    <x v="627"/>
  </r>
  <r>
    <x v="628"/>
    <x v="28"/>
    <x v="4"/>
    <x v="1"/>
    <x v="239"/>
    <x v="8"/>
    <x v="27"/>
    <x v="4"/>
    <x v="4"/>
    <x v="141"/>
    <x v="628"/>
    <x v="623"/>
    <x v="628"/>
  </r>
  <r>
    <x v="629"/>
    <x v="29"/>
    <x v="0"/>
    <x v="4"/>
    <x v="240"/>
    <x v="8"/>
    <x v="70"/>
    <x v="5"/>
    <x v="5"/>
    <x v="136"/>
    <x v="629"/>
    <x v="624"/>
    <x v="629"/>
  </r>
  <r>
    <x v="630"/>
    <x v="0"/>
    <x v="0"/>
    <x v="0"/>
    <x v="241"/>
    <x v="8"/>
    <x v="46"/>
    <x v="0"/>
    <x v="0"/>
    <x v="103"/>
    <x v="630"/>
    <x v="625"/>
    <x v="630"/>
  </r>
  <r>
    <x v="631"/>
    <x v="1"/>
    <x v="1"/>
    <x v="1"/>
    <x v="242"/>
    <x v="8"/>
    <x v="234"/>
    <x v="1"/>
    <x v="1"/>
    <x v="0"/>
    <x v="631"/>
    <x v="626"/>
    <x v="631"/>
  </r>
  <r>
    <x v="632"/>
    <x v="2"/>
    <x v="1"/>
    <x v="2"/>
    <x v="243"/>
    <x v="8"/>
    <x v="39"/>
    <x v="2"/>
    <x v="2"/>
    <x v="14"/>
    <x v="632"/>
    <x v="627"/>
    <x v="632"/>
  </r>
  <r>
    <x v="633"/>
    <x v="3"/>
    <x v="2"/>
    <x v="0"/>
    <x v="244"/>
    <x v="8"/>
    <x v="335"/>
    <x v="3"/>
    <x v="3"/>
    <x v="224"/>
    <x v="633"/>
    <x v="628"/>
    <x v="633"/>
  </r>
  <r>
    <x v="634"/>
    <x v="4"/>
    <x v="0"/>
    <x v="2"/>
    <x v="245"/>
    <x v="8"/>
    <x v="262"/>
    <x v="4"/>
    <x v="4"/>
    <x v="92"/>
    <x v="634"/>
    <x v="629"/>
    <x v="634"/>
  </r>
  <r>
    <x v="635"/>
    <x v="5"/>
    <x v="2"/>
    <x v="1"/>
    <x v="246"/>
    <x v="8"/>
    <x v="34"/>
    <x v="5"/>
    <x v="5"/>
    <x v="225"/>
    <x v="635"/>
    <x v="630"/>
    <x v="635"/>
  </r>
  <r>
    <x v="636"/>
    <x v="6"/>
    <x v="0"/>
    <x v="3"/>
    <x v="247"/>
    <x v="8"/>
    <x v="167"/>
    <x v="0"/>
    <x v="0"/>
    <x v="34"/>
    <x v="636"/>
    <x v="631"/>
    <x v="636"/>
  </r>
  <r>
    <x v="637"/>
    <x v="7"/>
    <x v="3"/>
    <x v="1"/>
    <x v="248"/>
    <x v="8"/>
    <x v="62"/>
    <x v="1"/>
    <x v="1"/>
    <x v="2"/>
    <x v="637"/>
    <x v="632"/>
    <x v="637"/>
  </r>
  <r>
    <x v="638"/>
    <x v="8"/>
    <x v="1"/>
    <x v="4"/>
    <x v="249"/>
    <x v="8"/>
    <x v="336"/>
    <x v="2"/>
    <x v="2"/>
    <x v="45"/>
    <x v="638"/>
    <x v="633"/>
    <x v="638"/>
  </r>
  <r>
    <x v="639"/>
    <x v="9"/>
    <x v="4"/>
    <x v="0"/>
    <x v="250"/>
    <x v="9"/>
    <x v="193"/>
    <x v="3"/>
    <x v="3"/>
    <x v="47"/>
    <x v="639"/>
    <x v="634"/>
    <x v="639"/>
  </r>
  <r>
    <x v="640"/>
    <x v="10"/>
    <x v="2"/>
    <x v="3"/>
    <x v="251"/>
    <x v="9"/>
    <x v="337"/>
    <x v="4"/>
    <x v="4"/>
    <x v="121"/>
    <x v="640"/>
    <x v="635"/>
    <x v="640"/>
  </r>
  <r>
    <x v="641"/>
    <x v="11"/>
    <x v="3"/>
    <x v="2"/>
    <x v="252"/>
    <x v="9"/>
    <x v="175"/>
    <x v="5"/>
    <x v="5"/>
    <x v="44"/>
    <x v="641"/>
    <x v="636"/>
    <x v="641"/>
  </r>
  <r>
    <x v="642"/>
    <x v="12"/>
    <x v="0"/>
    <x v="5"/>
    <x v="253"/>
    <x v="9"/>
    <x v="70"/>
    <x v="0"/>
    <x v="0"/>
    <x v="177"/>
    <x v="642"/>
    <x v="637"/>
    <x v="642"/>
  </r>
  <r>
    <x v="643"/>
    <x v="13"/>
    <x v="5"/>
    <x v="1"/>
    <x v="254"/>
    <x v="9"/>
    <x v="338"/>
    <x v="1"/>
    <x v="1"/>
    <x v="140"/>
    <x v="643"/>
    <x v="638"/>
    <x v="643"/>
  </r>
  <r>
    <x v="644"/>
    <x v="14"/>
    <x v="1"/>
    <x v="5"/>
    <x v="255"/>
    <x v="9"/>
    <x v="21"/>
    <x v="2"/>
    <x v="2"/>
    <x v="122"/>
    <x v="644"/>
    <x v="639"/>
    <x v="644"/>
  </r>
  <r>
    <x v="645"/>
    <x v="15"/>
    <x v="5"/>
    <x v="0"/>
    <x v="256"/>
    <x v="9"/>
    <x v="36"/>
    <x v="3"/>
    <x v="3"/>
    <x v="164"/>
    <x v="645"/>
    <x v="640"/>
    <x v="645"/>
  </r>
  <r>
    <x v="646"/>
    <x v="16"/>
    <x v="2"/>
    <x v="6"/>
    <x v="257"/>
    <x v="9"/>
    <x v="232"/>
    <x v="4"/>
    <x v="4"/>
    <x v="226"/>
    <x v="646"/>
    <x v="641"/>
    <x v="646"/>
  </r>
  <r>
    <x v="647"/>
    <x v="17"/>
    <x v="6"/>
    <x v="2"/>
    <x v="258"/>
    <x v="9"/>
    <x v="339"/>
    <x v="5"/>
    <x v="5"/>
    <x v="119"/>
    <x v="647"/>
    <x v="642"/>
    <x v="647"/>
  </r>
  <r>
    <x v="648"/>
    <x v="18"/>
    <x v="0"/>
    <x v="6"/>
    <x v="259"/>
    <x v="9"/>
    <x v="316"/>
    <x v="0"/>
    <x v="0"/>
    <x v="72"/>
    <x v="648"/>
    <x v="643"/>
    <x v="648"/>
  </r>
  <r>
    <x v="649"/>
    <x v="19"/>
    <x v="6"/>
    <x v="1"/>
    <x v="260"/>
    <x v="9"/>
    <x v="225"/>
    <x v="1"/>
    <x v="1"/>
    <x v="76"/>
    <x v="649"/>
    <x v="644"/>
    <x v="649"/>
  </r>
  <r>
    <x v="650"/>
    <x v="20"/>
    <x v="1"/>
    <x v="7"/>
    <x v="261"/>
    <x v="9"/>
    <x v="259"/>
    <x v="2"/>
    <x v="2"/>
    <x v="139"/>
    <x v="650"/>
    <x v="645"/>
    <x v="650"/>
  </r>
  <r>
    <x v="651"/>
    <x v="21"/>
    <x v="7"/>
    <x v="0"/>
    <x v="262"/>
    <x v="9"/>
    <x v="293"/>
    <x v="3"/>
    <x v="3"/>
    <x v="35"/>
    <x v="651"/>
    <x v="646"/>
    <x v="651"/>
  </r>
  <r>
    <x v="652"/>
    <x v="22"/>
    <x v="0"/>
    <x v="7"/>
    <x v="263"/>
    <x v="9"/>
    <x v="271"/>
    <x v="4"/>
    <x v="4"/>
    <x v="227"/>
    <x v="652"/>
    <x v="647"/>
    <x v="652"/>
  </r>
  <r>
    <x v="653"/>
    <x v="23"/>
    <x v="7"/>
    <x v="1"/>
    <x v="264"/>
    <x v="9"/>
    <x v="160"/>
    <x v="5"/>
    <x v="5"/>
    <x v="17"/>
    <x v="653"/>
    <x v="648"/>
    <x v="653"/>
  </r>
  <r>
    <x v="654"/>
    <x v="24"/>
    <x v="1"/>
    <x v="8"/>
    <x v="265"/>
    <x v="9"/>
    <x v="115"/>
    <x v="0"/>
    <x v="0"/>
    <x v="115"/>
    <x v="654"/>
    <x v="649"/>
    <x v="654"/>
  </r>
  <r>
    <x v="655"/>
    <x v="25"/>
    <x v="8"/>
    <x v="0"/>
    <x v="266"/>
    <x v="9"/>
    <x v="265"/>
    <x v="1"/>
    <x v="1"/>
    <x v="46"/>
    <x v="655"/>
    <x v="650"/>
    <x v="655"/>
  </r>
  <r>
    <x v="656"/>
    <x v="26"/>
    <x v="2"/>
    <x v="5"/>
    <x v="267"/>
    <x v="9"/>
    <x v="340"/>
    <x v="2"/>
    <x v="2"/>
    <x v="40"/>
    <x v="656"/>
    <x v="651"/>
    <x v="656"/>
  </r>
  <r>
    <x v="657"/>
    <x v="27"/>
    <x v="5"/>
    <x v="2"/>
    <x v="268"/>
    <x v="9"/>
    <x v="341"/>
    <x v="3"/>
    <x v="3"/>
    <x v="100"/>
    <x v="657"/>
    <x v="652"/>
    <x v="657"/>
  </r>
  <r>
    <x v="658"/>
    <x v="28"/>
    <x v="4"/>
    <x v="1"/>
    <x v="269"/>
    <x v="9"/>
    <x v="273"/>
    <x v="4"/>
    <x v="4"/>
    <x v="197"/>
    <x v="658"/>
    <x v="653"/>
    <x v="658"/>
  </r>
  <r>
    <x v="659"/>
    <x v="29"/>
    <x v="0"/>
    <x v="4"/>
    <x v="270"/>
    <x v="9"/>
    <x v="342"/>
    <x v="5"/>
    <x v="5"/>
    <x v="11"/>
    <x v="659"/>
    <x v="654"/>
    <x v="659"/>
  </r>
  <r>
    <x v="660"/>
    <x v="0"/>
    <x v="0"/>
    <x v="0"/>
    <x v="271"/>
    <x v="9"/>
    <x v="205"/>
    <x v="0"/>
    <x v="0"/>
    <x v="69"/>
    <x v="660"/>
    <x v="655"/>
    <x v="660"/>
  </r>
  <r>
    <x v="661"/>
    <x v="1"/>
    <x v="1"/>
    <x v="1"/>
    <x v="272"/>
    <x v="9"/>
    <x v="220"/>
    <x v="1"/>
    <x v="1"/>
    <x v="90"/>
    <x v="661"/>
    <x v="656"/>
    <x v="661"/>
  </r>
  <r>
    <x v="662"/>
    <x v="2"/>
    <x v="1"/>
    <x v="2"/>
    <x v="273"/>
    <x v="9"/>
    <x v="224"/>
    <x v="2"/>
    <x v="2"/>
    <x v="57"/>
    <x v="662"/>
    <x v="657"/>
    <x v="662"/>
  </r>
  <r>
    <x v="663"/>
    <x v="3"/>
    <x v="2"/>
    <x v="0"/>
    <x v="274"/>
    <x v="9"/>
    <x v="194"/>
    <x v="3"/>
    <x v="3"/>
    <x v="147"/>
    <x v="663"/>
    <x v="658"/>
    <x v="663"/>
  </r>
  <r>
    <x v="664"/>
    <x v="4"/>
    <x v="0"/>
    <x v="2"/>
    <x v="275"/>
    <x v="9"/>
    <x v="343"/>
    <x v="4"/>
    <x v="4"/>
    <x v="196"/>
    <x v="664"/>
    <x v="659"/>
    <x v="664"/>
  </r>
  <r>
    <x v="665"/>
    <x v="5"/>
    <x v="2"/>
    <x v="1"/>
    <x v="276"/>
    <x v="9"/>
    <x v="198"/>
    <x v="5"/>
    <x v="5"/>
    <x v="22"/>
    <x v="665"/>
    <x v="660"/>
    <x v="665"/>
  </r>
  <r>
    <x v="666"/>
    <x v="6"/>
    <x v="0"/>
    <x v="3"/>
    <x v="277"/>
    <x v="9"/>
    <x v="344"/>
    <x v="0"/>
    <x v="0"/>
    <x v="50"/>
    <x v="666"/>
    <x v="661"/>
    <x v="666"/>
  </r>
  <r>
    <x v="667"/>
    <x v="7"/>
    <x v="3"/>
    <x v="1"/>
    <x v="278"/>
    <x v="9"/>
    <x v="345"/>
    <x v="1"/>
    <x v="1"/>
    <x v="8"/>
    <x v="667"/>
    <x v="662"/>
    <x v="667"/>
  </r>
  <r>
    <x v="668"/>
    <x v="8"/>
    <x v="1"/>
    <x v="4"/>
    <x v="279"/>
    <x v="9"/>
    <x v="173"/>
    <x v="2"/>
    <x v="2"/>
    <x v="13"/>
    <x v="668"/>
    <x v="663"/>
    <x v="668"/>
  </r>
  <r>
    <x v="669"/>
    <x v="9"/>
    <x v="4"/>
    <x v="0"/>
    <x v="280"/>
    <x v="9"/>
    <x v="297"/>
    <x v="3"/>
    <x v="3"/>
    <x v="164"/>
    <x v="669"/>
    <x v="664"/>
    <x v="669"/>
  </r>
  <r>
    <x v="670"/>
    <x v="10"/>
    <x v="2"/>
    <x v="3"/>
    <x v="281"/>
    <x v="10"/>
    <x v="125"/>
    <x v="4"/>
    <x v="4"/>
    <x v="127"/>
    <x v="670"/>
    <x v="665"/>
    <x v="670"/>
  </r>
  <r>
    <x v="671"/>
    <x v="11"/>
    <x v="3"/>
    <x v="2"/>
    <x v="282"/>
    <x v="10"/>
    <x v="346"/>
    <x v="5"/>
    <x v="5"/>
    <x v="22"/>
    <x v="671"/>
    <x v="666"/>
    <x v="671"/>
  </r>
  <r>
    <x v="672"/>
    <x v="12"/>
    <x v="0"/>
    <x v="5"/>
    <x v="283"/>
    <x v="10"/>
    <x v="347"/>
    <x v="0"/>
    <x v="0"/>
    <x v="3"/>
    <x v="672"/>
    <x v="667"/>
    <x v="672"/>
  </r>
  <r>
    <x v="673"/>
    <x v="13"/>
    <x v="5"/>
    <x v="1"/>
    <x v="284"/>
    <x v="10"/>
    <x v="94"/>
    <x v="1"/>
    <x v="1"/>
    <x v="134"/>
    <x v="673"/>
    <x v="668"/>
    <x v="673"/>
  </r>
  <r>
    <x v="674"/>
    <x v="14"/>
    <x v="1"/>
    <x v="5"/>
    <x v="285"/>
    <x v="10"/>
    <x v="82"/>
    <x v="2"/>
    <x v="2"/>
    <x v="58"/>
    <x v="674"/>
    <x v="669"/>
    <x v="674"/>
  </r>
  <r>
    <x v="675"/>
    <x v="15"/>
    <x v="5"/>
    <x v="0"/>
    <x v="286"/>
    <x v="10"/>
    <x v="348"/>
    <x v="3"/>
    <x v="3"/>
    <x v="228"/>
    <x v="675"/>
    <x v="670"/>
    <x v="675"/>
  </r>
  <r>
    <x v="676"/>
    <x v="16"/>
    <x v="2"/>
    <x v="6"/>
    <x v="287"/>
    <x v="10"/>
    <x v="349"/>
    <x v="4"/>
    <x v="4"/>
    <x v="4"/>
    <x v="676"/>
    <x v="671"/>
    <x v="676"/>
  </r>
  <r>
    <x v="677"/>
    <x v="17"/>
    <x v="6"/>
    <x v="2"/>
    <x v="288"/>
    <x v="10"/>
    <x v="346"/>
    <x v="5"/>
    <x v="5"/>
    <x v="114"/>
    <x v="677"/>
    <x v="672"/>
    <x v="677"/>
  </r>
  <r>
    <x v="678"/>
    <x v="18"/>
    <x v="0"/>
    <x v="6"/>
    <x v="289"/>
    <x v="10"/>
    <x v="263"/>
    <x v="0"/>
    <x v="0"/>
    <x v="193"/>
    <x v="678"/>
    <x v="673"/>
    <x v="678"/>
  </r>
  <r>
    <x v="679"/>
    <x v="19"/>
    <x v="6"/>
    <x v="1"/>
    <x v="290"/>
    <x v="10"/>
    <x v="283"/>
    <x v="1"/>
    <x v="1"/>
    <x v="124"/>
    <x v="679"/>
    <x v="674"/>
    <x v="679"/>
  </r>
  <r>
    <x v="680"/>
    <x v="20"/>
    <x v="1"/>
    <x v="7"/>
    <x v="291"/>
    <x v="10"/>
    <x v="347"/>
    <x v="2"/>
    <x v="2"/>
    <x v="143"/>
    <x v="680"/>
    <x v="675"/>
    <x v="680"/>
  </r>
  <r>
    <x v="681"/>
    <x v="21"/>
    <x v="7"/>
    <x v="0"/>
    <x v="292"/>
    <x v="10"/>
    <x v="350"/>
    <x v="3"/>
    <x v="3"/>
    <x v="13"/>
    <x v="681"/>
    <x v="676"/>
    <x v="681"/>
  </r>
  <r>
    <x v="682"/>
    <x v="22"/>
    <x v="0"/>
    <x v="7"/>
    <x v="293"/>
    <x v="10"/>
    <x v="351"/>
    <x v="4"/>
    <x v="4"/>
    <x v="229"/>
    <x v="682"/>
    <x v="677"/>
    <x v="682"/>
  </r>
  <r>
    <x v="683"/>
    <x v="23"/>
    <x v="7"/>
    <x v="1"/>
    <x v="294"/>
    <x v="10"/>
    <x v="24"/>
    <x v="5"/>
    <x v="5"/>
    <x v="119"/>
    <x v="683"/>
    <x v="30"/>
    <x v="683"/>
  </r>
  <r>
    <x v="684"/>
    <x v="24"/>
    <x v="1"/>
    <x v="8"/>
    <x v="295"/>
    <x v="10"/>
    <x v="184"/>
    <x v="0"/>
    <x v="0"/>
    <x v="51"/>
    <x v="684"/>
    <x v="678"/>
    <x v="684"/>
  </r>
  <r>
    <x v="685"/>
    <x v="25"/>
    <x v="8"/>
    <x v="0"/>
    <x v="296"/>
    <x v="10"/>
    <x v="225"/>
    <x v="1"/>
    <x v="1"/>
    <x v="104"/>
    <x v="685"/>
    <x v="679"/>
    <x v="685"/>
  </r>
  <r>
    <x v="686"/>
    <x v="26"/>
    <x v="2"/>
    <x v="5"/>
    <x v="297"/>
    <x v="10"/>
    <x v="56"/>
    <x v="2"/>
    <x v="2"/>
    <x v="81"/>
    <x v="686"/>
    <x v="680"/>
    <x v="686"/>
  </r>
  <r>
    <x v="687"/>
    <x v="27"/>
    <x v="5"/>
    <x v="2"/>
    <x v="298"/>
    <x v="10"/>
    <x v="352"/>
    <x v="3"/>
    <x v="3"/>
    <x v="82"/>
    <x v="687"/>
    <x v="681"/>
    <x v="687"/>
  </r>
  <r>
    <x v="688"/>
    <x v="28"/>
    <x v="4"/>
    <x v="1"/>
    <x v="299"/>
    <x v="10"/>
    <x v="47"/>
    <x v="4"/>
    <x v="4"/>
    <x v="230"/>
    <x v="688"/>
    <x v="682"/>
    <x v="688"/>
  </r>
  <r>
    <x v="689"/>
    <x v="29"/>
    <x v="0"/>
    <x v="4"/>
    <x v="300"/>
    <x v="10"/>
    <x v="288"/>
    <x v="5"/>
    <x v="5"/>
    <x v="61"/>
    <x v="689"/>
    <x v="683"/>
    <x v="689"/>
  </r>
  <r>
    <x v="690"/>
    <x v="0"/>
    <x v="0"/>
    <x v="0"/>
    <x v="301"/>
    <x v="10"/>
    <x v="29"/>
    <x v="0"/>
    <x v="0"/>
    <x v="62"/>
    <x v="690"/>
    <x v="684"/>
    <x v="690"/>
  </r>
  <r>
    <x v="691"/>
    <x v="1"/>
    <x v="1"/>
    <x v="1"/>
    <x v="302"/>
    <x v="10"/>
    <x v="25"/>
    <x v="1"/>
    <x v="1"/>
    <x v="59"/>
    <x v="691"/>
    <x v="685"/>
    <x v="691"/>
  </r>
  <r>
    <x v="692"/>
    <x v="2"/>
    <x v="1"/>
    <x v="2"/>
    <x v="303"/>
    <x v="10"/>
    <x v="353"/>
    <x v="2"/>
    <x v="2"/>
    <x v="25"/>
    <x v="692"/>
    <x v="686"/>
    <x v="692"/>
  </r>
  <r>
    <x v="693"/>
    <x v="3"/>
    <x v="2"/>
    <x v="0"/>
    <x v="304"/>
    <x v="10"/>
    <x v="54"/>
    <x v="3"/>
    <x v="3"/>
    <x v="63"/>
    <x v="693"/>
    <x v="687"/>
    <x v="693"/>
  </r>
  <r>
    <x v="694"/>
    <x v="4"/>
    <x v="0"/>
    <x v="2"/>
    <x v="305"/>
    <x v="10"/>
    <x v="301"/>
    <x v="4"/>
    <x v="4"/>
    <x v="38"/>
    <x v="694"/>
    <x v="688"/>
    <x v="694"/>
  </r>
  <r>
    <x v="695"/>
    <x v="5"/>
    <x v="2"/>
    <x v="1"/>
    <x v="306"/>
    <x v="10"/>
    <x v="354"/>
    <x v="5"/>
    <x v="5"/>
    <x v="225"/>
    <x v="695"/>
    <x v="689"/>
    <x v="695"/>
  </r>
  <r>
    <x v="696"/>
    <x v="6"/>
    <x v="0"/>
    <x v="3"/>
    <x v="307"/>
    <x v="10"/>
    <x v="46"/>
    <x v="0"/>
    <x v="0"/>
    <x v="15"/>
    <x v="696"/>
    <x v="690"/>
    <x v="696"/>
  </r>
  <r>
    <x v="697"/>
    <x v="7"/>
    <x v="3"/>
    <x v="1"/>
    <x v="308"/>
    <x v="10"/>
    <x v="207"/>
    <x v="1"/>
    <x v="1"/>
    <x v="14"/>
    <x v="697"/>
    <x v="691"/>
    <x v="697"/>
  </r>
  <r>
    <x v="698"/>
    <x v="8"/>
    <x v="1"/>
    <x v="4"/>
    <x v="309"/>
    <x v="10"/>
    <x v="154"/>
    <x v="2"/>
    <x v="2"/>
    <x v="128"/>
    <x v="698"/>
    <x v="692"/>
    <x v="698"/>
  </r>
  <r>
    <x v="699"/>
    <x v="9"/>
    <x v="4"/>
    <x v="0"/>
    <x v="310"/>
    <x v="10"/>
    <x v="239"/>
    <x v="3"/>
    <x v="3"/>
    <x v="231"/>
    <x v="699"/>
    <x v="693"/>
    <x v="699"/>
  </r>
  <r>
    <x v="700"/>
    <x v="10"/>
    <x v="2"/>
    <x v="3"/>
    <x v="311"/>
    <x v="11"/>
    <x v="355"/>
    <x v="4"/>
    <x v="4"/>
    <x v="123"/>
    <x v="700"/>
    <x v="694"/>
    <x v="700"/>
  </r>
  <r>
    <x v="701"/>
    <x v="11"/>
    <x v="3"/>
    <x v="2"/>
    <x v="312"/>
    <x v="11"/>
    <x v="183"/>
    <x v="5"/>
    <x v="5"/>
    <x v="39"/>
    <x v="701"/>
    <x v="695"/>
    <x v="701"/>
  </r>
  <r>
    <x v="702"/>
    <x v="12"/>
    <x v="0"/>
    <x v="5"/>
    <x v="313"/>
    <x v="11"/>
    <x v="56"/>
    <x v="0"/>
    <x v="0"/>
    <x v="15"/>
    <x v="702"/>
    <x v="696"/>
    <x v="702"/>
  </r>
  <r>
    <x v="703"/>
    <x v="13"/>
    <x v="5"/>
    <x v="1"/>
    <x v="314"/>
    <x v="11"/>
    <x v="264"/>
    <x v="1"/>
    <x v="1"/>
    <x v="59"/>
    <x v="703"/>
    <x v="697"/>
    <x v="703"/>
  </r>
  <r>
    <x v="704"/>
    <x v="14"/>
    <x v="1"/>
    <x v="5"/>
    <x v="315"/>
    <x v="11"/>
    <x v="356"/>
    <x v="2"/>
    <x v="2"/>
    <x v="41"/>
    <x v="704"/>
    <x v="698"/>
    <x v="704"/>
  </r>
  <r>
    <x v="705"/>
    <x v="15"/>
    <x v="5"/>
    <x v="0"/>
    <x v="316"/>
    <x v="11"/>
    <x v="194"/>
    <x v="3"/>
    <x v="3"/>
    <x v="144"/>
    <x v="705"/>
    <x v="699"/>
    <x v="705"/>
  </r>
  <r>
    <x v="706"/>
    <x v="16"/>
    <x v="2"/>
    <x v="6"/>
    <x v="317"/>
    <x v="11"/>
    <x v="357"/>
    <x v="4"/>
    <x v="4"/>
    <x v="232"/>
    <x v="706"/>
    <x v="700"/>
    <x v="706"/>
  </r>
  <r>
    <x v="707"/>
    <x v="17"/>
    <x v="6"/>
    <x v="2"/>
    <x v="318"/>
    <x v="11"/>
    <x v="99"/>
    <x v="5"/>
    <x v="5"/>
    <x v="119"/>
    <x v="707"/>
    <x v="701"/>
    <x v="707"/>
  </r>
  <r>
    <x v="708"/>
    <x v="18"/>
    <x v="0"/>
    <x v="6"/>
    <x v="319"/>
    <x v="11"/>
    <x v="31"/>
    <x v="0"/>
    <x v="0"/>
    <x v="233"/>
    <x v="708"/>
    <x v="702"/>
    <x v="708"/>
  </r>
  <r>
    <x v="709"/>
    <x v="19"/>
    <x v="6"/>
    <x v="1"/>
    <x v="320"/>
    <x v="11"/>
    <x v="154"/>
    <x v="1"/>
    <x v="1"/>
    <x v="234"/>
    <x v="709"/>
    <x v="703"/>
    <x v="709"/>
  </r>
  <r>
    <x v="710"/>
    <x v="20"/>
    <x v="1"/>
    <x v="7"/>
    <x v="321"/>
    <x v="11"/>
    <x v="190"/>
    <x v="2"/>
    <x v="2"/>
    <x v="19"/>
    <x v="710"/>
    <x v="704"/>
    <x v="710"/>
  </r>
  <r>
    <x v="711"/>
    <x v="21"/>
    <x v="7"/>
    <x v="0"/>
    <x v="322"/>
    <x v="11"/>
    <x v="254"/>
    <x v="3"/>
    <x v="3"/>
    <x v="211"/>
    <x v="711"/>
    <x v="705"/>
    <x v="711"/>
  </r>
  <r>
    <x v="712"/>
    <x v="22"/>
    <x v="0"/>
    <x v="7"/>
    <x v="323"/>
    <x v="11"/>
    <x v="200"/>
    <x v="4"/>
    <x v="4"/>
    <x v="235"/>
    <x v="712"/>
    <x v="706"/>
    <x v="712"/>
  </r>
  <r>
    <x v="713"/>
    <x v="23"/>
    <x v="7"/>
    <x v="1"/>
    <x v="324"/>
    <x v="11"/>
    <x v="150"/>
    <x v="5"/>
    <x v="5"/>
    <x v="136"/>
    <x v="713"/>
    <x v="707"/>
    <x v="713"/>
  </r>
  <r>
    <x v="714"/>
    <x v="24"/>
    <x v="1"/>
    <x v="8"/>
    <x v="325"/>
    <x v="11"/>
    <x v="84"/>
    <x v="0"/>
    <x v="0"/>
    <x v="236"/>
    <x v="714"/>
    <x v="708"/>
    <x v="714"/>
  </r>
  <r>
    <x v="715"/>
    <x v="25"/>
    <x v="8"/>
    <x v="0"/>
    <x v="326"/>
    <x v="11"/>
    <x v="273"/>
    <x v="1"/>
    <x v="1"/>
    <x v="233"/>
    <x v="715"/>
    <x v="709"/>
    <x v="715"/>
  </r>
  <r>
    <x v="716"/>
    <x v="26"/>
    <x v="2"/>
    <x v="5"/>
    <x v="327"/>
    <x v="11"/>
    <x v="291"/>
    <x v="2"/>
    <x v="2"/>
    <x v="81"/>
    <x v="716"/>
    <x v="710"/>
    <x v="716"/>
  </r>
  <r>
    <x v="717"/>
    <x v="27"/>
    <x v="5"/>
    <x v="2"/>
    <x v="328"/>
    <x v="11"/>
    <x v="141"/>
    <x v="3"/>
    <x v="3"/>
    <x v="216"/>
    <x v="717"/>
    <x v="711"/>
    <x v="717"/>
  </r>
  <r>
    <x v="718"/>
    <x v="28"/>
    <x v="4"/>
    <x v="1"/>
    <x v="329"/>
    <x v="11"/>
    <x v="333"/>
    <x v="4"/>
    <x v="4"/>
    <x v="237"/>
    <x v="718"/>
    <x v="712"/>
    <x v="718"/>
  </r>
  <r>
    <x v="719"/>
    <x v="29"/>
    <x v="0"/>
    <x v="4"/>
    <x v="330"/>
    <x v="11"/>
    <x v="358"/>
    <x v="5"/>
    <x v="5"/>
    <x v="66"/>
    <x v="719"/>
    <x v="713"/>
    <x v="719"/>
  </r>
  <r>
    <x v="720"/>
    <x v="0"/>
    <x v="0"/>
    <x v="0"/>
    <x v="331"/>
    <x v="11"/>
    <x v="18"/>
    <x v="0"/>
    <x v="0"/>
    <x v="125"/>
    <x v="720"/>
    <x v="714"/>
    <x v="720"/>
  </r>
  <r>
    <x v="721"/>
    <x v="1"/>
    <x v="1"/>
    <x v="1"/>
    <x v="332"/>
    <x v="11"/>
    <x v="265"/>
    <x v="1"/>
    <x v="1"/>
    <x v="36"/>
    <x v="721"/>
    <x v="715"/>
    <x v="721"/>
  </r>
  <r>
    <x v="722"/>
    <x v="2"/>
    <x v="1"/>
    <x v="2"/>
    <x v="333"/>
    <x v="11"/>
    <x v="181"/>
    <x v="2"/>
    <x v="2"/>
    <x v="2"/>
    <x v="722"/>
    <x v="716"/>
    <x v="722"/>
  </r>
  <r>
    <x v="723"/>
    <x v="3"/>
    <x v="2"/>
    <x v="0"/>
    <x v="334"/>
    <x v="11"/>
    <x v="224"/>
    <x v="3"/>
    <x v="3"/>
    <x v="238"/>
    <x v="723"/>
    <x v="717"/>
    <x v="723"/>
  </r>
  <r>
    <x v="724"/>
    <x v="4"/>
    <x v="0"/>
    <x v="2"/>
    <x v="335"/>
    <x v="11"/>
    <x v="192"/>
    <x v="4"/>
    <x v="4"/>
    <x v="184"/>
    <x v="724"/>
    <x v="718"/>
    <x v="724"/>
  </r>
  <r>
    <x v="725"/>
    <x v="5"/>
    <x v="2"/>
    <x v="1"/>
    <x v="336"/>
    <x v="11"/>
    <x v="359"/>
    <x v="5"/>
    <x v="5"/>
    <x v="49"/>
    <x v="725"/>
    <x v="719"/>
    <x v="725"/>
  </r>
  <r>
    <x v="726"/>
    <x v="6"/>
    <x v="0"/>
    <x v="3"/>
    <x v="337"/>
    <x v="11"/>
    <x v="266"/>
    <x v="0"/>
    <x v="0"/>
    <x v="111"/>
    <x v="726"/>
    <x v="720"/>
    <x v="726"/>
  </r>
  <r>
    <x v="727"/>
    <x v="7"/>
    <x v="3"/>
    <x v="1"/>
    <x v="338"/>
    <x v="11"/>
    <x v="360"/>
    <x v="1"/>
    <x v="1"/>
    <x v="13"/>
    <x v="727"/>
    <x v="721"/>
    <x v="727"/>
  </r>
  <r>
    <x v="728"/>
    <x v="8"/>
    <x v="1"/>
    <x v="4"/>
    <x v="339"/>
    <x v="11"/>
    <x v="352"/>
    <x v="2"/>
    <x v="2"/>
    <x v="63"/>
    <x v="728"/>
    <x v="722"/>
    <x v="728"/>
  </r>
  <r>
    <x v="729"/>
    <x v="9"/>
    <x v="4"/>
    <x v="0"/>
    <x v="340"/>
    <x v="11"/>
    <x v="204"/>
    <x v="3"/>
    <x v="3"/>
    <x v="239"/>
    <x v="729"/>
    <x v="723"/>
    <x v="729"/>
  </r>
  <r>
    <x v="730"/>
    <x v="10"/>
    <x v="2"/>
    <x v="3"/>
    <x v="8"/>
    <x v="4"/>
    <x v="204"/>
    <x v="4"/>
    <x v="4"/>
    <x v="222"/>
    <x v="730"/>
    <x v="724"/>
    <x v="730"/>
  </r>
  <r>
    <x v="731"/>
    <x v="11"/>
    <x v="3"/>
    <x v="2"/>
    <x v="341"/>
    <x v="4"/>
    <x v="12"/>
    <x v="5"/>
    <x v="5"/>
    <x v="66"/>
    <x v="731"/>
    <x v="725"/>
    <x v="731"/>
  </r>
  <r>
    <x v="732"/>
    <x v="12"/>
    <x v="0"/>
    <x v="5"/>
    <x v="342"/>
    <x v="4"/>
    <x v="361"/>
    <x v="0"/>
    <x v="0"/>
    <x v="3"/>
    <x v="732"/>
    <x v="726"/>
    <x v="732"/>
  </r>
  <r>
    <x v="733"/>
    <x v="13"/>
    <x v="5"/>
    <x v="1"/>
    <x v="343"/>
    <x v="4"/>
    <x v="173"/>
    <x v="1"/>
    <x v="1"/>
    <x v="7"/>
    <x v="733"/>
    <x v="727"/>
    <x v="733"/>
  </r>
  <r>
    <x v="734"/>
    <x v="14"/>
    <x v="1"/>
    <x v="5"/>
    <x v="344"/>
    <x v="4"/>
    <x v="111"/>
    <x v="2"/>
    <x v="2"/>
    <x v="46"/>
    <x v="734"/>
    <x v="126"/>
    <x v="734"/>
  </r>
  <r>
    <x v="735"/>
    <x v="15"/>
    <x v="5"/>
    <x v="0"/>
    <x v="345"/>
    <x v="4"/>
    <x v="362"/>
    <x v="3"/>
    <x v="3"/>
    <x v="47"/>
    <x v="735"/>
    <x v="728"/>
    <x v="735"/>
  </r>
  <r>
    <x v="736"/>
    <x v="16"/>
    <x v="2"/>
    <x v="6"/>
    <x v="22"/>
    <x v="4"/>
    <x v="110"/>
    <x v="4"/>
    <x v="4"/>
    <x v="240"/>
    <x v="736"/>
    <x v="729"/>
    <x v="736"/>
  </r>
  <r>
    <x v="737"/>
    <x v="17"/>
    <x v="6"/>
    <x v="2"/>
    <x v="346"/>
    <x v="4"/>
    <x v="326"/>
    <x v="5"/>
    <x v="5"/>
    <x v="215"/>
    <x v="737"/>
    <x v="730"/>
    <x v="737"/>
  </r>
  <r>
    <x v="738"/>
    <x v="18"/>
    <x v="0"/>
    <x v="6"/>
    <x v="347"/>
    <x v="4"/>
    <x v="112"/>
    <x v="0"/>
    <x v="0"/>
    <x v="51"/>
    <x v="738"/>
    <x v="731"/>
    <x v="738"/>
  </r>
  <r>
    <x v="739"/>
    <x v="19"/>
    <x v="6"/>
    <x v="1"/>
    <x v="348"/>
    <x v="4"/>
    <x v="181"/>
    <x v="1"/>
    <x v="1"/>
    <x v="25"/>
    <x v="739"/>
    <x v="732"/>
    <x v="739"/>
  </r>
  <r>
    <x v="740"/>
    <x v="20"/>
    <x v="1"/>
    <x v="7"/>
    <x v="349"/>
    <x v="4"/>
    <x v="363"/>
    <x v="2"/>
    <x v="2"/>
    <x v="87"/>
    <x v="740"/>
    <x v="733"/>
    <x v="740"/>
  </r>
  <r>
    <x v="741"/>
    <x v="21"/>
    <x v="7"/>
    <x v="0"/>
    <x v="350"/>
    <x v="4"/>
    <x v="218"/>
    <x v="3"/>
    <x v="3"/>
    <x v="93"/>
    <x v="741"/>
    <x v="734"/>
    <x v="741"/>
  </r>
  <r>
    <x v="742"/>
    <x v="22"/>
    <x v="0"/>
    <x v="7"/>
    <x v="351"/>
    <x v="4"/>
    <x v="344"/>
    <x v="4"/>
    <x v="4"/>
    <x v="241"/>
    <x v="742"/>
    <x v="735"/>
    <x v="742"/>
  </r>
  <r>
    <x v="743"/>
    <x v="23"/>
    <x v="7"/>
    <x v="1"/>
    <x v="352"/>
    <x v="4"/>
    <x v="121"/>
    <x v="5"/>
    <x v="5"/>
    <x v="5"/>
    <x v="743"/>
    <x v="736"/>
    <x v="743"/>
  </r>
  <r>
    <x v="744"/>
    <x v="24"/>
    <x v="1"/>
    <x v="8"/>
    <x v="353"/>
    <x v="4"/>
    <x v="364"/>
    <x v="0"/>
    <x v="0"/>
    <x v="23"/>
    <x v="744"/>
    <x v="737"/>
    <x v="744"/>
  </r>
  <r>
    <x v="745"/>
    <x v="25"/>
    <x v="8"/>
    <x v="0"/>
    <x v="354"/>
    <x v="4"/>
    <x v="92"/>
    <x v="1"/>
    <x v="1"/>
    <x v="122"/>
    <x v="745"/>
    <x v="738"/>
    <x v="745"/>
  </r>
  <r>
    <x v="746"/>
    <x v="26"/>
    <x v="2"/>
    <x v="5"/>
    <x v="355"/>
    <x v="4"/>
    <x v="273"/>
    <x v="2"/>
    <x v="2"/>
    <x v="57"/>
    <x v="746"/>
    <x v="739"/>
    <x v="746"/>
  </r>
  <r>
    <x v="747"/>
    <x v="27"/>
    <x v="5"/>
    <x v="2"/>
    <x v="356"/>
    <x v="4"/>
    <x v="254"/>
    <x v="3"/>
    <x v="3"/>
    <x v="47"/>
    <x v="747"/>
    <x v="740"/>
    <x v="747"/>
  </r>
  <r>
    <x v="748"/>
    <x v="28"/>
    <x v="4"/>
    <x v="1"/>
    <x v="357"/>
    <x v="4"/>
    <x v="365"/>
    <x v="4"/>
    <x v="4"/>
    <x v="242"/>
    <x v="748"/>
    <x v="741"/>
    <x v="748"/>
  </r>
  <r>
    <x v="749"/>
    <x v="29"/>
    <x v="0"/>
    <x v="4"/>
    <x v="358"/>
    <x v="4"/>
    <x v="291"/>
    <x v="5"/>
    <x v="5"/>
    <x v="49"/>
    <x v="749"/>
    <x v="742"/>
    <x v="749"/>
  </r>
  <r>
    <x v="750"/>
    <x v="0"/>
    <x v="0"/>
    <x v="0"/>
    <x v="359"/>
    <x v="4"/>
    <x v="6"/>
    <x v="0"/>
    <x v="0"/>
    <x v="46"/>
    <x v="750"/>
    <x v="743"/>
    <x v="750"/>
  </r>
  <r>
    <x v="751"/>
    <x v="1"/>
    <x v="1"/>
    <x v="1"/>
    <x v="360"/>
    <x v="4"/>
    <x v="115"/>
    <x v="1"/>
    <x v="1"/>
    <x v="0"/>
    <x v="751"/>
    <x v="744"/>
    <x v="751"/>
  </r>
  <r>
    <x v="752"/>
    <x v="2"/>
    <x v="1"/>
    <x v="2"/>
    <x v="361"/>
    <x v="4"/>
    <x v="92"/>
    <x v="2"/>
    <x v="2"/>
    <x v="41"/>
    <x v="752"/>
    <x v="745"/>
    <x v="752"/>
  </r>
  <r>
    <x v="753"/>
    <x v="3"/>
    <x v="2"/>
    <x v="0"/>
    <x v="19"/>
    <x v="4"/>
    <x v="366"/>
    <x v="3"/>
    <x v="3"/>
    <x v="228"/>
    <x v="753"/>
    <x v="746"/>
    <x v="753"/>
  </r>
  <r>
    <x v="754"/>
    <x v="4"/>
    <x v="0"/>
    <x v="2"/>
    <x v="362"/>
    <x v="4"/>
    <x v="367"/>
    <x v="4"/>
    <x v="4"/>
    <x v="106"/>
    <x v="754"/>
    <x v="747"/>
    <x v="754"/>
  </r>
  <r>
    <x v="755"/>
    <x v="5"/>
    <x v="2"/>
    <x v="1"/>
    <x v="16"/>
    <x v="4"/>
    <x v="129"/>
    <x v="5"/>
    <x v="5"/>
    <x v="89"/>
    <x v="755"/>
    <x v="748"/>
    <x v="755"/>
  </r>
  <r>
    <x v="756"/>
    <x v="6"/>
    <x v="0"/>
    <x v="3"/>
    <x v="363"/>
    <x v="4"/>
    <x v="368"/>
    <x v="0"/>
    <x v="0"/>
    <x v="68"/>
    <x v="756"/>
    <x v="749"/>
    <x v="756"/>
  </r>
  <r>
    <x v="757"/>
    <x v="7"/>
    <x v="3"/>
    <x v="1"/>
    <x v="364"/>
    <x v="4"/>
    <x v="6"/>
    <x v="1"/>
    <x v="1"/>
    <x v="2"/>
    <x v="757"/>
    <x v="750"/>
    <x v="757"/>
  </r>
  <r>
    <x v="758"/>
    <x v="8"/>
    <x v="1"/>
    <x v="4"/>
    <x v="26"/>
    <x v="4"/>
    <x v="364"/>
    <x v="2"/>
    <x v="2"/>
    <x v="15"/>
    <x v="758"/>
    <x v="751"/>
    <x v="758"/>
  </r>
  <r>
    <x v="759"/>
    <x v="9"/>
    <x v="4"/>
    <x v="0"/>
    <x v="27"/>
    <x v="4"/>
    <x v="369"/>
    <x v="3"/>
    <x v="3"/>
    <x v="93"/>
    <x v="759"/>
    <x v="752"/>
    <x v="759"/>
  </r>
  <r>
    <x v="760"/>
    <x v="10"/>
    <x v="2"/>
    <x v="3"/>
    <x v="28"/>
    <x v="4"/>
    <x v="92"/>
    <x v="4"/>
    <x v="4"/>
    <x v="192"/>
    <x v="760"/>
    <x v="753"/>
    <x v="760"/>
  </r>
  <r>
    <x v="761"/>
    <x v="11"/>
    <x v="3"/>
    <x v="2"/>
    <x v="29"/>
    <x v="5"/>
    <x v="370"/>
    <x v="5"/>
    <x v="5"/>
    <x v="114"/>
    <x v="761"/>
    <x v="754"/>
    <x v="761"/>
  </r>
  <r>
    <x v="762"/>
    <x v="12"/>
    <x v="0"/>
    <x v="5"/>
    <x v="9"/>
    <x v="5"/>
    <x v="161"/>
    <x v="0"/>
    <x v="0"/>
    <x v="115"/>
    <x v="762"/>
    <x v="755"/>
    <x v="762"/>
  </r>
  <r>
    <x v="763"/>
    <x v="13"/>
    <x v="5"/>
    <x v="1"/>
    <x v="30"/>
    <x v="5"/>
    <x v="288"/>
    <x v="1"/>
    <x v="1"/>
    <x v="0"/>
    <x v="763"/>
    <x v="756"/>
    <x v="763"/>
  </r>
  <r>
    <x v="764"/>
    <x v="14"/>
    <x v="1"/>
    <x v="5"/>
    <x v="31"/>
    <x v="5"/>
    <x v="312"/>
    <x v="2"/>
    <x v="2"/>
    <x v="140"/>
    <x v="764"/>
    <x v="757"/>
    <x v="764"/>
  </r>
  <r>
    <x v="765"/>
    <x v="15"/>
    <x v="5"/>
    <x v="0"/>
    <x v="32"/>
    <x v="5"/>
    <x v="152"/>
    <x v="3"/>
    <x v="3"/>
    <x v="208"/>
    <x v="765"/>
    <x v="758"/>
    <x v="765"/>
  </r>
  <r>
    <x v="766"/>
    <x v="16"/>
    <x v="2"/>
    <x v="6"/>
    <x v="33"/>
    <x v="5"/>
    <x v="177"/>
    <x v="4"/>
    <x v="4"/>
    <x v="243"/>
    <x v="766"/>
    <x v="759"/>
    <x v="766"/>
  </r>
  <r>
    <x v="767"/>
    <x v="17"/>
    <x v="6"/>
    <x v="2"/>
    <x v="34"/>
    <x v="5"/>
    <x v="309"/>
    <x v="5"/>
    <x v="5"/>
    <x v="153"/>
    <x v="767"/>
    <x v="760"/>
    <x v="767"/>
  </r>
  <r>
    <x v="768"/>
    <x v="18"/>
    <x v="0"/>
    <x v="6"/>
    <x v="35"/>
    <x v="5"/>
    <x v="85"/>
    <x v="0"/>
    <x v="0"/>
    <x v="2"/>
    <x v="768"/>
    <x v="761"/>
    <x v="768"/>
  </r>
  <r>
    <x v="769"/>
    <x v="19"/>
    <x v="6"/>
    <x v="1"/>
    <x v="36"/>
    <x v="5"/>
    <x v="72"/>
    <x v="1"/>
    <x v="1"/>
    <x v="69"/>
    <x v="769"/>
    <x v="762"/>
    <x v="769"/>
  </r>
  <r>
    <x v="770"/>
    <x v="20"/>
    <x v="1"/>
    <x v="7"/>
    <x v="37"/>
    <x v="5"/>
    <x v="200"/>
    <x v="2"/>
    <x v="2"/>
    <x v="41"/>
    <x v="770"/>
    <x v="763"/>
    <x v="770"/>
  </r>
  <r>
    <x v="771"/>
    <x v="21"/>
    <x v="7"/>
    <x v="0"/>
    <x v="38"/>
    <x v="5"/>
    <x v="180"/>
    <x v="3"/>
    <x v="3"/>
    <x v="59"/>
    <x v="771"/>
    <x v="764"/>
    <x v="771"/>
  </r>
  <r>
    <x v="772"/>
    <x v="22"/>
    <x v="0"/>
    <x v="7"/>
    <x v="39"/>
    <x v="5"/>
    <x v="371"/>
    <x v="4"/>
    <x v="4"/>
    <x v="244"/>
    <x v="772"/>
    <x v="765"/>
    <x v="772"/>
  </r>
  <r>
    <x v="773"/>
    <x v="23"/>
    <x v="7"/>
    <x v="1"/>
    <x v="40"/>
    <x v="5"/>
    <x v="372"/>
    <x v="5"/>
    <x v="5"/>
    <x v="66"/>
    <x v="773"/>
    <x v="766"/>
    <x v="773"/>
  </r>
  <r>
    <x v="774"/>
    <x v="24"/>
    <x v="1"/>
    <x v="8"/>
    <x v="41"/>
    <x v="5"/>
    <x v="215"/>
    <x v="0"/>
    <x v="0"/>
    <x v="62"/>
    <x v="774"/>
    <x v="767"/>
    <x v="774"/>
  </r>
  <r>
    <x v="775"/>
    <x v="25"/>
    <x v="8"/>
    <x v="0"/>
    <x v="42"/>
    <x v="5"/>
    <x v="373"/>
    <x v="1"/>
    <x v="1"/>
    <x v="107"/>
    <x v="775"/>
    <x v="768"/>
    <x v="775"/>
  </r>
  <r>
    <x v="776"/>
    <x v="26"/>
    <x v="2"/>
    <x v="5"/>
    <x v="13"/>
    <x v="5"/>
    <x v="151"/>
    <x v="2"/>
    <x v="2"/>
    <x v="81"/>
    <x v="776"/>
    <x v="769"/>
    <x v="776"/>
  </r>
  <r>
    <x v="777"/>
    <x v="27"/>
    <x v="5"/>
    <x v="2"/>
    <x v="43"/>
    <x v="5"/>
    <x v="235"/>
    <x v="3"/>
    <x v="3"/>
    <x v="224"/>
    <x v="777"/>
    <x v="770"/>
    <x v="777"/>
  </r>
  <r>
    <x v="778"/>
    <x v="28"/>
    <x v="4"/>
    <x v="1"/>
    <x v="44"/>
    <x v="5"/>
    <x v="275"/>
    <x v="4"/>
    <x v="4"/>
    <x v="56"/>
    <x v="778"/>
    <x v="771"/>
    <x v="778"/>
  </r>
  <r>
    <x v="779"/>
    <x v="29"/>
    <x v="0"/>
    <x v="4"/>
    <x v="45"/>
    <x v="5"/>
    <x v="28"/>
    <x v="5"/>
    <x v="5"/>
    <x v="66"/>
    <x v="779"/>
    <x v="772"/>
    <x v="779"/>
  </r>
  <r>
    <x v="780"/>
    <x v="0"/>
    <x v="0"/>
    <x v="0"/>
    <x v="46"/>
    <x v="5"/>
    <x v="160"/>
    <x v="0"/>
    <x v="0"/>
    <x v="79"/>
    <x v="780"/>
    <x v="773"/>
    <x v="780"/>
  </r>
  <r>
    <x v="781"/>
    <x v="1"/>
    <x v="1"/>
    <x v="1"/>
    <x v="47"/>
    <x v="5"/>
    <x v="239"/>
    <x v="1"/>
    <x v="1"/>
    <x v="236"/>
    <x v="781"/>
    <x v="774"/>
    <x v="781"/>
  </r>
  <r>
    <x v="782"/>
    <x v="2"/>
    <x v="1"/>
    <x v="2"/>
    <x v="48"/>
    <x v="5"/>
    <x v="371"/>
    <x v="2"/>
    <x v="2"/>
    <x v="203"/>
    <x v="782"/>
    <x v="775"/>
    <x v="782"/>
  </r>
  <r>
    <x v="783"/>
    <x v="3"/>
    <x v="2"/>
    <x v="0"/>
    <x v="49"/>
    <x v="5"/>
    <x v="97"/>
    <x v="3"/>
    <x v="3"/>
    <x v="155"/>
    <x v="783"/>
    <x v="776"/>
    <x v="783"/>
  </r>
  <r>
    <x v="784"/>
    <x v="4"/>
    <x v="0"/>
    <x v="2"/>
    <x v="50"/>
    <x v="5"/>
    <x v="115"/>
    <x v="4"/>
    <x v="4"/>
    <x v="204"/>
    <x v="784"/>
    <x v="777"/>
    <x v="784"/>
  </r>
  <r>
    <x v="785"/>
    <x v="5"/>
    <x v="2"/>
    <x v="1"/>
    <x v="18"/>
    <x v="5"/>
    <x v="65"/>
    <x v="5"/>
    <x v="5"/>
    <x v="39"/>
    <x v="785"/>
    <x v="778"/>
    <x v="785"/>
  </r>
  <r>
    <x v="786"/>
    <x v="6"/>
    <x v="0"/>
    <x v="3"/>
    <x v="51"/>
    <x v="5"/>
    <x v="23"/>
    <x v="0"/>
    <x v="0"/>
    <x v="15"/>
    <x v="786"/>
    <x v="779"/>
    <x v="786"/>
  </r>
  <r>
    <x v="787"/>
    <x v="7"/>
    <x v="3"/>
    <x v="1"/>
    <x v="52"/>
    <x v="5"/>
    <x v="374"/>
    <x v="1"/>
    <x v="1"/>
    <x v="67"/>
    <x v="787"/>
    <x v="780"/>
    <x v="787"/>
  </r>
  <r>
    <x v="788"/>
    <x v="8"/>
    <x v="1"/>
    <x v="4"/>
    <x v="53"/>
    <x v="5"/>
    <x v="375"/>
    <x v="2"/>
    <x v="2"/>
    <x v="19"/>
    <x v="788"/>
    <x v="781"/>
    <x v="788"/>
  </r>
  <r>
    <x v="789"/>
    <x v="9"/>
    <x v="4"/>
    <x v="0"/>
    <x v="54"/>
    <x v="5"/>
    <x v="185"/>
    <x v="3"/>
    <x v="3"/>
    <x v="238"/>
    <x v="789"/>
    <x v="782"/>
    <x v="789"/>
  </r>
  <r>
    <x v="790"/>
    <x v="10"/>
    <x v="2"/>
    <x v="3"/>
    <x v="55"/>
    <x v="0"/>
    <x v="255"/>
    <x v="4"/>
    <x v="4"/>
    <x v="245"/>
    <x v="790"/>
    <x v="783"/>
    <x v="790"/>
  </r>
  <r>
    <x v="791"/>
    <x v="11"/>
    <x v="3"/>
    <x v="2"/>
    <x v="56"/>
    <x v="0"/>
    <x v="24"/>
    <x v="5"/>
    <x v="5"/>
    <x v="89"/>
    <x v="791"/>
    <x v="784"/>
    <x v="791"/>
  </r>
  <r>
    <x v="792"/>
    <x v="12"/>
    <x v="0"/>
    <x v="5"/>
    <x v="57"/>
    <x v="0"/>
    <x v="107"/>
    <x v="0"/>
    <x v="0"/>
    <x v="154"/>
    <x v="792"/>
    <x v="785"/>
    <x v="792"/>
  </r>
  <r>
    <x v="793"/>
    <x v="13"/>
    <x v="5"/>
    <x v="1"/>
    <x v="4"/>
    <x v="0"/>
    <x v="82"/>
    <x v="1"/>
    <x v="1"/>
    <x v="36"/>
    <x v="793"/>
    <x v="786"/>
    <x v="793"/>
  </r>
  <r>
    <x v="794"/>
    <x v="14"/>
    <x v="1"/>
    <x v="5"/>
    <x v="58"/>
    <x v="0"/>
    <x v="319"/>
    <x v="2"/>
    <x v="2"/>
    <x v="42"/>
    <x v="794"/>
    <x v="787"/>
    <x v="794"/>
  </r>
  <r>
    <x v="795"/>
    <x v="15"/>
    <x v="5"/>
    <x v="0"/>
    <x v="59"/>
    <x v="0"/>
    <x v="376"/>
    <x v="3"/>
    <x v="3"/>
    <x v="94"/>
    <x v="795"/>
    <x v="788"/>
    <x v="795"/>
  </r>
  <r>
    <x v="796"/>
    <x v="16"/>
    <x v="2"/>
    <x v="6"/>
    <x v="60"/>
    <x v="0"/>
    <x v="296"/>
    <x v="4"/>
    <x v="4"/>
    <x v="246"/>
    <x v="796"/>
    <x v="789"/>
    <x v="796"/>
  </r>
  <r>
    <x v="797"/>
    <x v="17"/>
    <x v="6"/>
    <x v="2"/>
    <x v="0"/>
    <x v="0"/>
    <x v="318"/>
    <x v="5"/>
    <x v="5"/>
    <x v="153"/>
    <x v="797"/>
    <x v="790"/>
    <x v="797"/>
  </r>
  <r>
    <x v="798"/>
    <x v="18"/>
    <x v="0"/>
    <x v="6"/>
    <x v="61"/>
    <x v="0"/>
    <x v="315"/>
    <x v="0"/>
    <x v="0"/>
    <x v="2"/>
    <x v="798"/>
    <x v="791"/>
    <x v="798"/>
  </r>
  <r>
    <x v="799"/>
    <x v="19"/>
    <x v="6"/>
    <x v="1"/>
    <x v="62"/>
    <x v="0"/>
    <x v="267"/>
    <x v="1"/>
    <x v="1"/>
    <x v="14"/>
    <x v="799"/>
    <x v="792"/>
    <x v="799"/>
  </r>
  <r>
    <x v="800"/>
    <x v="20"/>
    <x v="1"/>
    <x v="7"/>
    <x v="63"/>
    <x v="0"/>
    <x v="186"/>
    <x v="2"/>
    <x v="2"/>
    <x v="6"/>
    <x v="800"/>
    <x v="793"/>
    <x v="800"/>
  </r>
  <r>
    <x v="801"/>
    <x v="21"/>
    <x v="7"/>
    <x v="0"/>
    <x v="64"/>
    <x v="0"/>
    <x v="63"/>
    <x v="3"/>
    <x v="3"/>
    <x v="36"/>
    <x v="801"/>
    <x v="794"/>
    <x v="801"/>
  </r>
  <r>
    <x v="802"/>
    <x v="22"/>
    <x v="0"/>
    <x v="7"/>
    <x v="65"/>
    <x v="0"/>
    <x v="287"/>
    <x v="4"/>
    <x v="4"/>
    <x v="241"/>
    <x v="802"/>
    <x v="795"/>
    <x v="802"/>
  </r>
  <r>
    <x v="803"/>
    <x v="23"/>
    <x v="7"/>
    <x v="1"/>
    <x v="5"/>
    <x v="0"/>
    <x v="377"/>
    <x v="5"/>
    <x v="5"/>
    <x v="66"/>
    <x v="803"/>
    <x v="796"/>
    <x v="803"/>
  </r>
  <r>
    <x v="804"/>
    <x v="24"/>
    <x v="1"/>
    <x v="8"/>
    <x v="66"/>
    <x v="0"/>
    <x v="253"/>
    <x v="0"/>
    <x v="0"/>
    <x v="134"/>
    <x v="804"/>
    <x v="797"/>
    <x v="804"/>
  </r>
  <r>
    <x v="805"/>
    <x v="25"/>
    <x v="8"/>
    <x v="0"/>
    <x v="67"/>
    <x v="0"/>
    <x v="378"/>
    <x v="1"/>
    <x v="1"/>
    <x v="143"/>
    <x v="805"/>
    <x v="798"/>
    <x v="805"/>
  </r>
  <r>
    <x v="806"/>
    <x v="26"/>
    <x v="2"/>
    <x v="5"/>
    <x v="68"/>
    <x v="0"/>
    <x v="358"/>
    <x v="2"/>
    <x v="2"/>
    <x v="19"/>
    <x v="806"/>
    <x v="799"/>
    <x v="806"/>
  </r>
  <r>
    <x v="807"/>
    <x v="27"/>
    <x v="5"/>
    <x v="2"/>
    <x v="69"/>
    <x v="0"/>
    <x v="138"/>
    <x v="3"/>
    <x v="3"/>
    <x v="87"/>
    <x v="807"/>
    <x v="800"/>
    <x v="807"/>
  </r>
  <r>
    <x v="808"/>
    <x v="28"/>
    <x v="4"/>
    <x v="1"/>
    <x v="70"/>
    <x v="0"/>
    <x v="356"/>
    <x v="4"/>
    <x v="4"/>
    <x v="222"/>
    <x v="808"/>
    <x v="801"/>
    <x v="808"/>
  </r>
  <r>
    <x v="809"/>
    <x v="29"/>
    <x v="0"/>
    <x v="4"/>
    <x v="71"/>
    <x v="0"/>
    <x v="372"/>
    <x v="5"/>
    <x v="5"/>
    <x v="61"/>
    <x v="809"/>
    <x v="565"/>
    <x v="809"/>
  </r>
  <r>
    <x v="810"/>
    <x v="0"/>
    <x v="0"/>
    <x v="0"/>
    <x v="72"/>
    <x v="0"/>
    <x v="172"/>
    <x v="0"/>
    <x v="0"/>
    <x v="6"/>
    <x v="810"/>
    <x v="802"/>
    <x v="810"/>
  </r>
  <r>
    <x v="811"/>
    <x v="1"/>
    <x v="1"/>
    <x v="1"/>
    <x v="73"/>
    <x v="0"/>
    <x v="373"/>
    <x v="1"/>
    <x v="1"/>
    <x v="69"/>
    <x v="811"/>
    <x v="803"/>
    <x v="811"/>
  </r>
  <r>
    <x v="812"/>
    <x v="2"/>
    <x v="1"/>
    <x v="2"/>
    <x v="74"/>
    <x v="0"/>
    <x v="18"/>
    <x v="2"/>
    <x v="2"/>
    <x v="182"/>
    <x v="812"/>
    <x v="804"/>
    <x v="812"/>
  </r>
  <r>
    <x v="813"/>
    <x v="3"/>
    <x v="2"/>
    <x v="0"/>
    <x v="75"/>
    <x v="0"/>
    <x v="98"/>
    <x v="3"/>
    <x v="3"/>
    <x v="47"/>
    <x v="813"/>
    <x v="805"/>
    <x v="813"/>
  </r>
  <r>
    <x v="814"/>
    <x v="4"/>
    <x v="0"/>
    <x v="2"/>
    <x v="76"/>
    <x v="0"/>
    <x v="2"/>
    <x v="4"/>
    <x v="4"/>
    <x v="220"/>
    <x v="814"/>
    <x v="806"/>
    <x v="814"/>
  </r>
  <r>
    <x v="815"/>
    <x v="5"/>
    <x v="2"/>
    <x v="1"/>
    <x v="77"/>
    <x v="0"/>
    <x v="379"/>
    <x v="5"/>
    <x v="5"/>
    <x v="39"/>
    <x v="815"/>
    <x v="304"/>
    <x v="815"/>
  </r>
  <r>
    <x v="816"/>
    <x v="6"/>
    <x v="0"/>
    <x v="3"/>
    <x v="78"/>
    <x v="0"/>
    <x v="118"/>
    <x v="0"/>
    <x v="0"/>
    <x v="134"/>
    <x v="816"/>
    <x v="807"/>
    <x v="816"/>
  </r>
  <r>
    <x v="817"/>
    <x v="7"/>
    <x v="3"/>
    <x v="1"/>
    <x v="79"/>
    <x v="0"/>
    <x v="254"/>
    <x v="1"/>
    <x v="1"/>
    <x v="103"/>
    <x v="817"/>
    <x v="808"/>
    <x v="817"/>
  </r>
  <r>
    <x v="818"/>
    <x v="8"/>
    <x v="1"/>
    <x v="4"/>
    <x v="80"/>
    <x v="0"/>
    <x v="380"/>
    <x v="2"/>
    <x v="2"/>
    <x v="107"/>
    <x v="818"/>
    <x v="809"/>
    <x v="818"/>
  </r>
  <r>
    <x v="819"/>
    <x v="9"/>
    <x v="4"/>
    <x v="0"/>
    <x v="81"/>
    <x v="0"/>
    <x v="381"/>
    <x v="3"/>
    <x v="3"/>
    <x v="157"/>
    <x v="819"/>
    <x v="810"/>
    <x v="819"/>
  </r>
  <r>
    <x v="820"/>
    <x v="10"/>
    <x v="2"/>
    <x v="3"/>
    <x v="82"/>
    <x v="0"/>
    <x v="337"/>
    <x v="4"/>
    <x v="4"/>
    <x v="65"/>
    <x v="820"/>
    <x v="811"/>
    <x v="820"/>
  </r>
  <r>
    <x v="821"/>
    <x v="11"/>
    <x v="3"/>
    <x v="2"/>
    <x v="15"/>
    <x v="3"/>
    <x v="382"/>
    <x v="5"/>
    <x v="5"/>
    <x v="153"/>
    <x v="821"/>
    <x v="812"/>
    <x v="821"/>
  </r>
  <r>
    <x v="822"/>
    <x v="12"/>
    <x v="0"/>
    <x v="5"/>
    <x v="83"/>
    <x v="3"/>
    <x v="183"/>
    <x v="0"/>
    <x v="0"/>
    <x v="81"/>
    <x v="822"/>
    <x v="813"/>
    <x v="822"/>
  </r>
  <r>
    <x v="823"/>
    <x v="13"/>
    <x v="5"/>
    <x v="1"/>
    <x v="84"/>
    <x v="3"/>
    <x v="23"/>
    <x v="1"/>
    <x v="1"/>
    <x v="3"/>
    <x v="823"/>
    <x v="814"/>
    <x v="823"/>
  </r>
  <r>
    <x v="824"/>
    <x v="14"/>
    <x v="1"/>
    <x v="5"/>
    <x v="85"/>
    <x v="3"/>
    <x v="260"/>
    <x v="2"/>
    <x v="2"/>
    <x v="3"/>
    <x v="824"/>
    <x v="815"/>
    <x v="824"/>
  </r>
  <r>
    <x v="825"/>
    <x v="15"/>
    <x v="5"/>
    <x v="0"/>
    <x v="86"/>
    <x v="3"/>
    <x v="383"/>
    <x v="3"/>
    <x v="3"/>
    <x v="20"/>
    <x v="825"/>
    <x v="816"/>
    <x v="825"/>
  </r>
  <r>
    <x v="826"/>
    <x v="16"/>
    <x v="2"/>
    <x v="6"/>
    <x v="87"/>
    <x v="3"/>
    <x v="384"/>
    <x v="4"/>
    <x v="4"/>
    <x v="247"/>
    <x v="826"/>
    <x v="817"/>
    <x v="826"/>
  </r>
  <r>
    <x v="827"/>
    <x v="17"/>
    <x v="6"/>
    <x v="2"/>
    <x v="88"/>
    <x v="3"/>
    <x v="107"/>
    <x v="5"/>
    <x v="5"/>
    <x v="17"/>
    <x v="827"/>
    <x v="818"/>
    <x v="827"/>
  </r>
  <r>
    <x v="828"/>
    <x v="18"/>
    <x v="0"/>
    <x v="6"/>
    <x v="3"/>
    <x v="3"/>
    <x v="286"/>
    <x v="0"/>
    <x v="0"/>
    <x v="142"/>
    <x v="828"/>
    <x v="819"/>
    <x v="828"/>
  </r>
  <r>
    <x v="829"/>
    <x v="19"/>
    <x v="6"/>
    <x v="1"/>
    <x v="89"/>
    <x v="3"/>
    <x v="91"/>
    <x v="1"/>
    <x v="1"/>
    <x v="128"/>
    <x v="829"/>
    <x v="820"/>
    <x v="829"/>
  </r>
  <r>
    <x v="830"/>
    <x v="20"/>
    <x v="1"/>
    <x v="7"/>
    <x v="90"/>
    <x v="3"/>
    <x v="364"/>
    <x v="2"/>
    <x v="2"/>
    <x v="30"/>
    <x v="830"/>
    <x v="821"/>
    <x v="830"/>
  </r>
  <r>
    <x v="831"/>
    <x v="21"/>
    <x v="7"/>
    <x v="0"/>
    <x v="91"/>
    <x v="3"/>
    <x v="295"/>
    <x v="3"/>
    <x v="3"/>
    <x v="118"/>
    <x v="831"/>
    <x v="822"/>
    <x v="831"/>
  </r>
  <r>
    <x v="832"/>
    <x v="22"/>
    <x v="0"/>
    <x v="7"/>
    <x v="92"/>
    <x v="3"/>
    <x v="330"/>
    <x v="4"/>
    <x v="4"/>
    <x v="101"/>
    <x v="832"/>
    <x v="823"/>
    <x v="832"/>
  </r>
  <r>
    <x v="833"/>
    <x v="23"/>
    <x v="7"/>
    <x v="1"/>
    <x v="93"/>
    <x v="3"/>
    <x v="70"/>
    <x v="5"/>
    <x v="5"/>
    <x v="11"/>
    <x v="833"/>
    <x v="824"/>
    <x v="833"/>
  </r>
  <r>
    <x v="834"/>
    <x v="24"/>
    <x v="1"/>
    <x v="8"/>
    <x v="94"/>
    <x v="3"/>
    <x v="107"/>
    <x v="0"/>
    <x v="0"/>
    <x v="8"/>
    <x v="834"/>
    <x v="825"/>
    <x v="834"/>
  </r>
  <r>
    <x v="835"/>
    <x v="25"/>
    <x v="8"/>
    <x v="0"/>
    <x v="95"/>
    <x v="3"/>
    <x v="322"/>
    <x v="1"/>
    <x v="1"/>
    <x v="107"/>
    <x v="835"/>
    <x v="826"/>
    <x v="835"/>
  </r>
  <r>
    <x v="836"/>
    <x v="26"/>
    <x v="2"/>
    <x v="5"/>
    <x v="96"/>
    <x v="3"/>
    <x v="160"/>
    <x v="2"/>
    <x v="2"/>
    <x v="75"/>
    <x v="836"/>
    <x v="827"/>
    <x v="836"/>
  </r>
  <r>
    <x v="837"/>
    <x v="27"/>
    <x v="5"/>
    <x v="2"/>
    <x v="97"/>
    <x v="3"/>
    <x v="117"/>
    <x v="3"/>
    <x v="3"/>
    <x v="0"/>
    <x v="837"/>
    <x v="828"/>
    <x v="837"/>
  </r>
  <r>
    <x v="838"/>
    <x v="28"/>
    <x v="4"/>
    <x v="1"/>
    <x v="98"/>
    <x v="3"/>
    <x v="303"/>
    <x v="4"/>
    <x v="4"/>
    <x v="160"/>
    <x v="838"/>
    <x v="829"/>
    <x v="838"/>
  </r>
  <r>
    <x v="839"/>
    <x v="29"/>
    <x v="0"/>
    <x v="4"/>
    <x v="99"/>
    <x v="3"/>
    <x v="385"/>
    <x v="5"/>
    <x v="5"/>
    <x v="114"/>
    <x v="839"/>
    <x v="830"/>
    <x v="839"/>
  </r>
  <r>
    <x v="840"/>
    <x v="0"/>
    <x v="0"/>
    <x v="0"/>
    <x v="10"/>
    <x v="3"/>
    <x v="167"/>
    <x v="0"/>
    <x v="0"/>
    <x v="124"/>
    <x v="840"/>
    <x v="831"/>
    <x v="840"/>
  </r>
  <r>
    <x v="841"/>
    <x v="1"/>
    <x v="1"/>
    <x v="1"/>
    <x v="100"/>
    <x v="3"/>
    <x v="307"/>
    <x v="1"/>
    <x v="1"/>
    <x v="1"/>
    <x v="841"/>
    <x v="832"/>
    <x v="841"/>
  </r>
  <r>
    <x v="842"/>
    <x v="2"/>
    <x v="1"/>
    <x v="2"/>
    <x v="101"/>
    <x v="3"/>
    <x v="386"/>
    <x v="2"/>
    <x v="2"/>
    <x v="13"/>
    <x v="842"/>
    <x v="833"/>
    <x v="842"/>
  </r>
  <r>
    <x v="843"/>
    <x v="3"/>
    <x v="2"/>
    <x v="0"/>
    <x v="102"/>
    <x v="3"/>
    <x v="387"/>
    <x v="3"/>
    <x v="3"/>
    <x v="248"/>
    <x v="843"/>
    <x v="834"/>
    <x v="843"/>
  </r>
  <r>
    <x v="844"/>
    <x v="4"/>
    <x v="0"/>
    <x v="2"/>
    <x v="103"/>
    <x v="3"/>
    <x v="136"/>
    <x v="4"/>
    <x v="4"/>
    <x v="249"/>
    <x v="844"/>
    <x v="835"/>
    <x v="844"/>
  </r>
  <r>
    <x v="845"/>
    <x v="5"/>
    <x v="2"/>
    <x v="1"/>
    <x v="104"/>
    <x v="3"/>
    <x v="361"/>
    <x v="5"/>
    <x v="5"/>
    <x v="202"/>
    <x v="845"/>
    <x v="836"/>
    <x v="845"/>
  </r>
  <r>
    <x v="846"/>
    <x v="6"/>
    <x v="0"/>
    <x v="3"/>
    <x v="105"/>
    <x v="3"/>
    <x v="241"/>
    <x v="0"/>
    <x v="0"/>
    <x v="24"/>
    <x v="846"/>
    <x v="837"/>
    <x v="846"/>
  </r>
  <r>
    <x v="847"/>
    <x v="7"/>
    <x v="3"/>
    <x v="1"/>
    <x v="106"/>
    <x v="3"/>
    <x v="252"/>
    <x v="1"/>
    <x v="1"/>
    <x v="115"/>
    <x v="847"/>
    <x v="838"/>
    <x v="847"/>
  </r>
  <r>
    <x v="848"/>
    <x v="8"/>
    <x v="1"/>
    <x v="4"/>
    <x v="107"/>
    <x v="3"/>
    <x v="239"/>
    <x v="2"/>
    <x v="2"/>
    <x v="182"/>
    <x v="848"/>
    <x v="839"/>
    <x v="848"/>
  </r>
  <r>
    <x v="849"/>
    <x v="9"/>
    <x v="4"/>
    <x v="0"/>
    <x v="108"/>
    <x v="3"/>
    <x v="388"/>
    <x v="3"/>
    <x v="3"/>
    <x v="31"/>
    <x v="849"/>
    <x v="840"/>
    <x v="849"/>
  </r>
  <r>
    <x v="850"/>
    <x v="10"/>
    <x v="2"/>
    <x v="3"/>
    <x v="109"/>
    <x v="3"/>
    <x v="389"/>
    <x v="4"/>
    <x v="4"/>
    <x v="250"/>
    <x v="850"/>
    <x v="841"/>
    <x v="850"/>
  </r>
  <r>
    <x v="851"/>
    <x v="11"/>
    <x v="3"/>
    <x v="2"/>
    <x v="2"/>
    <x v="2"/>
    <x v="377"/>
    <x v="5"/>
    <x v="5"/>
    <x v="44"/>
    <x v="851"/>
    <x v="842"/>
    <x v="851"/>
  </r>
  <r>
    <x v="852"/>
    <x v="12"/>
    <x v="0"/>
    <x v="5"/>
    <x v="110"/>
    <x v="2"/>
    <x v="325"/>
    <x v="0"/>
    <x v="0"/>
    <x v="76"/>
    <x v="852"/>
    <x v="843"/>
    <x v="852"/>
  </r>
  <r>
    <x v="853"/>
    <x v="13"/>
    <x v="5"/>
    <x v="1"/>
    <x v="111"/>
    <x v="2"/>
    <x v="254"/>
    <x v="1"/>
    <x v="1"/>
    <x v="3"/>
    <x v="853"/>
    <x v="844"/>
    <x v="853"/>
  </r>
  <r>
    <x v="854"/>
    <x v="14"/>
    <x v="1"/>
    <x v="5"/>
    <x v="112"/>
    <x v="2"/>
    <x v="390"/>
    <x v="2"/>
    <x v="2"/>
    <x v="99"/>
    <x v="854"/>
    <x v="845"/>
    <x v="854"/>
  </r>
  <r>
    <x v="855"/>
    <x v="15"/>
    <x v="5"/>
    <x v="0"/>
    <x v="113"/>
    <x v="2"/>
    <x v="78"/>
    <x v="3"/>
    <x v="3"/>
    <x v="55"/>
    <x v="855"/>
    <x v="846"/>
    <x v="855"/>
  </r>
  <r>
    <x v="856"/>
    <x v="16"/>
    <x v="2"/>
    <x v="6"/>
    <x v="114"/>
    <x v="2"/>
    <x v="391"/>
    <x v="4"/>
    <x v="4"/>
    <x v="78"/>
    <x v="856"/>
    <x v="847"/>
    <x v="856"/>
  </r>
  <r>
    <x v="857"/>
    <x v="17"/>
    <x v="6"/>
    <x v="2"/>
    <x v="23"/>
    <x v="2"/>
    <x v="28"/>
    <x v="5"/>
    <x v="5"/>
    <x v="153"/>
    <x v="857"/>
    <x v="358"/>
    <x v="857"/>
  </r>
  <r>
    <x v="858"/>
    <x v="18"/>
    <x v="0"/>
    <x v="6"/>
    <x v="115"/>
    <x v="2"/>
    <x v="105"/>
    <x v="0"/>
    <x v="0"/>
    <x v="103"/>
    <x v="858"/>
    <x v="848"/>
    <x v="858"/>
  </r>
  <r>
    <x v="859"/>
    <x v="19"/>
    <x v="6"/>
    <x v="1"/>
    <x v="116"/>
    <x v="2"/>
    <x v="123"/>
    <x v="1"/>
    <x v="1"/>
    <x v="20"/>
    <x v="859"/>
    <x v="849"/>
    <x v="859"/>
  </r>
  <r>
    <x v="860"/>
    <x v="20"/>
    <x v="1"/>
    <x v="7"/>
    <x v="117"/>
    <x v="2"/>
    <x v="100"/>
    <x v="2"/>
    <x v="2"/>
    <x v="103"/>
    <x v="860"/>
    <x v="850"/>
    <x v="860"/>
  </r>
  <r>
    <x v="861"/>
    <x v="21"/>
    <x v="7"/>
    <x v="0"/>
    <x v="24"/>
    <x v="2"/>
    <x v="208"/>
    <x v="3"/>
    <x v="3"/>
    <x v="175"/>
    <x v="861"/>
    <x v="851"/>
    <x v="861"/>
  </r>
  <r>
    <x v="862"/>
    <x v="22"/>
    <x v="0"/>
    <x v="7"/>
    <x v="118"/>
    <x v="2"/>
    <x v="185"/>
    <x v="4"/>
    <x v="4"/>
    <x v="26"/>
    <x v="862"/>
    <x v="852"/>
    <x v="862"/>
  </r>
  <r>
    <x v="863"/>
    <x v="23"/>
    <x v="7"/>
    <x v="1"/>
    <x v="119"/>
    <x v="2"/>
    <x v="209"/>
    <x v="5"/>
    <x v="5"/>
    <x v="202"/>
    <x v="863"/>
    <x v="853"/>
    <x v="863"/>
  </r>
  <r>
    <x v="864"/>
    <x v="24"/>
    <x v="1"/>
    <x v="8"/>
    <x v="120"/>
    <x v="2"/>
    <x v="392"/>
    <x v="0"/>
    <x v="0"/>
    <x v="193"/>
    <x v="864"/>
    <x v="854"/>
    <x v="864"/>
  </r>
  <r>
    <x v="865"/>
    <x v="25"/>
    <x v="8"/>
    <x v="0"/>
    <x v="121"/>
    <x v="2"/>
    <x v="393"/>
    <x v="1"/>
    <x v="1"/>
    <x v="203"/>
    <x v="865"/>
    <x v="855"/>
    <x v="865"/>
  </r>
  <r>
    <x v="866"/>
    <x v="26"/>
    <x v="2"/>
    <x v="5"/>
    <x v="122"/>
    <x v="2"/>
    <x v="279"/>
    <x v="2"/>
    <x v="2"/>
    <x v="41"/>
    <x v="866"/>
    <x v="856"/>
    <x v="866"/>
  </r>
  <r>
    <x v="867"/>
    <x v="27"/>
    <x v="5"/>
    <x v="2"/>
    <x v="123"/>
    <x v="2"/>
    <x v="394"/>
    <x v="3"/>
    <x v="3"/>
    <x v="248"/>
    <x v="867"/>
    <x v="857"/>
    <x v="867"/>
  </r>
  <r>
    <x v="868"/>
    <x v="28"/>
    <x v="4"/>
    <x v="1"/>
    <x v="11"/>
    <x v="2"/>
    <x v="273"/>
    <x v="4"/>
    <x v="4"/>
    <x v="56"/>
    <x v="868"/>
    <x v="858"/>
    <x v="868"/>
  </r>
  <r>
    <x v="869"/>
    <x v="29"/>
    <x v="0"/>
    <x v="4"/>
    <x v="6"/>
    <x v="2"/>
    <x v="60"/>
    <x v="5"/>
    <x v="5"/>
    <x v="110"/>
    <x v="869"/>
    <x v="859"/>
    <x v="869"/>
  </r>
  <r>
    <x v="870"/>
    <x v="0"/>
    <x v="0"/>
    <x v="0"/>
    <x v="124"/>
    <x v="2"/>
    <x v="294"/>
    <x v="0"/>
    <x v="0"/>
    <x v="28"/>
    <x v="870"/>
    <x v="860"/>
    <x v="870"/>
  </r>
  <r>
    <x v="871"/>
    <x v="1"/>
    <x v="1"/>
    <x v="1"/>
    <x v="125"/>
    <x v="2"/>
    <x v="353"/>
    <x v="1"/>
    <x v="1"/>
    <x v="0"/>
    <x v="871"/>
    <x v="861"/>
    <x v="871"/>
  </r>
  <r>
    <x v="872"/>
    <x v="2"/>
    <x v="1"/>
    <x v="2"/>
    <x v="126"/>
    <x v="2"/>
    <x v="395"/>
    <x v="2"/>
    <x v="2"/>
    <x v="47"/>
    <x v="872"/>
    <x v="862"/>
    <x v="872"/>
  </r>
  <r>
    <x v="873"/>
    <x v="3"/>
    <x v="2"/>
    <x v="0"/>
    <x v="127"/>
    <x v="2"/>
    <x v="245"/>
    <x v="3"/>
    <x v="3"/>
    <x v="36"/>
    <x v="873"/>
    <x v="863"/>
    <x v="873"/>
  </r>
  <r>
    <x v="874"/>
    <x v="4"/>
    <x v="0"/>
    <x v="2"/>
    <x v="128"/>
    <x v="2"/>
    <x v="137"/>
    <x v="4"/>
    <x v="4"/>
    <x v="251"/>
    <x v="874"/>
    <x v="864"/>
    <x v="874"/>
  </r>
  <r>
    <x v="875"/>
    <x v="5"/>
    <x v="2"/>
    <x v="1"/>
    <x v="129"/>
    <x v="2"/>
    <x v="396"/>
    <x v="5"/>
    <x v="5"/>
    <x v="202"/>
    <x v="875"/>
    <x v="865"/>
    <x v="875"/>
  </r>
  <r>
    <x v="876"/>
    <x v="6"/>
    <x v="0"/>
    <x v="3"/>
    <x v="130"/>
    <x v="2"/>
    <x v="215"/>
    <x v="0"/>
    <x v="0"/>
    <x v="76"/>
    <x v="876"/>
    <x v="866"/>
    <x v="876"/>
  </r>
  <r>
    <x v="877"/>
    <x v="7"/>
    <x v="3"/>
    <x v="1"/>
    <x v="14"/>
    <x v="2"/>
    <x v="278"/>
    <x v="1"/>
    <x v="1"/>
    <x v="20"/>
    <x v="877"/>
    <x v="867"/>
    <x v="877"/>
  </r>
  <r>
    <x v="878"/>
    <x v="8"/>
    <x v="1"/>
    <x v="4"/>
    <x v="20"/>
    <x v="2"/>
    <x v="397"/>
    <x v="2"/>
    <x v="2"/>
    <x v="72"/>
    <x v="878"/>
    <x v="868"/>
    <x v="878"/>
  </r>
  <r>
    <x v="879"/>
    <x v="9"/>
    <x v="4"/>
    <x v="0"/>
    <x v="131"/>
    <x v="2"/>
    <x v="398"/>
    <x v="3"/>
    <x v="3"/>
    <x v="13"/>
    <x v="879"/>
    <x v="869"/>
    <x v="879"/>
  </r>
  <r>
    <x v="880"/>
    <x v="10"/>
    <x v="2"/>
    <x v="3"/>
    <x v="132"/>
    <x v="2"/>
    <x v="399"/>
    <x v="4"/>
    <x v="4"/>
    <x v="252"/>
    <x v="880"/>
    <x v="870"/>
    <x v="880"/>
  </r>
  <r>
    <x v="881"/>
    <x v="11"/>
    <x v="3"/>
    <x v="2"/>
    <x v="133"/>
    <x v="2"/>
    <x v="5"/>
    <x v="5"/>
    <x v="5"/>
    <x v="11"/>
    <x v="881"/>
    <x v="871"/>
    <x v="881"/>
  </r>
  <r>
    <x v="882"/>
    <x v="12"/>
    <x v="0"/>
    <x v="5"/>
    <x v="134"/>
    <x v="1"/>
    <x v="52"/>
    <x v="0"/>
    <x v="0"/>
    <x v="24"/>
    <x v="882"/>
    <x v="872"/>
    <x v="882"/>
  </r>
  <r>
    <x v="883"/>
    <x v="13"/>
    <x v="5"/>
    <x v="1"/>
    <x v="1"/>
    <x v="1"/>
    <x v="12"/>
    <x v="1"/>
    <x v="1"/>
    <x v="45"/>
    <x v="883"/>
    <x v="873"/>
    <x v="883"/>
  </r>
  <r>
    <x v="884"/>
    <x v="14"/>
    <x v="1"/>
    <x v="5"/>
    <x v="135"/>
    <x v="1"/>
    <x v="71"/>
    <x v="2"/>
    <x v="2"/>
    <x v="29"/>
    <x v="884"/>
    <x v="874"/>
    <x v="884"/>
  </r>
  <r>
    <x v="885"/>
    <x v="15"/>
    <x v="5"/>
    <x v="0"/>
    <x v="136"/>
    <x v="1"/>
    <x v="236"/>
    <x v="3"/>
    <x v="3"/>
    <x v="100"/>
    <x v="885"/>
    <x v="875"/>
    <x v="885"/>
  </r>
  <r>
    <x v="886"/>
    <x v="16"/>
    <x v="2"/>
    <x v="6"/>
    <x v="137"/>
    <x v="1"/>
    <x v="225"/>
    <x v="4"/>
    <x v="4"/>
    <x v="253"/>
    <x v="886"/>
    <x v="876"/>
    <x v="886"/>
  </r>
  <r>
    <x v="887"/>
    <x v="17"/>
    <x v="6"/>
    <x v="2"/>
    <x v="138"/>
    <x v="1"/>
    <x v="288"/>
    <x v="5"/>
    <x v="5"/>
    <x v="22"/>
    <x v="887"/>
    <x v="877"/>
    <x v="887"/>
  </r>
  <r>
    <x v="888"/>
    <x v="18"/>
    <x v="0"/>
    <x v="6"/>
    <x v="139"/>
    <x v="1"/>
    <x v="112"/>
    <x v="0"/>
    <x v="0"/>
    <x v="122"/>
    <x v="888"/>
    <x v="878"/>
    <x v="888"/>
  </r>
  <r>
    <x v="889"/>
    <x v="19"/>
    <x v="6"/>
    <x v="1"/>
    <x v="21"/>
    <x v="1"/>
    <x v="302"/>
    <x v="1"/>
    <x v="1"/>
    <x v="23"/>
    <x v="889"/>
    <x v="879"/>
    <x v="889"/>
  </r>
  <r>
    <x v="890"/>
    <x v="20"/>
    <x v="1"/>
    <x v="7"/>
    <x v="140"/>
    <x v="1"/>
    <x v="368"/>
    <x v="2"/>
    <x v="2"/>
    <x v="8"/>
    <x v="890"/>
    <x v="880"/>
    <x v="890"/>
  </r>
  <r>
    <x v="891"/>
    <x v="21"/>
    <x v="7"/>
    <x v="0"/>
    <x v="141"/>
    <x v="1"/>
    <x v="138"/>
    <x v="3"/>
    <x v="3"/>
    <x v="67"/>
    <x v="891"/>
    <x v="881"/>
    <x v="891"/>
  </r>
  <r>
    <x v="892"/>
    <x v="22"/>
    <x v="0"/>
    <x v="7"/>
    <x v="142"/>
    <x v="1"/>
    <x v="374"/>
    <x v="4"/>
    <x v="4"/>
    <x v="254"/>
    <x v="892"/>
    <x v="882"/>
    <x v="892"/>
  </r>
  <r>
    <x v="893"/>
    <x v="23"/>
    <x v="7"/>
    <x v="1"/>
    <x v="143"/>
    <x v="1"/>
    <x v="309"/>
    <x v="5"/>
    <x v="5"/>
    <x v="114"/>
    <x v="893"/>
    <x v="883"/>
    <x v="893"/>
  </r>
  <r>
    <x v="894"/>
    <x v="24"/>
    <x v="1"/>
    <x v="8"/>
    <x v="144"/>
    <x v="1"/>
    <x v="35"/>
    <x v="0"/>
    <x v="0"/>
    <x v="137"/>
    <x v="894"/>
    <x v="884"/>
    <x v="894"/>
  </r>
  <r>
    <x v="895"/>
    <x v="25"/>
    <x v="8"/>
    <x v="0"/>
    <x v="17"/>
    <x v="1"/>
    <x v="400"/>
    <x v="1"/>
    <x v="1"/>
    <x v="15"/>
    <x v="895"/>
    <x v="885"/>
    <x v="895"/>
  </r>
  <r>
    <x v="896"/>
    <x v="26"/>
    <x v="2"/>
    <x v="5"/>
    <x v="145"/>
    <x v="1"/>
    <x v="241"/>
    <x v="2"/>
    <x v="2"/>
    <x v="120"/>
    <x v="896"/>
    <x v="886"/>
    <x v="896"/>
  </r>
  <r>
    <x v="897"/>
    <x v="27"/>
    <x v="5"/>
    <x v="2"/>
    <x v="146"/>
    <x v="1"/>
    <x v="401"/>
    <x v="3"/>
    <x v="3"/>
    <x v="139"/>
    <x v="897"/>
    <x v="887"/>
    <x v="897"/>
  </r>
  <r>
    <x v="898"/>
    <x v="28"/>
    <x v="4"/>
    <x v="1"/>
    <x v="147"/>
    <x v="1"/>
    <x v="402"/>
    <x v="4"/>
    <x v="4"/>
    <x v="78"/>
    <x v="898"/>
    <x v="888"/>
    <x v="898"/>
  </r>
  <r>
    <x v="899"/>
    <x v="29"/>
    <x v="0"/>
    <x v="4"/>
    <x v="148"/>
    <x v="1"/>
    <x v="385"/>
    <x v="5"/>
    <x v="5"/>
    <x v="71"/>
    <x v="899"/>
    <x v="889"/>
    <x v="899"/>
  </r>
  <r>
    <x v="900"/>
    <x v="0"/>
    <x v="0"/>
    <x v="0"/>
    <x v="149"/>
    <x v="1"/>
    <x v="294"/>
    <x v="0"/>
    <x v="0"/>
    <x v="7"/>
    <x v="900"/>
    <x v="890"/>
    <x v="900"/>
  </r>
  <r>
    <x v="901"/>
    <x v="1"/>
    <x v="1"/>
    <x v="1"/>
    <x v="150"/>
    <x v="1"/>
    <x v="119"/>
    <x v="1"/>
    <x v="1"/>
    <x v="35"/>
    <x v="901"/>
    <x v="891"/>
    <x v="901"/>
  </r>
  <r>
    <x v="902"/>
    <x v="2"/>
    <x v="1"/>
    <x v="2"/>
    <x v="151"/>
    <x v="1"/>
    <x v="17"/>
    <x v="2"/>
    <x v="2"/>
    <x v="42"/>
    <x v="902"/>
    <x v="892"/>
    <x v="902"/>
  </r>
  <r>
    <x v="903"/>
    <x v="3"/>
    <x v="2"/>
    <x v="0"/>
    <x v="152"/>
    <x v="1"/>
    <x v="374"/>
    <x v="3"/>
    <x v="3"/>
    <x v="212"/>
    <x v="903"/>
    <x v="893"/>
    <x v="903"/>
  </r>
  <r>
    <x v="904"/>
    <x v="4"/>
    <x v="0"/>
    <x v="2"/>
    <x v="153"/>
    <x v="1"/>
    <x v="403"/>
    <x v="4"/>
    <x v="4"/>
    <x v="83"/>
    <x v="904"/>
    <x v="894"/>
    <x v="904"/>
  </r>
  <r>
    <x v="905"/>
    <x v="5"/>
    <x v="2"/>
    <x v="1"/>
    <x v="7"/>
    <x v="1"/>
    <x v="326"/>
    <x v="5"/>
    <x v="5"/>
    <x v="119"/>
    <x v="905"/>
    <x v="895"/>
    <x v="905"/>
  </r>
  <r>
    <x v="906"/>
    <x v="6"/>
    <x v="0"/>
    <x v="3"/>
    <x v="25"/>
    <x v="1"/>
    <x v="164"/>
    <x v="0"/>
    <x v="0"/>
    <x v="20"/>
    <x v="906"/>
    <x v="896"/>
    <x v="906"/>
  </r>
  <r>
    <x v="907"/>
    <x v="7"/>
    <x v="3"/>
    <x v="1"/>
    <x v="12"/>
    <x v="1"/>
    <x v="205"/>
    <x v="1"/>
    <x v="1"/>
    <x v="36"/>
    <x v="907"/>
    <x v="897"/>
    <x v="907"/>
  </r>
  <r>
    <x v="908"/>
    <x v="8"/>
    <x v="1"/>
    <x v="4"/>
    <x v="154"/>
    <x v="1"/>
    <x v="404"/>
    <x v="2"/>
    <x v="2"/>
    <x v="2"/>
    <x v="908"/>
    <x v="898"/>
    <x v="908"/>
  </r>
  <r>
    <x v="909"/>
    <x v="9"/>
    <x v="4"/>
    <x v="0"/>
    <x v="155"/>
    <x v="1"/>
    <x v="325"/>
    <x v="3"/>
    <x v="3"/>
    <x v="224"/>
    <x v="909"/>
    <x v="899"/>
    <x v="909"/>
  </r>
  <r>
    <x v="910"/>
    <x v="10"/>
    <x v="2"/>
    <x v="3"/>
    <x v="156"/>
    <x v="1"/>
    <x v="180"/>
    <x v="4"/>
    <x v="4"/>
    <x v="207"/>
    <x v="910"/>
    <x v="900"/>
    <x v="910"/>
  </r>
  <r>
    <x v="911"/>
    <x v="11"/>
    <x v="3"/>
    <x v="2"/>
    <x v="157"/>
    <x v="1"/>
    <x v="99"/>
    <x v="5"/>
    <x v="5"/>
    <x v="114"/>
    <x v="911"/>
    <x v="901"/>
    <x v="911"/>
  </r>
  <r>
    <x v="912"/>
    <x v="12"/>
    <x v="0"/>
    <x v="5"/>
    <x v="158"/>
    <x v="6"/>
    <x v="227"/>
    <x v="0"/>
    <x v="0"/>
    <x v="90"/>
    <x v="912"/>
    <x v="902"/>
    <x v="912"/>
  </r>
  <r>
    <x v="913"/>
    <x v="13"/>
    <x v="5"/>
    <x v="1"/>
    <x v="159"/>
    <x v="6"/>
    <x v="380"/>
    <x v="1"/>
    <x v="1"/>
    <x v="29"/>
    <x v="913"/>
    <x v="903"/>
    <x v="913"/>
  </r>
  <r>
    <x v="914"/>
    <x v="14"/>
    <x v="1"/>
    <x v="5"/>
    <x v="160"/>
    <x v="6"/>
    <x v="405"/>
    <x v="2"/>
    <x v="2"/>
    <x v="45"/>
    <x v="914"/>
    <x v="904"/>
    <x v="914"/>
  </r>
  <r>
    <x v="915"/>
    <x v="15"/>
    <x v="5"/>
    <x v="0"/>
    <x v="161"/>
    <x v="6"/>
    <x v="127"/>
    <x v="3"/>
    <x v="3"/>
    <x v="145"/>
    <x v="915"/>
    <x v="905"/>
    <x v="915"/>
  </r>
  <r>
    <x v="916"/>
    <x v="16"/>
    <x v="2"/>
    <x v="6"/>
    <x v="162"/>
    <x v="6"/>
    <x v="199"/>
    <x v="4"/>
    <x v="4"/>
    <x v="205"/>
    <x v="916"/>
    <x v="906"/>
    <x v="916"/>
  </r>
  <r>
    <x v="917"/>
    <x v="17"/>
    <x v="6"/>
    <x v="2"/>
    <x v="163"/>
    <x v="6"/>
    <x v="72"/>
    <x v="5"/>
    <x v="5"/>
    <x v="202"/>
    <x v="917"/>
    <x v="907"/>
    <x v="917"/>
  </r>
  <r>
    <x v="918"/>
    <x v="18"/>
    <x v="0"/>
    <x v="6"/>
    <x v="164"/>
    <x v="6"/>
    <x v="260"/>
    <x v="0"/>
    <x v="0"/>
    <x v="186"/>
    <x v="918"/>
    <x v="908"/>
    <x v="918"/>
  </r>
  <r>
    <x v="919"/>
    <x v="19"/>
    <x v="6"/>
    <x v="1"/>
    <x v="165"/>
    <x v="6"/>
    <x v="406"/>
    <x v="1"/>
    <x v="1"/>
    <x v="58"/>
    <x v="919"/>
    <x v="909"/>
    <x v="919"/>
  </r>
  <r>
    <x v="920"/>
    <x v="20"/>
    <x v="1"/>
    <x v="7"/>
    <x v="166"/>
    <x v="6"/>
    <x v="290"/>
    <x v="2"/>
    <x v="2"/>
    <x v="143"/>
    <x v="920"/>
    <x v="910"/>
    <x v="920"/>
  </r>
  <r>
    <x v="921"/>
    <x v="21"/>
    <x v="7"/>
    <x v="0"/>
    <x v="167"/>
    <x v="6"/>
    <x v="199"/>
    <x v="3"/>
    <x v="3"/>
    <x v="55"/>
    <x v="921"/>
    <x v="911"/>
    <x v="921"/>
  </r>
  <r>
    <x v="922"/>
    <x v="22"/>
    <x v="0"/>
    <x v="7"/>
    <x v="168"/>
    <x v="6"/>
    <x v="384"/>
    <x v="4"/>
    <x v="4"/>
    <x v="210"/>
    <x v="922"/>
    <x v="912"/>
    <x v="922"/>
  </r>
  <r>
    <x v="923"/>
    <x v="23"/>
    <x v="7"/>
    <x v="1"/>
    <x v="169"/>
    <x v="6"/>
    <x v="359"/>
    <x v="5"/>
    <x v="5"/>
    <x v="44"/>
    <x v="923"/>
    <x v="913"/>
    <x v="923"/>
  </r>
  <r>
    <x v="924"/>
    <x v="24"/>
    <x v="1"/>
    <x v="8"/>
    <x v="170"/>
    <x v="6"/>
    <x v="368"/>
    <x v="0"/>
    <x v="0"/>
    <x v="29"/>
    <x v="924"/>
    <x v="914"/>
    <x v="924"/>
  </r>
  <r>
    <x v="925"/>
    <x v="25"/>
    <x v="8"/>
    <x v="0"/>
    <x v="171"/>
    <x v="6"/>
    <x v="123"/>
    <x v="1"/>
    <x v="1"/>
    <x v="50"/>
    <x v="925"/>
    <x v="915"/>
    <x v="925"/>
  </r>
  <r>
    <x v="926"/>
    <x v="26"/>
    <x v="2"/>
    <x v="5"/>
    <x v="172"/>
    <x v="6"/>
    <x v="316"/>
    <x v="2"/>
    <x v="2"/>
    <x v="30"/>
    <x v="926"/>
    <x v="916"/>
    <x v="926"/>
  </r>
  <r>
    <x v="927"/>
    <x v="27"/>
    <x v="5"/>
    <x v="2"/>
    <x v="173"/>
    <x v="6"/>
    <x v="180"/>
    <x v="3"/>
    <x v="3"/>
    <x v="126"/>
    <x v="927"/>
    <x v="917"/>
    <x v="927"/>
  </r>
  <r>
    <x v="928"/>
    <x v="28"/>
    <x v="4"/>
    <x v="1"/>
    <x v="174"/>
    <x v="6"/>
    <x v="387"/>
    <x v="4"/>
    <x v="4"/>
    <x v="243"/>
    <x v="928"/>
    <x v="918"/>
    <x v="928"/>
  </r>
  <r>
    <x v="929"/>
    <x v="29"/>
    <x v="0"/>
    <x v="4"/>
    <x v="175"/>
    <x v="6"/>
    <x v="113"/>
    <x v="5"/>
    <x v="5"/>
    <x v="33"/>
    <x v="929"/>
    <x v="919"/>
    <x v="929"/>
  </r>
  <r>
    <x v="930"/>
    <x v="0"/>
    <x v="0"/>
    <x v="0"/>
    <x v="176"/>
    <x v="6"/>
    <x v="278"/>
    <x v="0"/>
    <x v="0"/>
    <x v="47"/>
    <x v="930"/>
    <x v="920"/>
    <x v="930"/>
  </r>
  <r>
    <x v="931"/>
    <x v="1"/>
    <x v="1"/>
    <x v="1"/>
    <x v="177"/>
    <x v="6"/>
    <x v="100"/>
    <x v="1"/>
    <x v="1"/>
    <x v="45"/>
    <x v="931"/>
    <x v="921"/>
    <x v="931"/>
  </r>
  <r>
    <x v="932"/>
    <x v="2"/>
    <x v="1"/>
    <x v="2"/>
    <x v="178"/>
    <x v="6"/>
    <x v="372"/>
    <x v="2"/>
    <x v="2"/>
    <x v="42"/>
    <x v="932"/>
    <x v="922"/>
    <x v="932"/>
  </r>
  <r>
    <x v="933"/>
    <x v="3"/>
    <x v="2"/>
    <x v="0"/>
    <x v="179"/>
    <x v="6"/>
    <x v="21"/>
    <x v="3"/>
    <x v="3"/>
    <x v="255"/>
    <x v="933"/>
    <x v="923"/>
    <x v="933"/>
  </r>
  <r>
    <x v="934"/>
    <x v="4"/>
    <x v="0"/>
    <x v="2"/>
    <x v="180"/>
    <x v="6"/>
    <x v="407"/>
    <x v="4"/>
    <x v="4"/>
    <x v="176"/>
    <x v="934"/>
    <x v="924"/>
    <x v="934"/>
  </r>
  <r>
    <x v="935"/>
    <x v="5"/>
    <x v="2"/>
    <x v="1"/>
    <x v="181"/>
    <x v="6"/>
    <x v="29"/>
    <x v="5"/>
    <x v="5"/>
    <x v="89"/>
    <x v="935"/>
    <x v="925"/>
    <x v="935"/>
  </r>
  <r>
    <x v="936"/>
    <x v="6"/>
    <x v="0"/>
    <x v="3"/>
    <x v="182"/>
    <x v="6"/>
    <x v="280"/>
    <x v="0"/>
    <x v="0"/>
    <x v="0"/>
    <x v="936"/>
    <x v="926"/>
    <x v="936"/>
  </r>
  <r>
    <x v="937"/>
    <x v="7"/>
    <x v="3"/>
    <x v="1"/>
    <x v="183"/>
    <x v="6"/>
    <x v="328"/>
    <x v="1"/>
    <x v="1"/>
    <x v="236"/>
    <x v="937"/>
    <x v="927"/>
    <x v="937"/>
  </r>
  <r>
    <x v="938"/>
    <x v="8"/>
    <x v="1"/>
    <x v="4"/>
    <x v="184"/>
    <x v="6"/>
    <x v="225"/>
    <x v="2"/>
    <x v="2"/>
    <x v="178"/>
    <x v="938"/>
    <x v="928"/>
    <x v="938"/>
  </r>
  <r>
    <x v="939"/>
    <x v="9"/>
    <x v="4"/>
    <x v="0"/>
    <x v="185"/>
    <x v="6"/>
    <x v="47"/>
    <x v="3"/>
    <x v="3"/>
    <x v="69"/>
    <x v="939"/>
    <x v="929"/>
    <x v="939"/>
  </r>
  <r>
    <x v="940"/>
    <x v="10"/>
    <x v="2"/>
    <x v="3"/>
    <x v="186"/>
    <x v="6"/>
    <x v="50"/>
    <x v="4"/>
    <x v="4"/>
    <x v="172"/>
    <x v="940"/>
    <x v="930"/>
    <x v="940"/>
  </r>
  <r>
    <x v="941"/>
    <x v="11"/>
    <x v="3"/>
    <x v="2"/>
    <x v="187"/>
    <x v="6"/>
    <x v="226"/>
    <x v="5"/>
    <x v="5"/>
    <x v="33"/>
    <x v="941"/>
    <x v="931"/>
    <x v="941"/>
  </r>
  <r>
    <x v="942"/>
    <x v="12"/>
    <x v="0"/>
    <x v="5"/>
    <x v="188"/>
    <x v="6"/>
    <x v="408"/>
    <x v="0"/>
    <x v="0"/>
    <x v="46"/>
    <x v="942"/>
    <x v="932"/>
    <x v="942"/>
  </r>
  <r>
    <x v="943"/>
    <x v="13"/>
    <x v="5"/>
    <x v="1"/>
    <x v="189"/>
    <x v="7"/>
    <x v="86"/>
    <x v="1"/>
    <x v="1"/>
    <x v="128"/>
    <x v="943"/>
    <x v="933"/>
    <x v="943"/>
  </r>
  <r>
    <x v="944"/>
    <x v="14"/>
    <x v="1"/>
    <x v="5"/>
    <x v="190"/>
    <x v="7"/>
    <x v="81"/>
    <x v="2"/>
    <x v="2"/>
    <x v="40"/>
    <x v="944"/>
    <x v="934"/>
    <x v="944"/>
  </r>
  <r>
    <x v="945"/>
    <x v="15"/>
    <x v="5"/>
    <x v="0"/>
    <x v="191"/>
    <x v="7"/>
    <x v="387"/>
    <x v="3"/>
    <x v="3"/>
    <x v="37"/>
    <x v="945"/>
    <x v="935"/>
    <x v="945"/>
  </r>
  <r>
    <x v="946"/>
    <x v="16"/>
    <x v="2"/>
    <x v="6"/>
    <x v="192"/>
    <x v="7"/>
    <x v="98"/>
    <x v="4"/>
    <x v="4"/>
    <x v="165"/>
    <x v="946"/>
    <x v="936"/>
    <x v="946"/>
  </r>
  <r>
    <x v="947"/>
    <x v="17"/>
    <x v="6"/>
    <x v="2"/>
    <x v="193"/>
    <x v="7"/>
    <x v="172"/>
    <x v="5"/>
    <x v="5"/>
    <x v="86"/>
    <x v="947"/>
    <x v="937"/>
    <x v="947"/>
  </r>
  <r>
    <x v="948"/>
    <x v="18"/>
    <x v="0"/>
    <x v="6"/>
    <x v="194"/>
    <x v="7"/>
    <x v="361"/>
    <x v="0"/>
    <x v="0"/>
    <x v="234"/>
    <x v="948"/>
    <x v="938"/>
    <x v="948"/>
  </r>
  <r>
    <x v="949"/>
    <x v="19"/>
    <x v="6"/>
    <x v="1"/>
    <x v="195"/>
    <x v="7"/>
    <x v="290"/>
    <x v="1"/>
    <x v="1"/>
    <x v="98"/>
    <x v="949"/>
    <x v="939"/>
    <x v="949"/>
  </r>
  <r>
    <x v="950"/>
    <x v="20"/>
    <x v="1"/>
    <x v="7"/>
    <x v="196"/>
    <x v="7"/>
    <x v="409"/>
    <x v="2"/>
    <x v="2"/>
    <x v="14"/>
    <x v="950"/>
    <x v="940"/>
    <x v="950"/>
  </r>
  <r>
    <x v="951"/>
    <x v="21"/>
    <x v="7"/>
    <x v="0"/>
    <x v="197"/>
    <x v="7"/>
    <x v="410"/>
    <x v="3"/>
    <x v="3"/>
    <x v="199"/>
    <x v="951"/>
    <x v="941"/>
    <x v="951"/>
  </r>
  <r>
    <x v="952"/>
    <x v="22"/>
    <x v="0"/>
    <x v="7"/>
    <x v="198"/>
    <x v="7"/>
    <x v="181"/>
    <x v="4"/>
    <x v="4"/>
    <x v="256"/>
    <x v="952"/>
    <x v="942"/>
    <x v="952"/>
  </r>
  <r>
    <x v="953"/>
    <x v="23"/>
    <x v="7"/>
    <x v="1"/>
    <x v="199"/>
    <x v="7"/>
    <x v="84"/>
    <x v="5"/>
    <x v="5"/>
    <x v="153"/>
    <x v="953"/>
    <x v="943"/>
    <x v="953"/>
  </r>
  <r>
    <x v="954"/>
    <x v="24"/>
    <x v="1"/>
    <x v="8"/>
    <x v="200"/>
    <x v="7"/>
    <x v="179"/>
    <x v="0"/>
    <x v="0"/>
    <x v="2"/>
    <x v="954"/>
    <x v="944"/>
    <x v="954"/>
  </r>
  <r>
    <x v="955"/>
    <x v="25"/>
    <x v="8"/>
    <x v="0"/>
    <x v="201"/>
    <x v="7"/>
    <x v="181"/>
    <x v="1"/>
    <x v="1"/>
    <x v="125"/>
    <x v="955"/>
    <x v="945"/>
    <x v="955"/>
  </r>
  <r>
    <x v="956"/>
    <x v="26"/>
    <x v="2"/>
    <x v="5"/>
    <x v="202"/>
    <x v="7"/>
    <x v="126"/>
    <x v="2"/>
    <x v="2"/>
    <x v="29"/>
    <x v="956"/>
    <x v="946"/>
    <x v="956"/>
  </r>
  <r>
    <x v="957"/>
    <x v="27"/>
    <x v="5"/>
    <x v="2"/>
    <x v="203"/>
    <x v="7"/>
    <x v="345"/>
    <x v="3"/>
    <x v="3"/>
    <x v="37"/>
    <x v="957"/>
    <x v="947"/>
    <x v="957"/>
  </r>
  <r>
    <x v="958"/>
    <x v="28"/>
    <x v="4"/>
    <x v="1"/>
    <x v="204"/>
    <x v="7"/>
    <x v="62"/>
    <x v="4"/>
    <x v="4"/>
    <x v="257"/>
    <x v="958"/>
    <x v="948"/>
    <x v="958"/>
  </r>
  <r>
    <x v="959"/>
    <x v="29"/>
    <x v="0"/>
    <x v="4"/>
    <x v="205"/>
    <x v="7"/>
    <x v="85"/>
    <x v="5"/>
    <x v="5"/>
    <x v="215"/>
    <x v="959"/>
    <x v="949"/>
    <x v="959"/>
  </r>
  <r>
    <x v="960"/>
    <x v="0"/>
    <x v="0"/>
    <x v="0"/>
    <x v="206"/>
    <x v="7"/>
    <x v="51"/>
    <x v="0"/>
    <x v="0"/>
    <x v="12"/>
    <x v="960"/>
    <x v="950"/>
    <x v="960"/>
  </r>
  <r>
    <x v="961"/>
    <x v="1"/>
    <x v="1"/>
    <x v="1"/>
    <x v="207"/>
    <x v="7"/>
    <x v="13"/>
    <x v="1"/>
    <x v="1"/>
    <x v="137"/>
    <x v="961"/>
    <x v="951"/>
    <x v="961"/>
  </r>
  <r>
    <x v="962"/>
    <x v="2"/>
    <x v="1"/>
    <x v="2"/>
    <x v="208"/>
    <x v="7"/>
    <x v="12"/>
    <x v="2"/>
    <x v="2"/>
    <x v="93"/>
    <x v="962"/>
    <x v="952"/>
    <x v="962"/>
  </r>
  <r>
    <x v="963"/>
    <x v="3"/>
    <x v="2"/>
    <x v="0"/>
    <x v="209"/>
    <x v="7"/>
    <x v="232"/>
    <x v="3"/>
    <x v="3"/>
    <x v="58"/>
    <x v="963"/>
    <x v="953"/>
    <x v="963"/>
  </r>
  <r>
    <x v="964"/>
    <x v="4"/>
    <x v="0"/>
    <x v="2"/>
    <x v="210"/>
    <x v="7"/>
    <x v="14"/>
    <x v="4"/>
    <x v="4"/>
    <x v="258"/>
    <x v="964"/>
    <x v="954"/>
    <x v="964"/>
  </r>
  <r>
    <x v="965"/>
    <x v="5"/>
    <x v="2"/>
    <x v="1"/>
    <x v="211"/>
    <x v="7"/>
    <x v="66"/>
    <x v="5"/>
    <x v="5"/>
    <x v="136"/>
    <x v="965"/>
    <x v="955"/>
    <x v="965"/>
  </r>
  <r>
    <x v="966"/>
    <x v="6"/>
    <x v="0"/>
    <x v="3"/>
    <x v="212"/>
    <x v="7"/>
    <x v="86"/>
    <x v="0"/>
    <x v="0"/>
    <x v="142"/>
    <x v="966"/>
    <x v="956"/>
    <x v="966"/>
  </r>
  <r>
    <x v="967"/>
    <x v="7"/>
    <x v="3"/>
    <x v="1"/>
    <x v="213"/>
    <x v="7"/>
    <x v="75"/>
    <x v="1"/>
    <x v="1"/>
    <x v="104"/>
    <x v="967"/>
    <x v="957"/>
    <x v="967"/>
  </r>
  <r>
    <x v="968"/>
    <x v="8"/>
    <x v="1"/>
    <x v="4"/>
    <x v="214"/>
    <x v="7"/>
    <x v="284"/>
    <x v="2"/>
    <x v="2"/>
    <x v="67"/>
    <x v="968"/>
    <x v="958"/>
    <x v="968"/>
  </r>
  <r>
    <x v="969"/>
    <x v="9"/>
    <x v="4"/>
    <x v="0"/>
    <x v="215"/>
    <x v="7"/>
    <x v="238"/>
    <x v="3"/>
    <x v="3"/>
    <x v="47"/>
    <x v="969"/>
    <x v="959"/>
    <x v="969"/>
  </r>
  <r>
    <x v="970"/>
    <x v="10"/>
    <x v="2"/>
    <x v="3"/>
    <x v="216"/>
    <x v="7"/>
    <x v="411"/>
    <x v="4"/>
    <x v="4"/>
    <x v="38"/>
    <x v="970"/>
    <x v="960"/>
    <x v="970"/>
  </r>
  <r>
    <x v="971"/>
    <x v="11"/>
    <x v="3"/>
    <x v="2"/>
    <x v="217"/>
    <x v="7"/>
    <x v="175"/>
    <x v="5"/>
    <x v="5"/>
    <x v="225"/>
    <x v="971"/>
    <x v="961"/>
    <x v="971"/>
  </r>
  <r>
    <x v="972"/>
    <x v="12"/>
    <x v="0"/>
    <x v="5"/>
    <x v="218"/>
    <x v="7"/>
    <x v="100"/>
    <x v="0"/>
    <x v="0"/>
    <x v="154"/>
    <x v="972"/>
    <x v="962"/>
    <x v="972"/>
  </r>
  <r>
    <x v="973"/>
    <x v="13"/>
    <x v="5"/>
    <x v="1"/>
    <x v="219"/>
    <x v="7"/>
    <x v="112"/>
    <x v="1"/>
    <x v="1"/>
    <x v="25"/>
    <x v="973"/>
    <x v="963"/>
    <x v="973"/>
  </r>
  <r>
    <x v="974"/>
    <x v="14"/>
    <x v="1"/>
    <x v="5"/>
    <x v="220"/>
    <x v="8"/>
    <x v="0"/>
    <x v="2"/>
    <x v="2"/>
    <x v="182"/>
    <x v="974"/>
    <x v="964"/>
    <x v="974"/>
  </r>
  <r>
    <x v="975"/>
    <x v="15"/>
    <x v="5"/>
    <x v="0"/>
    <x v="221"/>
    <x v="8"/>
    <x v="116"/>
    <x v="3"/>
    <x v="3"/>
    <x v="69"/>
    <x v="975"/>
    <x v="965"/>
    <x v="975"/>
  </r>
  <r>
    <x v="976"/>
    <x v="16"/>
    <x v="2"/>
    <x v="6"/>
    <x v="222"/>
    <x v="8"/>
    <x v="412"/>
    <x v="4"/>
    <x v="4"/>
    <x v="32"/>
    <x v="976"/>
    <x v="966"/>
    <x v="976"/>
  </r>
  <r>
    <x v="977"/>
    <x v="17"/>
    <x v="6"/>
    <x v="2"/>
    <x v="223"/>
    <x v="8"/>
    <x v="105"/>
    <x v="5"/>
    <x v="5"/>
    <x v="91"/>
    <x v="977"/>
    <x v="967"/>
    <x v="977"/>
  </r>
  <r>
    <x v="978"/>
    <x v="18"/>
    <x v="0"/>
    <x v="6"/>
    <x v="224"/>
    <x v="8"/>
    <x v="202"/>
    <x v="0"/>
    <x v="0"/>
    <x v="2"/>
    <x v="978"/>
    <x v="968"/>
    <x v="978"/>
  </r>
  <r>
    <x v="979"/>
    <x v="19"/>
    <x v="6"/>
    <x v="1"/>
    <x v="225"/>
    <x v="8"/>
    <x v="95"/>
    <x v="1"/>
    <x v="1"/>
    <x v="75"/>
    <x v="979"/>
    <x v="969"/>
    <x v="979"/>
  </r>
  <r>
    <x v="980"/>
    <x v="20"/>
    <x v="1"/>
    <x v="7"/>
    <x v="226"/>
    <x v="8"/>
    <x v="87"/>
    <x v="2"/>
    <x v="2"/>
    <x v="13"/>
    <x v="980"/>
    <x v="970"/>
    <x v="980"/>
  </r>
  <r>
    <x v="981"/>
    <x v="21"/>
    <x v="7"/>
    <x v="0"/>
    <x v="227"/>
    <x v="8"/>
    <x v="413"/>
    <x v="3"/>
    <x v="3"/>
    <x v="62"/>
    <x v="981"/>
    <x v="971"/>
    <x v="981"/>
  </r>
  <r>
    <x v="982"/>
    <x v="22"/>
    <x v="0"/>
    <x v="7"/>
    <x v="228"/>
    <x v="8"/>
    <x v="338"/>
    <x v="4"/>
    <x v="4"/>
    <x v="161"/>
    <x v="982"/>
    <x v="972"/>
    <x v="982"/>
  </r>
  <r>
    <x v="983"/>
    <x v="23"/>
    <x v="7"/>
    <x v="1"/>
    <x v="229"/>
    <x v="8"/>
    <x v="207"/>
    <x v="5"/>
    <x v="5"/>
    <x v="86"/>
    <x v="983"/>
    <x v="973"/>
    <x v="983"/>
  </r>
  <r>
    <x v="984"/>
    <x v="24"/>
    <x v="1"/>
    <x v="8"/>
    <x v="230"/>
    <x v="8"/>
    <x v="286"/>
    <x v="0"/>
    <x v="0"/>
    <x v="134"/>
    <x v="984"/>
    <x v="974"/>
    <x v="984"/>
  </r>
  <r>
    <x v="985"/>
    <x v="25"/>
    <x v="8"/>
    <x v="0"/>
    <x v="231"/>
    <x v="8"/>
    <x v="414"/>
    <x v="1"/>
    <x v="1"/>
    <x v="115"/>
    <x v="985"/>
    <x v="975"/>
    <x v="985"/>
  </r>
  <r>
    <x v="986"/>
    <x v="26"/>
    <x v="2"/>
    <x v="5"/>
    <x v="232"/>
    <x v="8"/>
    <x v="372"/>
    <x v="2"/>
    <x v="2"/>
    <x v="236"/>
    <x v="986"/>
    <x v="976"/>
    <x v="986"/>
  </r>
  <r>
    <x v="987"/>
    <x v="27"/>
    <x v="5"/>
    <x v="2"/>
    <x v="233"/>
    <x v="8"/>
    <x v="62"/>
    <x v="3"/>
    <x v="3"/>
    <x v="164"/>
    <x v="987"/>
    <x v="977"/>
    <x v="987"/>
  </r>
  <r>
    <x v="988"/>
    <x v="28"/>
    <x v="4"/>
    <x v="1"/>
    <x v="234"/>
    <x v="8"/>
    <x v="336"/>
    <x v="4"/>
    <x v="4"/>
    <x v="74"/>
    <x v="988"/>
    <x v="978"/>
    <x v="988"/>
  </r>
  <r>
    <x v="989"/>
    <x v="29"/>
    <x v="0"/>
    <x v="4"/>
    <x v="235"/>
    <x v="8"/>
    <x v="210"/>
    <x v="5"/>
    <x v="5"/>
    <x v="153"/>
    <x v="989"/>
    <x v="979"/>
    <x v="989"/>
  </r>
  <r>
    <x v="990"/>
    <x v="0"/>
    <x v="0"/>
    <x v="0"/>
    <x v="236"/>
    <x v="8"/>
    <x v="246"/>
    <x v="0"/>
    <x v="0"/>
    <x v="40"/>
    <x v="990"/>
    <x v="980"/>
    <x v="990"/>
  </r>
  <r>
    <x v="991"/>
    <x v="1"/>
    <x v="1"/>
    <x v="1"/>
    <x v="237"/>
    <x v="8"/>
    <x v="415"/>
    <x v="1"/>
    <x v="1"/>
    <x v="143"/>
    <x v="991"/>
    <x v="981"/>
    <x v="991"/>
  </r>
  <r>
    <x v="992"/>
    <x v="2"/>
    <x v="1"/>
    <x v="2"/>
    <x v="238"/>
    <x v="8"/>
    <x v="310"/>
    <x v="2"/>
    <x v="2"/>
    <x v="13"/>
    <x v="992"/>
    <x v="480"/>
    <x v="992"/>
  </r>
  <r>
    <x v="993"/>
    <x v="3"/>
    <x v="2"/>
    <x v="0"/>
    <x v="239"/>
    <x v="8"/>
    <x v="117"/>
    <x v="3"/>
    <x v="3"/>
    <x v="259"/>
    <x v="993"/>
    <x v="982"/>
    <x v="993"/>
  </r>
  <r>
    <x v="994"/>
    <x v="4"/>
    <x v="0"/>
    <x v="2"/>
    <x v="240"/>
    <x v="8"/>
    <x v="256"/>
    <x v="4"/>
    <x v="4"/>
    <x v="260"/>
    <x v="994"/>
    <x v="983"/>
    <x v="994"/>
  </r>
  <r>
    <x v="995"/>
    <x v="5"/>
    <x v="2"/>
    <x v="1"/>
    <x v="241"/>
    <x v="8"/>
    <x v="80"/>
    <x v="5"/>
    <x v="5"/>
    <x v="119"/>
    <x v="995"/>
    <x v="984"/>
    <x v="995"/>
  </r>
  <r>
    <x v="996"/>
    <x v="6"/>
    <x v="0"/>
    <x v="3"/>
    <x v="242"/>
    <x v="8"/>
    <x v="164"/>
    <x v="0"/>
    <x v="0"/>
    <x v="177"/>
    <x v="996"/>
    <x v="985"/>
    <x v="996"/>
  </r>
  <r>
    <x v="997"/>
    <x v="7"/>
    <x v="3"/>
    <x v="1"/>
    <x v="243"/>
    <x v="8"/>
    <x v="289"/>
    <x v="1"/>
    <x v="1"/>
    <x v="14"/>
    <x v="997"/>
    <x v="986"/>
    <x v="997"/>
  </r>
  <r>
    <x v="998"/>
    <x v="8"/>
    <x v="1"/>
    <x v="4"/>
    <x v="244"/>
    <x v="8"/>
    <x v="393"/>
    <x v="2"/>
    <x v="2"/>
    <x v="143"/>
    <x v="998"/>
    <x v="987"/>
    <x v="998"/>
  </r>
  <r>
    <x v="999"/>
    <x v="9"/>
    <x v="4"/>
    <x v="0"/>
    <x v="245"/>
    <x v="8"/>
    <x v="313"/>
    <x v="3"/>
    <x v="3"/>
    <x v="118"/>
    <x v="999"/>
    <x v="988"/>
    <x v="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1"/>
    <x v="2"/>
    <x v="2"/>
    <x v="2"/>
    <x v="2"/>
    <x v="2"/>
    <x v="2"/>
    <x v="2"/>
    <x v="2"/>
    <x v="2"/>
    <x v="2"/>
  </r>
  <r>
    <x v="3"/>
    <x v="3"/>
    <x v="2"/>
    <x v="0"/>
    <x v="3"/>
    <x v="3"/>
    <x v="3"/>
    <x v="3"/>
    <x v="3"/>
    <x v="3"/>
    <x v="3"/>
    <x v="3"/>
    <x v="3"/>
  </r>
  <r>
    <x v="4"/>
    <x v="4"/>
    <x v="0"/>
    <x v="2"/>
    <x v="4"/>
    <x v="0"/>
    <x v="4"/>
    <x v="4"/>
    <x v="4"/>
    <x v="4"/>
    <x v="4"/>
    <x v="4"/>
    <x v="4"/>
  </r>
  <r>
    <x v="5"/>
    <x v="5"/>
    <x v="2"/>
    <x v="1"/>
    <x v="5"/>
    <x v="0"/>
    <x v="5"/>
    <x v="5"/>
    <x v="5"/>
    <x v="5"/>
    <x v="5"/>
    <x v="5"/>
    <x v="5"/>
  </r>
  <r>
    <x v="6"/>
    <x v="6"/>
    <x v="0"/>
    <x v="3"/>
    <x v="6"/>
    <x v="2"/>
    <x v="6"/>
    <x v="0"/>
    <x v="0"/>
    <x v="6"/>
    <x v="6"/>
    <x v="6"/>
    <x v="6"/>
  </r>
  <r>
    <x v="7"/>
    <x v="7"/>
    <x v="3"/>
    <x v="1"/>
    <x v="7"/>
    <x v="1"/>
    <x v="7"/>
    <x v="1"/>
    <x v="1"/>
    <x v="7"/>
    <x v="7"/>
    <x v="7"/>
    <x v="7"/>
  </r>
  <r>
    <x v="8"/>
    <x v="8"/>
    <x v="1"/>
    <x v="4"/>
    <x v="8"/>
    <x v="4"/>
    <x v="8"/>
    <x v="2"/>
    <x v="2"/>
    <x v="8"/>
    <x v="8"/>
    <x v="8"/>
    <x v="8"/>
  </r>
  <r>
    <x v="9"/>
    <x v="9"/>
    <x v="4"/>
    <x v="0"/>
    <x v="9"/>
    <x v="5"/>
    <x v="9"/>
    <x v="3"/>
    <x v="3"/>
    <x v="9"/>
    <x v="9"/>
    <x v="9"/>
    <x v="9"/>
  </r>
  <r>
    <x v="10"/>
    <x v="10"/>
    <x v="2"/>
    <x v="3"/>
    <x v="10"/>
    <x v="3"/>
    <x v="10"/>
    <x v="4"/>
    <x v="4"/>
    <x v="10"/>
    <x v="10"/>
    <x v="10"/>
    <x v="10"/>
  </r>
  <r>
    <x v="11"/>
    <x v="11"/>
    <x v="3"/>
    <x v="2"/>
    <x v="11"/>
    <x v="2"/>
    <x v="11"/>
    <x v="5"/>
    <x v="5"/>
    <x v="11"/>
    <x v="11"/>
    <x v="11"/>
    <x v="11"/>
  </r>
  <r>
    <x v="12"/>
    <x v="12"/>
    <x v="0"/>
    <x v="5"/>
    <x v="12"/>
    <x v="1"/>
    <x v="12"/>
    <x v="0"/>
    <x v="0"/>
    <x v="12"/>
    <x v="12"/>
    <x v="12"/>
    <x v="12"/>
  </r>
  <r>
    <x v="13"/>
    <x v="13"/>
    <x v="5"/>
    <x v="1"/>
    <x v="13"/>
    <x v="5"/>
    <x v="13"/>
    <x v="1"/>
    <x v="1"/>
    <x v="13"/>
    <x v="13"/>
    <x v="13"/>
    <x v="13"/>
  </r>
  <r>
    <x v="14"/>
    <x v="14"/>
    <x v="1"/>
    <x v="5"/>
    <x v="14"/>
    <x v="2"/>
    <x v="12"/>
    <x v="2"/>
    <x v="2"/>
    <x v="14"/>
    <x v="14"/>
    <x v="14"/>
    <x v="14"/>
  </r>
  <r>
    <x v="15"/>
    <x v="15"/>
    <x v="5"/>
    <x v="0"/>
    <x v="15"/>
    <x v="3"/>
    <x v="14"/>
    <x v="3"/>
    <x v="3"/>
    <x v="15"/>
    <x v="15"/>
    <x v="15"/>
    <x v="15"/>
  </r>
  <r>
    <x v="16"/>
    <x v="16"/>
    <x v="2"/>
    <x v="6"/>
    <x v="16"/>
    <x v="4"/>
    <x v="15"/>
    <x v="4"/>
    <x v="4"/>
    <x v="16"/>
    <x v="16"/>
    <x v="16"/>
    <x v="16"/>
  </r>
  <r>
    <x v="17"/>
    <x v="17"/>
    <x v="6"/>
    <x v="2"/>
    <x v="17"/>
    <x v="1"/>
    <x v="16"/>
    <x v="5"/>
    <x v="5"/>
    <x v="17"/>
    <x v="17"/>
    <x v="17"/>
    <x v="17"/>
  </r>
  <r>
    <x v="18"/>
    <x v="18"/>
    <x v="0"/>
    <x v="6"/>
    <x v="18"/>
    <x v="5"/>
    <x v="17"/>
    <x v="0"/>
    <x v="0"/>
    <x v="3"/>
    <x v="18"/>
    <x v="18"/>
    <x v="18"/>
  </r>
  <r>
    <x v="19"/>
    <x v="19"/>
    <x v="6"/>
    <x v="1"/>
    <x v="5"/>
    <x v="0"/>
    <x v="18"/>
    <x v="1"/>
    <x v="1"/>
    <x v="18"/>
    <x v="19"/>
    <x v="19"/>
    <x v="19"/>
  </r>
  <r>
    <x v="20"/>
    <x v="20"/>
    <x v="1"/>
    <x v="7"/>
    <x v="4"/>
    <x v="0"/>
    <x v="19"/>
    <x v="2"/>
    <x v="2"/>
    <x v="19"/>
    <x v="20"/>
    <x v="20"/>
    <x v="20"/>
  </r>
  <r>
    <x v="21"/>
    <x v="21"/>
    <x v="7"/>
    <x v="0"/>
    <x v="19"/>
    <x v="4"/>
    <x v="20"/>
    <x v="3"/>
    <x v="3"/>
    <x v="20"/>
    <x v="21"/>
    <x v="21"/>
    <x v="21"/>
  </r>
  <r>
    <x v="22"/>
    <x v="22"/>
    <x v="0"/>
    <x v="7"/>
    <x v="20"/>
    <x v="2"/>
    <x v="21"/>
    <x v="4"/>
    <x v="4"/>
    <x v="21"/>
    <x v="22"/>
    <x v="22"/>
    <x v="22"/>
  </r>
  <r>
    <x v="23"/>
    <x v="23"/>
    <x v="7"/>
    <x v="1"/>
    <x v="21"/>
    <x v="1"/>
    <x v="22"/>
    <x v="5"/>
    <x v="5"/>
    <x v="22"/>
    <x v="23"/>
    <x v="23"/>
    <x v="23"/>
  </r>
  <r>
    <x v="24"/>
    <x v="24"/>
    <x v="1"/>
    <x v="8"/>
    <x v="22"/>
    <x v="4"/>
    <x v="23"/>
    <x v="0"/>
    <x v="0"/>
    <x v="23"/>
    <x v="24"/>
    <x v="24"/>
    <x v="24"/>
  </r>
  <r>
    <x v="25"/>
    <x v="25"/>
    <x v="8"/>
    <x v="0"/>
    <x v="23"/>
    <x v="2"/>
    <x v="24"/>
    <x v="1"/>
    <x v="1"/>
    <x v="7"/>
    <x v="25"/>
    <x v="25"/>
    <x v="25"/>
  </r>
  <r>
    <x v="26"/>
    <x v="26"/>
    <x v="2"/>
    <x v="5"/>
    <x v="24"/>
    <x v="2"/>
    <x v="25"/>
    <x v="2"/>
    <x v="2"/>
    <x v="24"/>
    <x v="26"/>
    <x v="26"/>
    <x v="26"/>
  </r>
  <r>
    <x v="27"/>
    <x v="27"/>
    <x v="5"/>
    <x v="2"/>
    <x v="25"/>
    <x v="1"/>
    <x v="26"/>
    <x v="3"/>
    <x v="3"/>
    <x v="25"/>
    <x v="27"/>
    <x v="27"/>
    <x v="27"/>
  </r>
  <r>
    <x v="28"/>
    <x v="28"/>
    <x v="4"/>
    <x v="1"/>
    <x v="26"/>
    <x v="4"/>
    <x v="27"/>
    <x v="4"/>
    <x v="4"/>
    <x v="26"/>
    <x v="28"/>
    <x v="28"/>
    <x v="28"/>
  </r>
  <r>
    <x v="29"/>
    <x v="29"/>
    <x v="0"/>
    <x v="4"/>
    <x v="27"/>
    <x v="4"/>
    <x v="28"/>
    <x v="5"/>
    <x v="5"/>
    <x v="27"/>
    <x v="29"/>
    <x v="29"/>
    <x v="29"/>
  </r>
  <r>
    <x v="30"/>
    <x v="0"/>
    <x v="0"/>
    <x v="0"/>
    <x v="28"/>
    <x v="4"/>
    <x v="29"/>
    <x v="0"/>
    <x v="0"/>
    <x v="28"/>
    <x v="30"/>
    <x v="30"/>
    <x v="30"/>
  </r>
  <r>
    <x v="31"/>
    <x v="1"/>
    <x v="1"/>
    <x v="1"/>
    <x v="29"/>
    <x v="5"/>
    <x v="30"/>
    <x v="1"/>
    <x v="1"/>
    <x v="29"/>
    <x v="31"/>
    <x v="31"/>
    <x v="31"/>
  </r>
  <r>
    <x v="32"/>
    <x v="2"/>
    <x v="1"/>
    <x v="2"/>
    <x v="9"/>
    <x v="5"/>
    <x v="31"/>
    <x v="2"/>
    <x v="2"/>
    <x v="30"/>
    <x v="32"/>
    <x v="32"/>
    <x v="32"/>
  </r>
  <r>
    <x v="33"/>
    <x v="3"/>
    <x v="2"/>
    <x v="0"/>
    <x v="30"/>
    <x v="5"/>
    <x v="17"/>
    <x v="3"/>
    <x v="3"/>
    <x v="31"/>
    <x v="33"/>
    <x v="33"/>
    <x v="33"/>
  </r>
  <r>
    <x v="34"/>
    <x v="4"/>
    <x v="0"/>
    <x v="2"/>
    <x v="31"/>
    <x v="5"/>
    <x v="32"/>
    <x v="4"/>
    <x v="4"/>
    <x v="32"/>
    <x v="34"/>
    <x v="34"/>
    <x v="34"/>
  </r>
  <r>
    <x v="35"/>
    <x v="5"/>
    <x v="2"/>
    <x v="1"/>
    <x v="32"/>
    <x v="5"/>
    <x v="12"/>
    <x v="5"/>
    <x v="5"/>
    <x v="33"/>
    <x v="35"/>
    <x v="35"/>
    <x v="35"/>
  </r>
  <r>
    <x v="36"/>
    <x v="6"/>
    <x v="0"/>
    <x v="3"/>
    <x v="33"/>
    <x v="5"/>
    <x v="33"/>
    <x v="0"/>
    <x v="0"/>
    <x v="34"/>
    <x v="36"/>
    <x v="36"/>
    <x v="36"/>
  </r>
  <r>
    <x v="37"/>
    <x v="7"/>
    <x v="3"/>
    <x v="1"/>
    <x v="34"/>
    <x v="5"/>
    <x v="34"/>
    <x v="1"/>
    <x v="1"/>
    <x v="35"/>
    <x v="37"/>
    <x v="37"/>
    <x v="37"/>
  </r>
  <r>
    <x v="38"/>
    <x v="8"/>
    <x v="1"/>
    <x v="4"/>
    <x v="35"/>
    <x v="5"/>
    <x v="35"/>
    <x v="2"/>
    <x v="2"/>
    <x v="36"/>
    <x v="38"/>
    <x v="38"/>
    <x v="38"/>
  </r>
  <r>
    <x v="39"/>
    <x v="9"/>
    <x v="4"/>
    <x v="0"/>
    <x v="36"/>
    <x v="5"/>
    <x v="36"/>
    <x v="3"/>
    <x v="3"/>
    <x v="37"/>
    <x v="39"/>
    <x v="39"/>
    <x v="39"/>
  </r>
  <r>
    <x v="40"/>
    <x v="10"/>
    <x v="2"/>
    <x v="3"/>
    <x v="37"/>
    <x v="5"/>
    <x v="37"/>
    <x v="4"/>
    <x v="4"/>
    <x v="38"/>
    <x v="40"/>
    <x v="40"/>
    <x v="40"/>
  </r>
  <r>
    <x v="41"/>
    <x v="11"/>
    <x v="3"/>
    <x v="2"/>
    <x v="38"/>
    <x v="5"/>
    <x v="38"/>
    <x v="5"/>
    <x v="5"/>
    <x v="39"/>
    <x v="41"/>
    <x v="41"/>
    <x v="41"/>
  </r>
  <r>
    <x v="42"/>
    <x v="12"/>
    <x v="0"/>
    <x v="5"/>
    <x v="39"/>
    <x v="5"/>
    <x v="39"/>
    <x v="0"/>
    <x v="0"/>
    <x v="40"/>
    <x v="42"/>
    <x v="42"/>
    <x v="42"/>
  </r>
  <r>
    <x v="43"/>
    <x v="13"/>
    <x v="5"/>
    <x v="1"/>
    <x v="40"/>
    <x v="5"/>
    <x v="40"/>
    <x v="1"/>
    <x v="1"/>
    <x v="13"/>
    <x v="43"/>
    <x v="43"/>
    <x v="43"/>
  </r>
  <r>
    <x v="44"/>
    <x v="14"/>
    <x v="1"/>
    <x v="5"/>
    <x v="41"/>
    <x v="5"/>
    <x v="41"/>
    <x v="2"/>
    <x v="2"/>
    <x v="41"/>
    <x v="44"/>
    <x v="44"/>
    <x v="44"/>
  </r>
  <r>
    <x v="45"/>
    <x v="15"/>
    <x v="5"/>
    <x v="0"/>
    <x v="42"/>
    <x v="5"/>
    <x v="42"/>
    <x v="3"/>
    <x v="3"/>
    <x v="42"/>
    <x v="45"/>
    <x v="45"/>
    <x v="45"/>
  </r>
  <r>
    <x v="46"/>
    <x v="16"/>
    <x v="2"/>
    <x v="6"/>
    <x v="13"/>
    <x v="5"/>
    <x v="43"/>
    <x v="4"/>
    <x v="4"/>
    <x v="43"/>
    <x v="46"/>
    <x v="46"/>
    <x v="46"/>
  </r>
  <r>
    <x v="47"/>
    <x v="17"/>
    <x v="6"/>
    <x v="2"/>
    <x v="43"/>
    <x v="5"/>
    <x v="44"/>
    <x v="5"/>
    <x v="5"/>
    <x v="44"/>
    <x v="47"/>
    <x v="47"/>
    <x v="47"/>
  </r>
  <r>
    <x v="48"/>
    <x v="18"/>
    <x v="0"/>
    <x v="6"/>
    <x v="44"/>
    <x v="5"/>
    <x v="45"/>
    <x v="0"/>
    <x v="0"/>
    <x v="45"/>
    <x v="48"/>
    <x v="48"/>
    <x v="48"/>
  </r>
  <r>
    <x v="49"/>
    <x v="19"/>
    <x v="6"/>
    <x v="1"/>
    <x v="45"/>
    <x v="5"/>
    <x v="31"/>
    <x v="1"/>
    <x v="1"/>
    <x v="14"/>
    <x v="49"/>
    <x v="49"/>
    <x v="49"/>
  </r>
  <r>
    <x v="50"/>
    <x v="20"/>
    <x v="1"/>
    <x v="7"/>
    <x v="46"/>
    <x v="5"/>
    <x v="46"/>
    <x v="2"/>
    <x v="2"/>
    <x v="46"/>
    <x v="50"/>
    <x v="50"/>
    <x v="50"/>
  </r>
  <r>
    <x v="51"/>
    <x v="21"/>
    <x v="7"/>
    <x v="0"/>
    <x v="47"/>
    <x v="5"/>
    <x v="47"/>
    <x v="3"/>
    <x v="3"/>
    <x v="47"/>
    <x v="51"/>
    <x v="51"/>
    <x v="51"/>
  </r>
  <r>
    <x v="52"/>
    <x v="22"/>
    <x v="0"/>
    <x v="7"/>
    <x v="48"/>
    <x v="5"/>
    <x v="48"/>
    <x v="4"/>
    <x v="4"/>
    <x v="48"/>
    <x v="52"/>
    <x v="52"/>
    <x v="52"/>
  </r>
  <r>
    <x v="53"/>
    <x v="23"/>
    <x v="7"/>
    <x v="1"/>
    <x v="49"/>
    <x v="5"/>
    <x v="49"/>
    <x v="5"/>
    <x v="5"/>
    <x v="49"/>
    <x v="53"/>
    <x v="53"/>
    <x v="53"/>
  </r>
  <r>
    <x v="54"/>
    <x v="24"/>
    <x v="1"/>
    <x v="8"/>
    <x v="50"/>
    <x v="5"/>
    <x v="50"/>
    <x v="0"/>
    <x v="0"/>
    <x v="50"/>
    <x v="54"/>
    <x v="54"/>
    <x v="54"/>
  </r>
  <r>
    <x v="55"/>
    <x v="25"/>
    <x v="8"/>
    <x v="0"/>
    <x v="18"/>
    <x v="5"/>
    <x v="51"/>
    <x v="1"/>
    <x v="1"/>
    <x v="51"/>
    <x v="55"/>
    <x v="55"/>
    <x v="55"/>
  </r>
  <r>
    <x v="56"/>
    <x v="26"/>
    <x v="2"/>
    <x v="5"/>
    <x v="51"/>
    <x v="5"/>
    <x v="52"/>
    <x v="2"/>
    <x v="2"/>
    <x v="52"/>
    <x v="56"/>
    <x v="56"/>
    <x v="56"/>
  </r>
  <r>
    <x v="57"/>
    <x v="27"/>
    <x v="5"/>
    <x v="2"/>
    <x v="52"/>
    <x v="5"/>
    <x v="53"/>
    <x v="3"/>
    <x v="3"/>
    <x v="53"/>
    <x v="57"/>
    <x v="57"/>
    <x v="57"/>
  </r>
  <r>
    <x v="58"/>
    <x v="28"/>
    <x v="4"/>
    <x v="1"/>
    <x v="53"/>
    <x v="5"/>
    <x v="54"/>
    <x v="4"/>
    <x v="4"/>
    <x v="54"/>
    <x v="58"/>
    <x v="58"/>
    <x v="58"/>
  </r>
  <r>
    <x v="59"/>
    <x v="29"/>
    <x v="0"/>
    <x v="4"/>
    <x v="54"/>
    <x v="5"/>
    <x v="5"/>
    <x v="5"/>
    <x v="5"/>
    <x v="22"/>
    <x v="59"/>
    <x v="59"/>
    <x v="59"/>
  </r>
  <r>
    <x v="60"/>
    <x v="0"/>
    <x v="0"/>
    <x v="0"/>
    <x v="55"/>
    <x v="0"/>
    <x v="55"/>
    <x v="0"/>
    <x v="0"/>
    <x v="24"/>
    <x v="60"/>
    <x v="60"/>
    <x v="60"/>
  </r>
  <r>
    <x v="61"/>
    <x v="1"/>
    <x v="1"/>
    <x v="1"/>
    <x v="56"/>
    <x v="0"/>
    <x v="56"/>
    <x v="1"/>
    <x v="1"/>
    <x v="3"/>
    <x v="61"/>
    <x v="61"/>
    <x v="61"/>
  </r>
  <r>
    <x v="62"/>
    <x v="2"/>
    <x v="1"/>
    <x v="2"/>
    <x v="57"/>
    <x v="0"/>
    <x v="57"/>
    <x v="2"/>
    <x v="2"/>
    <x v="47"/>
    <x v="62"/>
    <x v="62"/>
    <x v="62"/>
  </r>
  <r>
    <x v="63"/>
    <x v="3"/>
    <x v="2"/>
    <x v="0"/>
    <x v="4"/>
    <x v="0"/>
    <x v="58"/>
    <x v="3"/>
    <x v="3"/>
    <x v="55"/>
    <x v="63"/>
    <x v="63"/>
    <x v="63"/>
  </r>
  <r>
    <x v="64"/>
    <x v="4"/>
    <x v="0"/>
    <x v="2"/>
    <x v="58"/>
    <x v="0"/>
    <x v="59"/>
    <x v="4"/>
    <x v="4"/>
    <x v="56"/>
    <x v="64"/>
    <x v="64"/>
    <x v="64"/>
  </r>
  <r>
    <x v="65"/>
    <x v="5"/>
    <x v="2"/>
    <x v="1"/>
    <x v="59"/>
    <x v="0"/>
    <x v="60"/>
    <x v="5"/>
    <x v="5"/>
    <x v="22"/>
    <x v="65"/>
    <x v="65"/>
    <x v="65"/>
  </r>
  <r>
    <x v="66"/>
    <x v="6"/>
    <x v="0"/>
    <x v="3"/>
    <x v="60"/>
    <x v="0"/>
    <x v="61"/>
    <x v="0"/>
    <x v="0"/>
    <x v="57"/>
    <x v="66"/>
    <x v="66"/>
    <x v="66"/>
  </r>
  <r>
    <x v="67"/>
    <x v="7"/>
    <x v="3"/>
    <x v="1"/>
    <x v="0"/>
    <x v="0"/>
    <x v="62"/>
    <x v="1"/>
    <x v="1"/>
    <x v="57"/>
    <x v="67"/>
    <x v="67"/>
    <x v="67"/>
  </r>
  <r>
    <x v="68"/>
    <x v="8"/>
    <x v="1"/>
    <x v="4"/>
    <x v="61"/>
    <x v="0"/>
    <x v="63"/>
    <x v="2"/>
    <x v="2"/>
    <x v="58"/>
    <x v="68"/>
    <x v="68"/>
    <x v="68"/>
  </r>
  <r>
    <x v="69"/>
    <x v="9"/>
    <x v="4"/>
    <x v="0"/>
    <x v="62"/>
    <x v="0"/>
    <x v="46"/>
    <x v="3"/>
    <x v="3"/>
    <x v="59"/>
    <x v="69"/>
    <x v="69"/>
    <x v="69"/>
  </r>
  <r>
    <x v="70"/>
    <x v="10"/>
    <x v="2"/>
    <x v="3"/>
    <x v="63"/>
    <x v="0"/>
    <x v="64"/>
    <x v="4"/>
    <x v="4"/>
    <x v="60"/>
    <x v="70"/>
    <x v="70"/>
    <x v="70"/>
  </r>
  <r>
    <x v="71"/>
    <x v="11"/>
    <x v="3"/>
    <x v="2"/>
    <x v="64"/>
    <x v="0"/>
    <x v="65"/>
    <x v="5"/>
    <x v="5"/>
    <x v="61"/>
    <x v="71"/>
    <x v="71"/>
    <x v="71"/>
  </r>
  <r>
    <x v="72"/>
    <x v="12"/>
    <x v="0"/>
    <x v="5"/>
    <x v="65"/>
    <x v="0"/>
    <x v="66"/>
    <x v="0"/>
    <x v="0"/>
    <x v="47"/>
    <x v="72"/>
    <x v="72"/>
    <x v="72"/>
  </r>
  <r>
    <x v="73"/>
    <x v="13"/>
    <x v="5"/>
    <x v="1"/>
    <x v="5"/>
    <x v="0"/>
    <x v="51"/>
    <x v="1"/>
    <x v="1"/>
    <x v="62"/>
    <x v="73"/>
    <x v="73"/>
    <x v="73"/>
  </r>
  <r>
    <x v="74"/>
    <x v="14"/>
    <x v="1"/>
    <x v="5"/>
    <x v="66"/>
    <x v="0"/>
    <x v="67"/>
    <x v="2"/>
    <x v="2"/>
    <x v="63"/>
    <x v="74"/>
    <x v="74"/>
    <x v="74"/>
  </r>
  <r>
    <x v="75"/>
    <x v="15"/>
    <x v="5"/>
    <x v="0"/>
    <x v="67"/>
    <x v="0"/>
    <x v="68"/>
    <x v="3"/>
    <x v="3"/>
    <x v="64"/>
    <x v="75"/>
    <x v="75"/>
    <x v="75"/>
  </r>
  <r>
    <x v="76"/>
    <x v="16"/>
    <x v="2"/>
    <x v="6"/>
    <x v="68"/>
    <x v="0"/>
    <x v="69"/>
    <x v="4"/>
    <x v="4"/>
    <x v="65"/>
    <x v="76"/>
    <x v="76"/>
    <x v="76"/>
  </r>
  <r>
    <x v="77"/>
    <x v="17"/>
    <x v="6"/>
    <x v="2"/>
    <x v="69"/>
    <x v="0"/>
    <x v="70"/>
    <x v="5"/>
    <x v="5"/>
    <x v="66"/>
    <x v="77"/>
    <x v="77"/>
    <x v="77"/>
  </r>
  <r>
    <x v="78"/>
    <x v="18"/>
    <x v="0"/>
    <x v="6"/>
    <x v="70"/>
    <x v="0"/>
    <x v="71"/>
    <x v="0"/>
    <x v="0"/>
    <x v="67"/>
    <x v="78"/>
    <x v="78"/>
    <x v="78"/>
  </r>
  <r>
    <x v="79"/>
    <x v="19"/>
    <x v="6"/>
    <x v="1"/>
    <x v="71"/>
    <x v="0"/>
    <x v="72"/>
    <x v="1"/>
    <x v="1"/>
    <x v="68"/>
    <x v="79"/>
    <x v="79"/>
    <x v="79"/>
  </r>
  <r>
    <x v="80"/>
    <x v="20"/>
    <x v="1"/>
    <x v="7"/>
    <x v="72"/>
    <x v="0"/>
    <x v="45"/>
    <x v="2"/>
    <x v="2"/>
    <x v="67"/>
    <x v="80"/>
    <x v="80"/>
    <x v="80"/>
  </r>
  <r>
    <x v="81"/>
    <x v="21"/>
    <x v="7"/>
    <x v="0"/>
    <x v="73"/>
    <x v="0"/>
    <x v="73"/>
    <x v="3"/>
    <x v="3"/>
    <x v="69"/>
    <x v="81"/>
    <x v="81"/>
    <x v="81"/>
  </r>
  <r>
    <x v="82"/>
    <x v="22"/>
    <x v="0"/>
    <x v="7"/>
    <x v="74"/>
    <x v="0"/>
    <x v="74"/>
    <x v="4"/>
    <x v="4"/>
    <x v="70"/>
    <x v="82"/>
    <x v="82"/>
    <x v="82"/>
  </r>
  <r>
    <x v="83"/>
    <x v="23"/>
    <x v="7"/>
    <x v="1"/>
    <x v="75"/>
    <x v="0"/>
    <x v="75"/>
    <x v="5"/>
    <x v="5"/>
    <x v="71"/>
    <x v="83"/>
    <x v="83"/>
    <x v="83"/>
  </r>
  <r>
    <x v="84"/>
    <x v="24"/>
    <x v="1"/>
    <x v="8"/>
    <x v="76"/>
    <x v="0"/>
    <x v="76"/>
    <x v="0"/>
    <x v="0"/>
    <x v="0"/>
    <x v="84"/>
    <x v="84"/>
    <x v="84"/>
  </r>
  <r>
    <x v="85"/>
    <x v="25"/>
    <x v="8"/>
    <x v="0"/>
    <x v="77"/>
    <x v="0"/>
    <x v="40"/>
    <x v="1"/>
    <x v="1"/>
    <x v="0"/>
    <x v="85"/>
    <x v="85"/>
    <x v="85"/>
  </r>
  <r>
    <x v="86"/>
    <x v="26"/>
    <x v="2"/>
    <x v="5"/>
    <x v="78"/>
    <x v="0"/>
    <x v="77"/>
    <x v="2"/>
    <x v="2"/>
    <x v="72"/>
    <x v="86"/>
    <x v="86"/>
    <x v="86"/>
  </r>
  <r>
    <x v="87"/>
    <x v="27"/>
    <x v="5"/>
    <x v="2"/>
    <x v="79"/>
    <x v="0"/>
    <x v="78"/>
    <x v="3"/>
    <x v="3"/>
    <x v="73"/>
    <x v="87"/>
    <x v="87"/>
    <x v="87"/>
  </r>
  <r>
    <x v="88"/>
    <x v="28"/>
    <x v="4"/>
    <x v="1"/>
    <x v="80"/>
    <x v="0"/>
    <x v="79"/>
    <x v="4"/>
    <x v="4"/>
    <x v="74"/>
    <x v="88"/>
    <x v="88"/>
    <x v="88"/>
  </r>
  <r>
    <x v="89"/>
    <x v="29"/>
    <x v="0"/>
    <x v="4"/>
    <x v="81"/>
    <x v="0"/>
    <x v="16"/>
    <x v="5"/>
    <x v="5"/>
    <x v="22"/>
    <x v="89"/>
    <x v="89"/>
    <x v="89"/>
  </r>
  <r>
    <x v="90"/>
    <x v="0"/>
    <x v="0"/>
    <x v="0"/>
    <x v="82"/>
    <x v="0"/>
    <x v="80"/>
    <x v="0"/>
    <x v="0"/>
    <x v="28"/>
    <x v="90"/>
    <x v="90"/>
    <x v="90"/>
  </r>
  <r>
    <x v="91"/>
    <x v="1"/>
    <x v="1"/>
    <x v="1"/>
    <x v="15"/>
    <x v="3"/>
    <x v="67"/>
    <x v="1"/>
    <x v="1"/>
    <x v="75"/>
    <x v="91"/>
    <x v="91"/>
    <x v="91"/>
  </r>
  <r>
    <x v="92"/>
    <x v="2"/>
    <x v="1"/>
    <x v="2"/>
    <x v="83"/>
    <x v="3"/>
    <x v="81"/>
    <x v="2"/>
    <x v="2"/>
    <x v="76"/>
    <x v="92"/>
    <x v="92"/>
    <x v="92"/>
  </r>
  <r>
    <x v="93"/>
    <x v="3"/>
    <x v="2"/>
    <x v="0"/>
    <x v="84"/>
    <x v="3"/>
    <x v="82"/>
    <x v="3"/>
    <x v="3"/>
    <x v="77"/>
    <x v="93"/>
    <x v="93"/>
    <x v="93"/>
  </r>
  <r>
    <x v="94"/>
    <x v="4"/>
    <x v="0"/>
    <x v="2"/>
    <x v="85"/>
    <x v="3"/>
    <x v="83"/>
    <x v="4"/>
    <x v="4"/>
    <x v="78"/>
    <x v="94"/>
    <x v="94"/>
    <x v="94"/>
  </r>
  <r>
    <x v="95"/>
    <x v="5"/>
    <x v="2"/>
    <x v="1"/>
    <x v="86"/>
    <x v="3"/>
    <x v="84"/>
    <x v="5"/>
    <x v="5"/>
    <x v="66"/>
    <x v="95"/>
    <x v="95"/>
    <x v="95"/>
  </r>
  <r>
    <x v="96"/>
    <x v="6"/>
    <x v="0"/>
    <x v="3"/>
    <x v="87"/>
    <x v="3"/>
    <x v="85"/>
    <x v="0"/>
    <x v="0"/>
    <x v="57"/>
    <x v="96"/>
    <x v="96"/>
    <x v="96"/>
  </r>
  <r>
    <x v="97"/>
    <x v="7"/>
    <x v="3"/>
    <x v="1"/>
    <x v="88"/>
    <x v="3"/>
    <x v="86"/>
    <x v="1"/>
    <x v="1"/>
    <x v="79"/>
    <x v="97"/>
    <x v="97"/>
    <x v="97"/>
  </r>
  <r>
    <x v="98"/>
    <x v="8"/>
    <x v="1"/>
    <x v="4"/>
    <x v="3"/>
    <x v="3"/>
    <x v="87"/>
    <x v="2"/>
    <x v="2"/>
    <x v="59"/>
    <x v="98"/>
    <x v="98"/>
    <x v="98"/>
  </r>
  <r>
    <x v="99"/>
    <x v="9"/>
    <x v="4"/>
    <x v="0"/>
    <x v="89"/>
    <x v="3"/>
    <x v="88"/>
    <x v="3"/>
    <x v="3"/>
    <x v="42"/>
    <x v="99"/>
    <x v="99"/>
    <x v="99"/>
  </r>
  <r>
    <x v="100"/>
    <x v="10"/>
    <x v="2"/>
    <x v="3"/>
    <x v="90"/>
    <x v="3"/>
    <x v="89"/>
    <x v="4"/>
    <x v="4"/>
    <x v="80"/>
    <x v="100"/>
    <x v="100"/>
    <x v="100"/>
  </r>
  <r>
    <x v="101"/>
    <x v="11"/>
    <x v="3"/>
    <x v="2"/>
    <x v="91"/>
    <x v="3"/>
    <x v="22"/>
    <x v="5"/>
    <x v="5"/>
    <x v="27"/>
    <x v="101"/>
    <x v="101"/>
    <x v="101"/>
  </r>
  <r>
    <x v="102"/>
    <x v="12"/>
    <x v="0"/>
    <x v="5"/>
    <x v="92"/>
    <x v="3"/>
    <x v="90"/>
    <x v="0"/>
    <x v="0"/>
    <x v="81"/>
    <x v="102"/>
    <x v="102"/>
    <x v="102"/>
  </r>
  <r>
    <x v="103"/>
    <x v="13"/>
    <x v="5"/>
    <x v="1"/>
    <x v="93"/>
    <x v="3"/>
    <x v="91"/>
    <x v="1"/>
    <x v="1"/>
    <x v="20"/>
    <x v="103"/>
    <x v="103"/>
    <x v="103"/>
  </r>
  <r>
    <x v="104"/>
    <x v="14"/>
    <x v="1"/>
    <x v="5"/>
    <x v="94"/>
    <x v="3"/>
    <x v="92"/>
    <x v="2"/>
    <x v="2"/>
    <x v="50"/>
    <x v="104"/>
    <x v="104"/>
    <x v="104"/>
  </r>
  <r>
    <x v="105"/>
    <x v="15"/>
    <x v="5"/>
    <x v="0"/>
    <x v="95"/>
    <x v="3"/>
    <x v="93"/>
    <x v="3"/>
    <x v="3"/>
    <x v="82"/>
    <x v="105"/>
    <x v="105"/>
    <x v="105"/>
  </r>
  <r>
    <x v="106"/>
    <x v="16"/>
    <x v="2"/>
    <x v="6"/>
    <x v="96"/>
    <x v="3"/>
    <x v="41"/>
    <x v="4"/>
    <x v="4"/>
    <x v="83"/>
    <x v="106"/>
    <x v="106"/>
    <x v="106"/>
  </r>
  <r>
    <x v="107"/>
    <x v="17"/>
    <x v="6"/>
    <x v="2"/>
    <x v="97"/>
    <x v="3"/>
    <x v="94"/>
    <x v="5"/>
    <x v="5"/>
    <x v="11"/>
    <x v="107"/>
    <x v="107"/>
    <x v="107"/>
  </r>
  <r>
    <x v="108"/>
    <x v="18"/>
    <x v="0"/>
    <x v="6"/>
    <x v="98"/>
    <x v="3"/>
    <x v="15"/>
    <x v="0"/>
    <x v="0"/>
    <x v="15"/>
    <x v="108"/>
    <x v="108"/>
    <x v="108"/>
  </r>
  <r>
    <x v="109"/>
    <x v="19"/>
    <x v="6"/>
    <x v="1"/>
    <x v="99"/>
    <x v="3"/>
    <x v="95"/>
    <x v="1"/>
    <x v="1"/>
    <x v="79"/>
    <x v="109"/>
    <x v="109"/>
    <x v="109"/>
  </r>
  <r>
    <x v="110"/>
    <x v="20"/>
    <x v="1"/>
    <x v="7"/>
    <x v="10"/>
    <x v="3"/>
    <x v="96"/>
    <x v="2"/>
    <x v="2"/>
    <x v="84"/>
    <x v="110"/>
    <x v="110"/>
    <x v="110"/>
  </r>
  <r>
    <x v="111"/>
    <x v="21"/>
    <x v="7"/>
    <x v="0"/>
    <x v="100"/>
    <x v="3"/>
    <x v="97"/>
    <x v="3"/>
    <x v="3"/>
    <x v="35"/>
    <x v="111"/>
    <x v="111"/>
    <x v="111"/>
  </r>
  <r>
    <x v="112"/>
    <x v="22"/>
    <x v="0"/>
    <x v="7"/>
    <x v="101"/>
    <x v="3"/>
    <x v="98"/>
    <x v="4"/>
    <x v="4"/>
    <x v="85"/>
    <x v="112"/>
    <x v="112"/>
    <x v="112"/>
  </r>
  <r>
    <x v="113"/>
    <x v="23"/>
    <x v="7"/>
    <x v="1"/>
    <x v="102"/>
    <x v="3"/>
    <x v="99"/>
    <x v="5"/>
    <x v="5"/>
    <x v="86"/>
    <x v="113"/>
    <x v="113"/>
    <x v="113"/>
  </r>
  <r>
    <x v="114"/>
    <x v="24"/>
    <x v="1"/>
    <x v="8"/>
    <x v="103"/>
    <x v="3"/>
    <x v="100"/>
    <x v="0"/>
    <x v="0"/>
    <x v="0"/>
    <x v="114"/>
    <x v="114"/>
    <x v="114"/>
  </r>
  <r>
    <x v="115"/>
    <x v="25"/>
    <x v="8"/>
    <x v="0"/>
    <x v="104"/>
    <x v="3"/>
    <x v="101"/>
    <x v="1"/>
    <x v="1"/>
    <x v="84"/>
    <x v="115"/>
    <x v="115"/>
    <x v="115"/>
  </r>
  <r>
    <x v="116"/>
    <x v="26"/>
    <x v="2"/>
    <x v="5"/>
    <x v="105"/>
    <x v="3"/>
    <x v="102"/>
    <x v="2"/>
    <x v="2"/>
    <x v="23"/>
    <x v="116"/>
    <x v="116"/>
    <x v="116"/>
  </r>
  <r>
    <x v="117"/>
    <x v="27"/>
    <x v="5"/>
    <x v="2"/>
    <x v="106"/>
    <x v="3"/>
    <x v="103"/>
    <x v="3"/>
    <x v="3"/>
    <x v="87"/>
    <x v="117"/>
    <x v="117"/>
    <x v="117"/>
  </r>
  <r>
    <x v="118"/>
    <x v="28"/>
    <x v="4"/>
    <x v="1"/>
    <x v="107"/>
    <x v="3"/>
    <x v="104"/>
    <x v="4"/>
    <x v="4"/>
    <x v="88"/>
    <x v="118"/>
    <x v="118"/>
    <x v="118"/>
  </r>
  <r>
    <x v="119"/>
    <x v="29"/>
    <x v="0"/>
    <x v="4"/>
    <x v="108"/>
    <x v="3"/>
    <x v="105"/>
    <x v="5"/>
    <x v="5"/>
    <x v="89"/>
    <x v="119"/>
    <x v="119"/>
    <x v="119"/>
  </r>
  <r>
    <x v="120"/>
    <x v="0"/>
    <x v="0"/>
    <x v="0"/>
    <x v="109"/>
    <x v="3"/>
    <x v="106"/>
    <x v="0"/>
    <x v="0"/>
    <x v="18"/>
    <x v="120"/>
    <x v="120"/>
    <x v="120"/>
  </r>
  <r>
    <x v="121"/>
    <x v="1"/>
    <x v="1"/>
    <x v="1"/>
    <x v="2"/>
    <x v="2"/>
    <x v="107"/>
    <x v="1"/>
    <x v="1"/>
    <x v="72"/>
    <x v="121"/>
    <x v="121"/>
    <x v="121"/>
  </r>
  <r>
    <x v="122"/>
    <x v="2"/>
    <x v="1"/>
    <x v="2"/>
    <x v="110"/>
    <x v="2"/>
    <x v="108"/>
    <x v="2"/>
    <x v="2"/>
    <x v="15"/>
    <x v="122"/>
    <x v="122"/>
    <x v="122"/>
  </r>
  <r>
    <x v="123"/>
    <x v="3"/>
    <x v="2"/>
    <x v="0"/>
    <x v="111"/>
    <x v="2"/>
    <x v="109"/>
    <x v="3"/>
    <x v="3"/>
    <x v="90"/>
    <x v="123"/>
    <x v="123"/>
    <x v="123"/>
  </r>
  <r>
    <x v="124"/>
    <x v="4"/>
    <x v="0"/>
    <x v="2"/>
    <x v="112"/>
    <x v="2"/>
    <x v="110"/>
    <x v="4"/>
    <x v="4"/>
    <x v="56"/>
    <x v="124"/>
    <x v="124"/>
    <x v="124"/>
  </r>
  <r>
    <x v="125"/>
    <x v="5"/>
    <x v="2"/>
    <x v="1"/>
    <x v="113"/>
    <x v="2"/>
    <x v="85"/>
    <x v="5"/>
    <x v="5"/>
    <x v="91"/>
    <x v="125"/>
    <x v="125"/>
    <x v="125"/>
  </r>
  <r>
    <x v="126"/>
    <x v="6"/>
    <x v="0"/>
    <x v="3"/>
    <x v="114"/>
    <x v="2"/>
    <x v="111"/>
    <x v="0"/>
    <x v="0"/>
    <x v="46"/>
    <x v="126"/>
    <x v="126"/>
    <x v="126"/>
  </r>
  <r>
    <x v="127"/>
    <x v="7"/>
    <x v="3"/>
    <x v="1"/>
    <x v="23"/>
    <x v="2"/>
    <x v="112"/>
    <x v="1"/>
    <x v="1"/>
    <x v="23"/>
    <x v="127"/>
    <x v="127"/>
    <x v="127"/>
  </r>
  <r>
    <x v="128"/>
    <x v="8"/>
    <x v="1"/>
    <x v="4"/>
    <x v="115"/>
    <x v="2"/>
    <x v="113"/>
    <x v="2"/>
    <x v="2"/>
    <x v="8"/>
    <x v="128"/>
    <x v="128"/>
    <x v="128"/>
  </r>
  <r>
    <x v="129"/>
    <x v="9"/>
    <x v="4"/>
    <x v="0"/>
    <x v="116"/>
    <x v="2"/>
    <x v="3"/>
    <x v="3"/>
    <x v="3"/>
    <x v="20"/>
    <x v="129"/>
    <x v="129"/>
    <x v="129"/>
  </r>
  <r>
    <x v="130"/>
    <x v="10"/>
    <x v="2"/>
    <x v="3"/>
    <x v="117"/>
    <x v="2"/>
    <x v="114"/>
    <x v="4"/>
    <x v="4"/>
    <x v="92"/>
    <x v="130"/>
    <x v="130"/>
    <x v="130"/>
  </r>
  <r>
    <x v="131"/>
    <x v="11"/>
    <x v="3"/>
    <x v="2"/>
    <x v="24"/>
    <x v="2"/>
    <x v="33"/>
    <x v="5"/>
    <x v="5"/>
    <x v="89"/>
    <x v="131"/>
    <x v="131"/>
    <x v="131"/>
  </r>
  <r>
    <x v="132"/>
    <x v="12"/>
    <x v="0"/>
    <x v="5"/>
    <x v="118"/>
    <x v="2"/>
    <x v="80"/>
    <x v="0"/>
    <x v="0"/>
    <x v="13"/>
    <x v="132"/>
    <x v="132"/>
    <x v="132"/>
  </r>
  <r>
    <x v="133"/>
    <x v="13"/>
    <x v="5"/>
    <x v="1"/>
    <x v="119"/>
    <x v="2"/>
    <x v="115"/>
    <x v="1"/>
    <x v="1"/>
    <x v="93"/>
    <x v="133"/>
    <x v="133"/>
    <x v="133"/>
  </r>
  <r>
    <x v="134"/>
    <x v="14"/>
    <x v="1"/>
    <x v="5"/>
    <x v="120"/>
    <x v="2"/>
    <x v="55"/>
    <x v="2"/>
    <x v="2"/>
    <x v="20"/>
    <x v="134"/>
    <x v="134"/>
    <x v="134"/>
  </r>
  <r>
    <x v="135"/>
    <x v="15"/>
    <x v="5"/>
    <x v="0"/>
    <x v="121"/>
    <x v="2"/>
    <x v="116"/>
    <x v="3"/>
    <x v="3"/>
    <x v="94"/>
    <x v="135"/>
    <x v="135"/>
    <x v="135"/>
  </r>
  <r>
    <x v="136"/>
    <x v="16"/>
    <x v="2"/>
    <x v="6"/>
    <x v="122"/>
    <x v="2"/>
    <x v="117"/>
    <x v="4"/>
    <x v="4"/>
    <x v="95"/>
    <x v="136"/>
    <x v="136"/>
    <x v="136"/>
  </r>
  <r>
    <x v="137"/>
    <x v="17"/>
    <x v="6"/>
    <x v="2"/>
    <x v="123"/>
    <x v="2"/>
    <x v="13"/>
    <x v="5"/>
    <x v="5"/>
    <x v="44"/>
    <x v="137"/>
    <x v="137"/>
    <x v="137"/>
  </r>
  <r>
    <x v="138"/>
    <x v="18"/>
    <x v="0"/>
    <x v="6"/>
    <x v="11"/>
    <x v="2"/>
    <x v="118"/>
    <x v="0"/>
    <x v="0"/>
    <x v="34"/>
    <x v="138"/>
    <x v="138"/>
    <x v="138"/>
  </r>
  <r>
    <x v="139"/>
    <x v="19"/>
    <x v="6"/>
    <x v="1"/>
    <x v="6"/>
    <x v="2"/>
    <x v="119"/>
    <x v="1"/>
    <x v="1"/>
    <x v="14"/>
    <x v="139"/>
    <x v="139"/>
    <x v="139"/>
  </r>
  <r>
    <x v="140"/>
    <x v="20"/>
    <x v="1"/>
    <x v="7"/>
    <x v="124"/>
    <x v="2"/>
    <x v="120"/>
    <x v="2"/>
    <x v="2"/>
    <x v="59"/>
    <x v="140"/>
    <x v="140"/>
    <x v="140"/>
  </r>
  <r>
    <x v="141"/>
    <x v="21"/>
    <x v="7"/>
    <x v="0"/>
    <x v="125"/>
    <x v="2"/>
    <x v="2"/>
    <x v="3"/>
    <x v="3"/>
    <x v="41"/>
    <x v="141"/>
    <x v="141"/>
    <x v="141"/>
  </r>
  <r>
    <x v="142"/>
    <x v="22"/>
    <x v="0"/>
    <x v="7"/>
    <x v="126"/>
    <x v="2"/>
    <x v="31"/>
    <x v="4"/>
    <x v="4"/>
    <x v="96"/>
    <x v="142"/>
    <x v="142"/>
    <x v="142"/>
  </r>
  <r>
    <x v="143"/>
    <x v="23"/>
    <x v="7"/>
    <x v="1"/>
    <x v="127"/>
    <x v="2"/>
    <x v="121"/>
    <x v="5"/>
    <x v="5"/>
    <x v="97"/>
    <x v="143"/>
    <x v="143"/>
    <x v="143"/>
  </r>
  <r>
    <x v="144"/>
    <x v="24"/>
    <x v="1"/>
    <x v="8"/>
    <x v="128"/>
    <x v="2"/>
    <x v="122"/>
    <x v="0"/>
    <x v="0"/>
    <x v="98"/>
    <x v="144"/>
    <x v="144"/>
    <x v="144"/>
  </r>
  <r>
    <x v="145"/>
    <x v="25"/>
    <x v="8"/>
    <x v="0"/>
    <x v="129"/>
    <x v="2"/>
    <x v="123"/>
    <x v="1"/>
    <x v="1"/>
    <x v="99"/>
    <x v="145"/>
    <x v="145"/>
    <x v="145"/>
  </r>
  <r>
    <x v="146"/>
    <x v="26"/>
    <x v="2"/>
    <x v="5"/>
    <x v="130"/>
    <x v="2"/>
    <x v="124"/>
    <x v="2"/>
    <x v="2"/>
    <x v="50"/>
    <x v="146"/>
    <x v="146"/>
    <x v="146"/>
  </r>
  <r>
    <x v="147"/>
    <x v="27"/>
    <x v="5"/>
    <x v="2"/>
    <x v="14"/>
    <x v="2"/>
    <x v="125"/>
    <x v="3"/>
    <x v="3"/>
    <x v="100"/>
    <x v="147"/>
    <x v="147"/>
    <x v="147"/>
  </r>
  <r>
    <x v="148"/>
    <x v="28"/>
    <x v="4"/>
    <x v="1"/>
    <x v="20"/>
    <x v="2"/>
    <x v="48"/>
    <x v="4"/>
    <x v="4"/>
    <x v="101"/>
    <x v="148"/>
    <x v="148"/>
    <x v="148"/>
  </r>
  <r>
    <x v="149"/>
    <x v="29"/>
    <x v="0"/>
    <x v="4"/>
    <x v="131"/>
    <x v="2"/>
    <x v="105"/>
    <x v="5"/>
    <x v="5"/>
    <x v="102"/>
    <x v="149"/>
    <x v="149"/>
    <x v="149"/>
  </r>
  <r>
    <x v="150"/>
    <x v="0"/>
    <x v="0"/>
    <x v="0"/>
    <x v="132"/>
    <x v="2"/>
    <x v="120"/>
    <x v="0"/>
    <x v="0"/>
    <x v="103"/>
    <x v="150"/>
    <x v="150"/>
    <x v="150"/>
  </r>
  <r>
    <x v="151"/>
    <x v="1"/>
    <x v="1"/>
    <x v="1"/>
    <x v="133"/>
    <x v="2"/>
    <x v="50"/>
    <x v="1"/>
    <x v="1"/>
    <x v="104"/>
    <x v="151"/>
    <x v="151"/>
    <x v="151"/>
  </r>
  <r>
    <x v="152"/>
    <x v="2"/>
    <x v="1"/>
    <x v="2"/>
    <x v="134"/>
    <x v="1"/>
    <x v="126"/>
    <x v="2"/>
    <x v="2"/>
    <x v="59"/>
    <x v="152"/>
    <x v="152"/>
    <x v="152"/>
  </r>
  <r>
    <x v="153"/>
    <x v="3"/>
    <x v="2"/>
    <x v="0"/>
    <x v="1"/>
    <x v="1"/>
    <x v="127"/>
    <x v="3"/>
    <x v="3"/>
    <x v="105"/>
    <x v="153"/>
    <x v="153"/>
    <x v="153"/>
  </r>
  <r>
    <x v="154"/>
    <x v="4"/>
    <x v="0"/>
    <x v="2"/>
    <x v="135"/>
    <x v="1"/>
    <x v="128"/>
    <x v="4"/>
    <x v="4"/>
    <x v="106"/>
    <x v="154"/>
    <x v="154"/>
    <x v="154"/>
  </r>
  <r>
    <x v="155"/>
    <x v="5"/>
    <x v="2"/>
    <x v="1"/>
    <x v="136"/>
    <x v="1"/>
    <x v="129"/>
    <x v="5"/>
    <x v="5"/>
    <x v="44"/>
    <x v="155"/>
    <x v="155"/>
    <x v="155"/>
  </r>
  <r>
    <x v="156"/>
    <x v="6"/>
    <x v="0"/>
    <x v="3"/>
    <x v="137"/>
    <x v="1"/>
    <x v="130"/>
    <x v="0"/>
    <x v="0"/>
    <x v="107"/>
    <x v="156"/>
    <x v="156"/>
    <x v="156"/>
  </r>
  <r>
    <x v="157"/>
    <x v="7"/>
    <x v="3"/>
    <x v="1"/>
    <x v="138"/>
    <x v="1"/>
    <x v="56"/>
    <x v="1"/>
    <x v="1"/>
    <x v="58"/>
    <x v="157"/>
    <x v="157"/>
    <x v="157"/>
  </r>
  <r>
    <x v="158"/>
    <x v="8"/>
    <x v="1"/>
    <x v="4"/>
    <x v="139"/>
    <x v="1"/>
    <x v="30"/>
    <x v="2"/>
    <x v="2"/>
    <x v="42"/>
    <x v="158"/>
    <x v="158"/>
    <x v="158"/>
  </r>
  <r>
    <x v="159"/>
    <x v="9"/>
    <x v="4"/>
    <x v="0"/>
    <x v="21"/>
    <x v="1"/>
    <x v="131"/>
    <x v="3"/>
    <x v="3"/>
    <x v="108"/>
    <x v="159"/>
    <x v="159"/>
    <x v="159"/>
  </r>
  <r>
    <x v="160"/>
    <x v="10"/>
    <x v="2"/>
    <x v="3"/>
    <x v="140"/>
    <x v="1"/>
    <x v="132"/>
    <x v="4"/>
    <x v="4"/>
    <x v="109"/>
    <x v="160"/>
    <x v="160"/>
    <x v="160"/>
  </r>
  <r>
    <x v="161"/>
    <x v="11"/>
    <x v="3"/>
    <x v="2"/>
    <x v="141"/>
    <x v="1"/>
    <x v="133"/>
    <x v="5"/>
    <x v="5"/>
    <x v="110"/>
    <x v="161"/>
    <x v="161"/>
    <x v="161"/>
  </r>
  <r>
    <x v="162"/>
    <x v="12"/>
    <x v="0"/>
    <x v="5"/>
    <x v="142"/>
    <x v="1"/>
    <x v="134"/>
    <x v="0"/>
    <x v="0"/>
    <x v="111"/>
    <x v="162"/>
    <x v="162"/>
    <x v="162"/>
  </r>
  <r>
    <x v="163"/>
    <x v="13"/>
    <x v="5"/>
    <x v="1"/>
    <x v="143"/>
    <x v="1"/>
    <x v="15"/>
    <x v="1"/>
    <x v="1"/>
    <x v="18"/>
    <x v="163"/>
    <x v="163"/>
    <x v="163"/>
  </r>
  <r>
    <x v="164"/>
    <x v="14"/>
    <x v="1"/>
    <x v="5"/>
    <x v="144"/>
    <x v="1"/>
    <x v="135"/>
    <x v="2"/>
    <x v="2"/>
    <x v="23"/>
    <x v="164"/>
    <x v="164"/>
    <x v="164"/>
  </r>
  <r>
    <x v="165"/>
    <x v="15"/>
    <x v="5"/>
    <x v="0"/>
    <x v="17"/>
    <x v="1"/>
    <x v="128"/>
    <x v="3"/>
    <x v="3"/>
    <x v="112"/>
    <x v="165"/>
    <x v="165"/>
    <x v="165"/>
  </r>
  <r>
    <x v="166"/>
    <x v="16"/>
    <x v="2"/>
    <x v="6"/>
    <x v="145"/>
    <x v="1"/>
    <x v="136"/>
    <x v="4"/>
    <x v="4"/>
    <x v="113"/>
    <x v="166"/>
    <x v="166"/>
    <x v="166"/>
  </r>
  <r>
    <x v="167"/>
    <x v="17"/>
    <x v="6"/>
    <x v="2"/>
    <x v="146"/>
    <x v="1"/>
    <x v="105"/>
    <x v="5"/>
    <x v="5"/>
    <x v="114"/>
    <x v="167"/>
    <x v="167"/>
    <x v="167"/>
  </r>
  <r>
    <x v="168"/>
    <x v="18"/>
    <x v="0"/>
    <x v="6"/>
    <x v="147"/>
    <x v="1"/>
    <x v="137"/>
    <x v="0"/>
    <x v="0"/>
    <x v="115"/>
    <x v="168"/>
    <x v="168"/>
    <x v="168"/>
  </r>
  <r>
    <x v="169"/>
    <x v="19"/>
    <x v="6"/>
    <x v="1"/>
    <x v="148"/>
    <x v="1"/>
    <x v="138"/>
    <x v="1"/>
    <x v="1"/>
    <x v="19"/>
    <x v="169"/>
    <x v="169"/>
    <x v="169"/>
  </r>
  <r>
    <x v="170"/>
    <x v="20"/>
    <x v="1"/>
    <x v="7"/>
    <x v="149"/>
    <x v="1"/>
    <x v="105"/>
    <x v="2"/>
    <x v="2"/>
    <x v="57"/>
    <x v="170"/>
    <x v="170"/>
    <x v="170"/>
  </r>
  <r>
    <x v="171"/>
    <x v="21"/>
    <x v="7"/>
    <x v="0"/>
    <x v="150"/>
    <x v="1"/>
    <x v="139"/>
    <x v="3"/>
    <x v="3"/>
    <x v="116"/>
    <x v="171"/>
    <x v="171"/>
    <x v="171"/>
  </r>
  <r>
    <x v="172"/>
    <x v="22"/>
    <x v="0"/>
    <x v="7"/>
    <x v="151"/>
    <x v="1"/>
    <x v="140"/>
    <x v="4"/>
    <x v="4"/>
    <x v="117"/>
    <x v="172"/>
    <x v="172"/>
    <x v="172"/>
  </r>
  <r>
    <x v="173"/>
    <x v="23"/>
    <x v="7"/>
    <x v="1"/>
    <x v="152"/>
    <x v="1"/>
    <x v="11"/>
    <x v="5"/>
    <x v="5"/>
    <x v="66"/>
    <x v="173"/>
    <x v="173"/>
    <x v="173"/>
  </r>
  <r>
    <x v="174"/>
    <x v="24"/>
    <x v="1"/>
    <x v="8"/>
    <x v="153"/>
    <x v="1"/>
    <x v="141"/>
    <x v="0"/>
    <x v="0"/>
    <x v="115"/>
    <x v="174"/>
    <x v="174"/>
    <x v="174"/>
  </r>
  <r>
    <x v="175"/>
    <x v="25"/>
    <x v="8"/>
    <x v="0"/>
    <x v="7"/>
    <x v="1"/>
    <x v="142"/>
    <x v="1"/>
    <x v="1"/>
    <x v="75"/>
    <x v="175"/>
    <x v="175"/>
    <x v="175"/>
  </r>
  <r>
    <x v="176"/>
    <x v="26"/>
    <x v="2"/>
    <x v="5"/>
    <x v="25"/>
    <x v="1"/>
    <x v="46"/>
    <x v="2"/>
    <x v="2"/>
    <x v="0"/>
    <x v="176"/>
    <x v="176"/>
    <x v="176"/>
  </r>
  <r>
    <x v="177"/>
    <x v="27"/>
    <x v="5"/>
    <x v="2"/>
    <x v="12"/>
    <x v="1"/>
    <x v="143"/>
    <x v="3"/>
    <x v="3"/>
    <x v="118"/>
    <x v="177"/>
    <x v="177"/>
    <x v="177"/>
  </r>
  <r>
    <x v="178"/>
    <x v="28"/>
    <x v="4"/>
    <x v="1"/>
    <x v="154"/>
    <x v="1"/>
    <x v="144"/>
    <x v="4"/>
    <x v="4"/>
    <x v="48"/>
    <x v="178"/>
    <x v="178"/>
    <x v="178"/>
  </r>
  <r>
    <x v="179"/>
    <x v="29"/>
    <x v="0"/>
    <x v="4"/>
    <x v="155"/>
    <x v="1"/>
    <x v="76"/>
    <x v="5"/>
    <x v="5"/>
    <x v="119"/>
    <x v="179"/>
    <x v="179"/>
    <x v="179"/>
  </r>
  <r>
    <x v="180"/>
    <x v="0"/>
    <x v="0"/>
    <x v="0"/>
    <x v="156"/>
    <x v="1"/>
    <x v="13"/>
    <x v="0"/>
    <x v="0"/>
    <x v="40"/>
    <x v="180"/>
    <x v="180"/>
    <x v="180"/>
  </r>
  <r>
    <x v="181"/>
    <x v="1"/>
    <x v="1"/>
    <x v="1"/>
    <x v="157"/>
    <x v="1"/>
    <x v="51"/>
    <x v="1"/>
    <x v="1"/>
    <x v="99"/>
    <x v="181"/>
    <x v="181"/>
    <x v="181"/>
  </r>
  <r>
    <x v="182"/>
    <x v="2"/>
    <x v="1"/>
    <x v="2"/>
    <x v="158"/>
    <x v="6"/>
    <x v="85"/>
    <x v="2"/>
    <x v="2"/>
    <x v="120"/>
    <x v="182"/>
    <x v="182"/>
    <x v="182"/>
  </r>
  <r>
    <x v="183"/>
    <x v="3"/>
    <x v="2"/>
    <x v="0"/>
    <x v="159"/>
    <x v="6"/>
    <x v="145"/>
    <x v="3"/>
    <x v="3"/>
    <x v="9"/>
    <x v="183"/>
    <x v="183"/>
    <x v="183"/>
  </r>
  <r>
    <x v="184"/>
    <x v="4"/>
    <x v="0"/>
    <x v="2"/>
    <x v="160"/>
    <x v="6"/>
    <x v="96"/>
    <x v="4"/>
    <x v="4"/>
    <x v="121"/>
    <x v="184"/>
    <x v="184"/>
    <x v="184"/>
  </r>
  <r>
    <x v="185"/>
    <x v="5"/>
    <x v="2"/>
    <x v="1"/>
    <x v="161"/>
    <x v="6"/>
    <x v="146"/>
    <x v="5"/>
    <x v="5"/>
    <x v="22"/>
    <x v="185"/>
    <x v="185"/>
    <x v="185"/>
  </r>
  <r>
    <x v="186"/>
    <x v="6"/>
    <x v="0"/>
    <x v="3"/>
    <x v="162"/>
    <x v="6"/>
    <x v="3"/>
    <x v="0"/>
    <x v="0"/>
    <x v="52"/>
    <x v="186"/>
    <x v="186"/>
    <x v="186"/>
  </r>
  <r>
    <x v="187"/>
    <x v="7"/>
    <x v="3"/>
    <x v="1"/>
    <x v="163"/>
    <x v="6"/>
    <x v="147"/>
    <x v="1"/>
    <x v="1"/>
    <x v="122"/>
    <x v="187"/>
    <x v="187"/>
    <x v="187"/>
  </r>
  <r>
    <x v="188"/>
    <x v="8"/>
    <x v="1"/>
    <x v="4"/>
    <x v="164"/>
    <x v="6"/>
    <x v="148"/>
    <x v="2"/>
    <x v="2"/>
    <x v="115"/>
    <x v="188"/>
    <x v="188"/>
    <x v="188"/>
  </r>
  <r>
    <x v="189"/>
    <x v="9"/>
    <x v="4"/>
    <x v="0"/>
    <x v="165"/>
    <x v="6"/>
    <x v="45"/>
    <x v="3"/>
    <x v="3"/>
    <x v="94"/>
    <x v="189"/>
    <x v="189"/>
    <x v="189"/>
  </r>
  <r>
    <x v="190"/>
    <x v="10"/>
    <x v="2"/>
    <x v="3"/>
    <x v="166"/>
    <x v="6"/>
    <x v="149"/>
    <x v="4"/>
    <x v="4"/>
    <x v="123"/>
    <x v="190"/>
    <x v="190"/>
    <x v="190"/>
  </r>
  <r>
    <x v="191"/>
    <x v="11"/>
    <x v="3"/>
    <x v="2"/>
    <x v="167"/>
    <x v="6"/>
    <x v="150"/>
    <x v="5"/>
    <x v="5"/>
    <x v="27"/>
    <x v="191"/>
    <x v="191"/>
    <x v="191"/>
  </r>
  <r>
    <x v="192"/>
    <x v="12"/>
    <x v="0"/>
    <x v="5"/>
    <x v="168"/>
    <x v="6"/>
    <x v="151"/>
    <x v="0"/>
    <x v="0"/>
    <x v="124"/>
    <x v="192"/>
    <x v="192"/>
    <x v="192"/>
  </r>
  <r>
    <x v="193"/>
    <x v="13"/>
    <x v="5"/>
    <x v="1"/>
    <x v="169"/>
    <x v="6"/>
    <x v="24"/>
    <x v="1"/>
    <x v="1"/>
    <x v="125"/>
    <x v="193"/>
    <x v="193"/>
    <x v="193"/>
  </r>
  <r>
    <x v="194"/>
    <x v="14"/>
    <x v="1"/>
    <x v="5"/>
    <x v="170"/>
    <x v="6"/>
    <x v="152"/>
    <x v="2"/>
    <x v="2"/>
    <x v="47"/>
    <x v="194"/>
    <x v="194"/>
    <x v="194"/>
  </r>
  <r>
    <x v="195"/>
    <x v="15"/>
    <x v="5"/>
    <x v="0"/>
    <x v="171"/>
    <x v="6"/>
    <x v="136"/>
    <x v="3"/>
    <x v="3"/>
    <x v="126"/>
    <x v="195"/>
    <x v="195"/>
    <x v="195"/>
  </r>
  <r>
    <x v="196"/>
    <x v="16"/>
    <x v="2"/>
    <x v="6"/>
    <x v="172"/>
    <x v="6"/>
    <x v="111"/>
    <x v="4"/>
    <x v="4"/>
    <x v="127"/>
    <x v="196"/>
    <x v="196"/>
    <x v="196"/>
  </r>
  <r>
    <x v="197"/>
    <x v="17"/>
    <x v="6"/>
    <x v="2"/>
    <x v="173"/>
    <x v="6"/>
    <x v="153"/>
    <x v="5"/>
    <x v="5"/>
    <x v="33"/>
    <x v="197"/>
    <x v="197"/>
    <x v="197"/>
  </r>
  <r>
    <x v="198"/>
    <x v="18"/>
    <x v="0"/>
    <x v="6"/>
    <x v="174"/>
    <x v="6"/>
    <x v="154"/>
    <x v="0"/>
    <x v="0"/>
    <x v="76"/>
    <x v="198"/>
    <x v="198"/>
    <x v="198"/>
  </r>
  <r>
    <x v="199"/>
    <x v="19"/>
    <x v="6"/>
    <x v="1"/>
    <x v="175"/>
    <x v="6"/>
    <x v="26"/>
    <x v="1"/>
    <x v="1"/>
    <x v="57"/>
    <x v="199"/>
    <x v="199"/>
    <x v="199"/>
  </r>
  <r>
    <x v="200"/>
    <x v="20"/>
    <x v="1"/>
    <x v="7"/>
    <x v="176"/>
    <x v="6"/>
    <x v="117"/>
    <x v="2"/>
    <x v="2"/>
    <x v="128"/>
    <x v="200"/>
    <x v="200"/>
    <x v="200"/>
  </r>
  <r>
    <x v="201"/>
    <x v="21"/>
    <x v="7"/>
    <x v="0"/>
    <x v="177"/>
    <x v="6"/>
    <x v="155"/>
    <x v="3"/>
    <x v="3"/>
    <x v="108"/>
    <x v="201"/>
    <x v="201"/>
    <x v="201"/>
  </r>
  <r>
    <x v="202"/>
    <x v="22"/>
    <x v="0"/>
    <x v="7"/>
    <x v="178"/>
    <x v="6"/>
    <x v="10"/>
    <x v="4"/>
    <x v="4"/>
    <x v="129"/>
    <x v="202"/>
    <x v="202"/>
    <x v="202"/>
  </r>
  <r>
    <x v="203"/>
    <x v="23"/>
    <x v="7"/>
    <x v="1"/>
    <x v="179"/>
    <x v="6"/>
    <x v="119"/>
    <x v="5"/>
    <x v="5"/>
    <x v="91"/>
    <x v="203"/>
    <x v="203"/>
    <x v="203"/>
  </r>
  <r>
    <x v="204"/>
    <x v="24"/>
    <x v="1"/>
    <x v="8"/>
    <x v="180"/>
    <x v="6"/>
    <x v="101"/>
    <x v="0"/>
    <x v="0"/>
    <x v="2"/>
    <x v="204"/>
    <x v="204"/>
    <x v="204"/>
  </r>
  <r>
    <x v="205"/>
    <x v="25"/>
    <x v="8"/>
    <x v="0"/>
    <x v="181"/>
    <x v="6"/>
    <x v="156"/>
    <x v="1"/>
    <x v="1"/>
    <x v="79"/>
    <x v="205"/>
    <x v="205"/>
    <x v="205"/>
  </r>
  <r>
    <x v="206"/>
    <x v="26"/>
    <x v="2"/>
    <x v="5"/>
    <x v="182"/>
    <x v="6"/>
    <x v="157"/>
    <x v="2"/>
    <x v="2"/>
    <x v="59"/>
    <x v="206"/>
    <x v="206"/>
    <x v="206"/>
  </r>
  <r>
    <x v="207"/>
    <x v="27"/>
    <x v="5"/>
    <x v="2"/>
    <x v="183"/>
    <x v="6"/>
    <x v="158"/>
    <x v="3"/>
    <x v="3"/>
    <x v="130"/>
    <x v="207"/>
    <x v="207"/>
    <x v="207"/>
  </r>
  <r>
    <x v="208"/>
    <x v="28"/>
    <x v="4"/>
    <x v="1"/>
    <x v="184"/>
    <x v="6"/>
    <x v="159"/>
    <x v="4"/>
    <x v="4"/>
    <x v="131"/>
    <x v="208"/>
    <x v="208"/>
    <x v="208"/>
  </r>
  <r>
    <x v="209"/>
    <x v="29"/>
    <x v="0"/>
    <x v="4"/>
    <x v="185"/>
    <x v="6"/>
    <x v="160"/>
    <x v="5"/>
    <x v="5"/>
    <x v="89"/>
    <x v="209"/>
    <x v="209"/>
    <x v="209"/>
  </r>
  <r>
    <x v="210"/>
    <x v="0"/>
    <x v="0"/>
    <x v="0"/>
    <x v="186"/>
    <x v="6"/>
    <x v="0"/>
    <x v="0"/>
    <x v="0"/>
    <x v="51"/>
    <x v="210"/>
    <x v="210"/>
    <x v="210"/>
  </r>
  <r>
    <x v="211"/>
    <x v="1"/>
    <x v="1"/>
    <x v="1"/>
    <x v="187"/>
    <x v="6"/>
    <x v="161"/>
    <x v="1"/>
    <x v="1"/>
    <x v="46"/>
    <x v="211"/>
    <x v="211"/>
    <x v="211"/>
  </r>
  <r>
    <x v="212"/>
    <x v="2"/>
    <x v="1"/>
    <x v="2"/>
    <x v="188"/>
    <x v="6"/>
    <x v="21"/>
    <x v="2"/>
    <x v="2"/>
    <x v="0"/>
    <x v="212"/>
    <x v="212"/>
    <x v="212"/>
  </r>
  <r>
    <x v="213"/>
    <x v="3"/>
    <x v="2"/>
    <x v="0"/>
    <x v="189"/>
    <x v="7"/>
    <x v="162"/>
    <x v="3"/>
    <x v="3"/>
    <x v="132"/>
    <x v="213"/>
    <x v="213"/>
    <x v="213"/>
  </r>
  <r>
    <x v="214"/>
    <x v="4"/>
    <x v="0"/>
    <x v="2"/>
    <x v="190"/>
    <x v="7"/>
    <x v="10"/>
    <x v="4"/>
    <x v="4"/>
    <x v="133"/>
    <x v="214"/>
    <x v="214"/>
    <x v="214"/>
  </r>
  <r>
    <x v="215"/>
    <x v="5"/>
    <x v="2"/>
    <x v="1"/>
    <x v="191"/>
    <x v="7"/>
    <x v="150"/>
    <x v="5"/>
    <x v="5"/>
    <x v="27"/>
    <x v="215"/>
    <x v="191"/>
    <x v="215"/>
  </r>
  <r>
    <x v="216"/>
    <x v="6"/>
    <x v="0"/>
    <x v="3"/>
    <x v="192"/>
    <x v="7"/>
    <x v="163"/>
    <x v="0"/>
    <x v="0"/>
    <x v="14"/>
    <x v="216"/>
    <x v="215"/>
    <x v="216"/>
  </r>
  <r>
    <x v="217"/>
    <x v="7"/>
    <x v="3"/>
    <x v="1"/>
    <x v="193"/>
    <x v="7"/>
    <x v="164"/>
    <x v="1"/>
    <x v="1"/>
    <x v="134"/>
    <x v="217"/>
    <x v="216"/>
    <x v="217"/>
  </r>
  <r>
    <x v="218"/>
    <x v="8"/>
    <x v="1"/>
    <x v="4"/>
    <x v="194"/>
    <x v="7"/>
    <x v="34"/>
    <x v="2"/>
    <x v="2"/>
    <x v="14"/>
    <x v="218"/>
    <x v="217"/>
    <x v="218"/>
  </r>
  <r>
    <x v="219"/>
    <x v="9"/>
    <x v="4"/>
    <x v="0"/>
    <x v="195"/>
    <x v="7"/>
    <x v="165"/>
    <x v="3"/>
    <x v="3"/>
    <x v="9"/>
    <x v="219"/>
    <x v="218"/>
    <x v="219"/>
  </r>
  <r>
    <x v="220"/>
    <x v="10"/>
    <x v="2"/>
    <x v="3"/>
    <x v="196"/>
    <x v="7"/>
    <x v="96"/>
    <x v="4"/>
    <x v="4"/>
    <x v="135"/>
    <x v="220"/>
    <x v="219"/>
    <x v="220"/>
  </r>
  <r>
    <x v="221"/>
    <x v="11"/>
    <x v="3"/>
    <x v="2"/>
    <x v="197"/>
    <x v="7"/>
    <x v="166"/>
    <x v="5"/>
    <x v="5"/>
    <x v="136"/>
    <x v="221"/>
    <x v="220"/>
    <x v="221"/>
  </r>
  <r>
    <x v="222"/>
    <x v="12"/>
    <x v="0"/>
    <x v="5"/>
    <x v="198"/>
    <x v="7"/>
    <x v="167"/>
    <x v="0"/>
    <x v="0"/>
    <x v="3"/>
    <x v="222"/>
    <x v="221"/>
    <x v="222"/>
  </r>
  <r>
    <x v="223"/>
    <x v="13"/>
    <x v="5"/>
    <x v="1"/>
    <x v="199"/>
    <x v="7"/>
    <x v="168"/>
    <x v="1"/>
    <x v="1"/>
    <x v="51"/>
    <x v="223"/>
    <x v="222"/>
    <x v="223"/>
  </r>
  <r>
    <x v="224"/>
    <x v="14"/>
    <x v="1"/>
    <x v="5"/>
    <x v="200"/>
    <x v="7"/>
    <x v="169"/>
    <x v="2"/>
    <x v="2"/>
    <x v="137"/>
    <x v="224"/>
    <x v="223"/>
    <x v="224"/>
  </r>
  <r>
    <x v="225"/>
    <x v="15"/>
    <x v="5"/>
    <x v="0"/>
    <x v="201"/>
    <x v="7"/>
    <x v="170"/>
    <x v="3"/>
    <x v="3"/>
    <x v="58"/>
    <x v="225"/>
    <x v="224"/>
    <x v="225"/>
  </r>
  <r>
    <x v="226"/>
    <x v="16"/>
    <x v="2"/>
    <x v="6"/>
    <x v="202"/>
    <x v="7"/>
    <x v="58"/>
    <x v="4"/>
    <x v="4"/>
    <x v="138"/>
    <x v="226"/>
    <x v="225"/>
    <x v="226"/>
  </r>
  <r>
    <x v="227"/>
    <x v="17"/>
    <x v="6"/>
    <x v="2"/>
    <x v="203"/>
    <x v="7"/>
    <x v="171"/>
    <x v="5"/>
    <x v="5"/>
    <x v="91"/>
    <x v="227"/>
    <x v="226"/>
    <x v="227"/>
  </r>
  <r>
    <x v="228"/>
    <x v="18"/>
    <x v="0"/>
    <x v="6"/>
    <x v="204"/>
    <x v="7"/>
    <x v="172"/>
    <x v="0"/>
    <x v="0"/>
    <x v="81"/>
    <x v="228"/>
    <x v="227"/>
    <x v="228"/>
  </r>
  <r>
    <x v="229"/>
    <x v="19"/>
    <x v="6"/>
    <x v="1"/>
    <x v="205"/>
    <x v="7"/>
    <x v="173"/>
    <x v="1"/>
    <x v="1"/>
    <x v="139"/>
    <x v="229"/>
    <x v="228"/>
    <x v="229"/>
  </r>
  <r>
    <x v="230"/>
    <x v="20"/>
    <x v="1"/>
    <x v="7"/>
    <x v="206"/>
    <x v="7"/>
    <x v="118"/>
    <x v="2"/>
    <x v="2"/>
    <x v="140"/>
    <x v="230"/>
    <x v="229"/>
    <x v="230"/>
  </r>
  <r>
    <x v="231"/>
    <x v="21"/>
    <x v="7"/>
    <x v="0"/>
    <x v="207"/>
    <x v="7"/>
    <x v="98"/>
    <x v="3"/>
    <x v="3"/>
    <x v="128"/>
    <x v="231"/>
    <x v="230"/>
    <x v="231"/>
  </r>
  <r>
    <x v="232"/>
    <x v="22"/>
    <x v="0"/>
    <x v="7"/>
    <x v="208"/>
    <x v="7"/>
    <x v="174"/>
    <x v="4"/>
    <x v="4"/>
    <x v="141"/>
    <x v="232"/>
    <x v="231"/>
    <x v="232"/>
  </r>
  <r>
    <x v="233"/>
    <x v="23"/>
    <x v="7"/>
    <x v="1"/>
    <x v="209"/>
    <x v="7"/>
    <x v="175"/>
    <x v="5"/>
    <x v="5"/>
    <x v="22"/>
    <x v="233"/>
    <x v="232"/>
    <x v="233"/>
  </r>
  <r>
    <x v="234"/>
    <x v="24"/>
    <x v="1"/>
    <x v="8"/>
    <x v="210"/>
    <x v="7"/>
    <x v="151"/>
    <x v="0"/>
    <x v="0"/>
    <x v="142"/>
    <x v="234"/>
    <x v="233"/>
    <x v="234"/>
  </r>
  <r>
    <x v="235"/>
    <x v="25"/>
    <x v="8"/>
    <x v="0"/>
    <x v="211"/>
    <x v="7"/>
    <x v="176"/>
    <x v="1"/>
    <x v="1"/>
    <x v="15"/>
    <x v="235"/>
    <x v="234"/>
    <x v="235"/>
  </r>
  <r>
    <x v="236"/>
    <x v="26"/>
    <x v="2"/>
    <x v="5"/>
    <x v="212"/>
    <x v="7"/>
    <x v="26"/>
    <x v="2"/>
    <x v="2"/>
    <x v="143"/>
    <x v="236"/>
    <x v="235"/>
    <x v="236"/>
  </r>
  <r>
    <x v="237"/>
    <x v="27"/>
    <x v="5"/>
    <x v="2"/>
    <x v="213"/>
    <x v="7"/>
    <x v="177"/>
    <x v="3"/>
    <x v="3"/>
    <x v="118"/>
    <x v="237"/>
    <x v="236"/>
    <x v="237"/>
  </r>
  <r>
    <x v="238"/>
    <x v="28"/>
    <x v="4"/>
    <x v="1"/>
    <x v="214"/>
    <x v="7"/>
    <x v="178"/>
    <x v="4"/>
    <x v="4"/>
    <x v="10"/>
    <x v="238"/>
    <x v="237"/>
    <x v="238"/>
  </r>
  <r>
    <x v="239"/>
    <x v="29"/>
    <x v="0"/>
    <x v="4"/>
    <x v="215"/>
    <x v="7"/>
    <x v="76"/>
    <x v="5"/>
    <x v="5"/>
    <x v="11"/>
    <x v="239"/>
    <x v="238"/>
    <x v="239"/>
  </r>
  <r>
    <x v="240"/>
    <x v="0"/>
    <x v="0"/>
    <x v="0"/>
    <x v="216"/>
    <x v="7"/>
    <x v="179"/>
    <x v="0"/>
    <x v="0"/>
    <x v="7"/>
    <x v="240"/>
    <x v="239"/>
    <x v="240"/>
  </r>
  <r>
    <x v="241"/>
    <x v="1"/>
    <x v="1"/>
    <x v="1"/>
    <x v="217"/>
    <x v="7"/>
    <x v="180"/>
    <x v="1"/>
    <x v="1"/>
    <x v="125"/>
    <x v="241"/>
    <x v="240"/>
    <x v="241"/>
  </r>
  <r>
    <x v="242"/>
    <x v="2"/>
    <x v="1"/>
    <x v="2"/>
    <x v="218"/>
    <x v="7"/>
    <x v="126"/>
    <x v="2"/>
    <x v="2"/>
    <x v="72"/>
    <x v="242"/>
    <x v="241"/>
    <x v="242"/>
  </r>
  <r>
    <x v="243"/>
    <x v="3"/>
    <x v="2"/>
    <x v="0"/>
    <x v="219"/>
    <x v="7"/>
    <x v="181"/>
    <x v="3"/>
    <x v="3"/>
    <x v="144"/>
    <x v="243"/>
    <x v="242"/>
    <x v="243"/>
  </r>
  <r>
    <x v="244"/>
    <x v="4"/>
    <x v="0"/>
    <x v="2"/>
    <x v="220"/>
    <x v="8"/>
    <x v="182"/>
    <x v="4"/>
    <x v="4"/>
    <x v="32"/>
    <x v="244"/>
    <x v="243"/>
    <x v="244"/>
  </r>
  <r>
    <x v="245"/>
    <x v="5"/>
    <x v="2"/>
    <x v="1"/>
    <x v="221"/>
    <x v="8"/>
    <x v="183"/>
    <x v="5"/>
    <x v="5"/>
    <x v="22"/>
    <x v="245"/>
    <x v="244"/>
    <x v="245"/>
  </r>
  <r>
    <x v="246"/>
    <x v="6"/>
    <x v="0"/>
    <x v="3"/>
    <x v="222"/>
    <x v="8"/>
    <x v="184"/>
    <x v="0"/>
    <x v="0"/>
    <x v="8"/>
    <x v="246"/>
    <x v="245"/>
    <x v="246"/>
  </r>
  <r>
    <x v="247"/>
    <x v="7"/>
    <x v="3"/>
    <x v="1"/>
    <x v="223"/>
    <x v="8"/>
    <x v="185"/>
    <x v="1"/>
    <x v="1"/>
    <x v="93"/>
    <x v="247"/>
    <x v="246"/>
    <x v="247"/>
  </r>
  <r>
    <x v="248"/>
    <x v="8"/>
    <x v="1"/>
    <x v="4"/>
    <x v="224"/>
    <x v="8"/>
    <x v="186"/>
    <x v="2"/>
    <x v="2"/>
    <x v="52"/>
    <x v="248"/>
    <x v="247"/>
    <x v="248"/>
  </r>
  <r>
    <x v="249"/>
    <x v="9"/>
    <x v="4"/>
    <x v="0"/>
    <x v="225"/>
    <x v="8"/>
    <x v="23"/>
    <x v="3"/>
    <x v="3"/>
    <x v="145"/>
    <x v="249"/>
    <x v="248"/>
    <x v="249"/>
  </r>
  <r>
    <x v="250"/>
    <x v="10"/>
    <x v="2"/>
    <x v="3"/>
    <x v="226"/>
    <x v="8"/>
    <x v="187"/>
    <x v="4"/>
    <x v="4"/>
    <x v="146"/>
    <x v="250"/>
    <x v="249"/>
    <x v="250"/>
  </r>
  <r>
    <x v="251"/>
    <x v="11"/>
    <x v="3"/>
    <x v="2"/>
    <x v="227"/>
    <x v="8"/>
    <x v="65"/>
    <x v="5"/>
    <x v="5"/>
    <x v="33"/>
    <x v="251"/>
    <x v="250"/>
    <x v="251"/>
  </r>
  <r>
    <x v="252"/>
    <x v="12"/>
    <x v="0"/>
    <x v="5"/>
    <x v="228"/>
    <x v="8"/>
    <x v="185"/>
    <x v="0"/>
    <x v="0"/>
    <x v="3"/>
    <x v="252"/>
    <x v="251"/>
    <x v="252"/>
  </r>
  <r>
    <x v="253"/>
    <x v="13"/>
    <x v="5"/>
    <x v="1"/>
    <x v="229"/>
    <x v="8"/>
    <x v="3"/>
    <x v="1"/>
    <x v="1"/>
    <x v="139"/>
    <x v="253"/>
    <x v="252"/>
    <x v="253"/>
  </r>
  <r>
    <x v="254"/>
    <x v="14"/>
    <x v="1"/>
    <x v="5"/>
    <x v="230"/>
    <x v="8"/>
    <x v="188"/>
    <x v="2"/>
    <x v="2"/>
    <x v="115"/>
    <x v="254"/>
    <x v="253"/>
    <x v="254"/>
  </r>
  <r>
    <x v="255"/>
    <x v="15"/>
    <x v="5"/>
    <x v="0"/>
    <x v="231"/>
    <x v="8"/>
    <x v="189"/>
    <x v="3"/>
    <x v="3"/>
    <x v="147"/>
    <x v="255"/>
    <x v="254"/>
    <x v="255"/>
  </r>
  <r>
    <x v="256"/>
    <x v="16"/>
    <x v="2"/>
    <x v="6"/>
    <x v="232"/>
    <x v="8"/>
    <x v="52"/>
    <x v="4"/>
    <x v="4"/>
    <x v="129"/>
    <x v="256"/>
    <x v="255"/>
    <x v="256"/>
  </r>
  <r>
    <x v="257"/>
    <x v="17"/>
    <x v="6"/>
    <x v="2"/>
    <x v="233"/>
    <x v="8"/>
    <x v="190"/>
    <x v="5"/>
    <x v="5"/>
    <x v="86"/>
    <x v="257"/>
    <x v="256"/>
    <x v="257"/>
  </r>
  <r>
    <x v="258"/>
    <x v="18"/>
    <x v="0"/>
    <x v="6"/>
    <x v="234"/>
    <x v="8"/>
    <x v="180"/>
    <x v="0"/>
    <x v="0"/>
    <x v="103"/>
    <x v="258"/>
    <x v="257"/>
    <x v="258"/>
  </r>
  <r>
    <x v="259"/>
    <x v="19"/>
    <x v="6"/>
    <x v="1"/>
    <x v="235"/>
    <x v="8"/>
    <x v="172"/>
    <x v="1"/>
    <x v="1"/>
    <x v="47"/>
    <x v="259"/>
    <x v="258"/>
    <x v="259"/>
  </r>
  <r>
    <x v="260"/>
    <x v="20"/>
    <x v="1"/>
    <x v="7"/>
    <x v="236"/>
    <x v="8"/>
    <x v="191"/>
    <x v="2"/>
    <x v="2"/>
    <x v="20"/>
    <x v="260"/>
    <x v="259"/>
    <x v="260"/>
  </r>
  <r>
    <x v="261"/>
    <x v="21"/>
    <x v="7"/>
    <x v="0"/>
    <x v="237"/>
    <x v="8"/>
    <x v="192"/>
    <x v="3"/>
    <x v="3"/>
    <x v="63"/>
    <x v="261"/>
    <x v="260"/>
    <x v="261"/>
  </r>
  <r>
    <x v="262"/>
    <x v="22"/>
    <x v="0"/>
    <x v="7"/>
    <x v="238"/>
    <x v="8"/>
    <x v="193"/>
    <x v="4"/>
    <x v="4"/>
    <x v="148"/>
    <x v="262"/>
    <x v="261"/>
    <x v="262"/>
  </r>
  <r>
    <x v="263"/>
    <x v="23"/>
    <x v="7"/>
    <x v="1"/>
    <x v="239"/>
    <x v="8"/>
    <x v="150"/>
    <x v="5"/>
    <x v="5"/>
    <x v="149"/>
    <x v="263"/>
    <x v="262"/>
    <x v="263"/>
  </r>
  <r>
    <x v="264"/>
    <x v="24"/>
    <x v="1"/>
    <x v="8"/>
    <x v="240"/>
    <x v="8"/>
    <x v="194"/>
    <x v="0"/>
    <x v="0"/>
    <x v="111"/>
    <x v="264"/>
    <x v="263"/>
    <x v="264"/>
  </r>
  <r>
    <x v="265"/>
    <x v="25"/>
    <x v="8"/>
    <x v="0"/>
    <x v="241"/>
    <x v="8"/>
    <x v="195"/>
    <x v="1"/>
    <x v="1"/>
    <x v="107"/>
    <x v="265"/>
    <x v="264"/>
    <x v="265"/>
  </r>
  <r>
    <x v="266"/>
    <x v="26"/>
    <x v="2"/>
    <x v="5"/>
    <x v="242"/>
    <x v="8"/>
    <x v="191"/>
    <x v="2"/>
    <x v="2"/>
    <x v="79"/>
    <x v="266"/>
    <x v="265"/>
    <x v="266"/>
  </r>
  <r>
    <x v="267"/>
    <x v="27"/>
    <x v="5"/>
    <x v="2"/>
    <x v="243"/>
    <x v="8"/>
    <x v="196"/>
    <x v="3"/>
    <x v="3"/>
    <x v="145"/>
    <x v="267"/>
    <x v="266"/>
    <x v="267"/>
  </r>
  <r>
    <x v="268"/>
    <x v="28"/>
    <x v="4"/>
    <x v="1"/>
    <x v="244"/>
    <x v="8"/>
    <x v="197"/>
    <x v="4"/>
    <x v="4"/>
    <x v="92"/>
    <x v="268"/>
    <x v="267"/>
    <x v="268"/>
  </r>
  <r>
    <x v="269"/>
    <x v="29"/>
    <x v="0"/>
    <x v="4"/>
    <x v="245"/>
    <x v="8"/>
    <x v="198"/>
    <x v="5"/>
    <x v="5"/>
    <x v="39"/>
    <x v="269"/>
    <x v="268"/>
    <x v="269"/>
  </r>
  <r>
    <x v="270"/>
    <x v="0"/>
    <x v="0"/>
    <x v="0"/>
    <x v="246"/>
    <x v="8"/>
    <x v="190"/>
    <x v="0"/>
    <x v="0"/>
    <x v="1"/>
    <x v="270"/>
    <x v="269"/>
    <x v="270"/>
  </r>
  <r>
    <x v="271"/>
    <x v="1"/>
    <x v="1"/>
    <x v="1"/>
    <x v="247"/>
    <x v="8"/>
    <x v="199"/>
    <x v="1"/>
    <x v="1"/>
    <x v="58"/>
    <x v="271"/>
    <x v="270"/>
    <x v="271"/>
  </r>
  <r>
    <x v="272"/>
    <x v="2"/>
    <x v="1"/>
    <x v="2"/>
    <x v="248"/>
    <x v="8"/>
    <x v="41"/>
    <x v="2"/>
    <x v="2"/>
    <x v="150"/>
    <x v="272"/>
    <x v="271"/>
    <x v="272"/>
  </r>
  <r>
    <x v="273"/>
    <x v="3"/>
    <x v="2"/>
    <x v="0"/>
    <x v="249"/>
    <x v="8"/>
    <x v="128"/>
    <x v="3"/>
    <x v="3"/>
    <x v="151"/>
    <x v="273"/>
    <x v="272"/>
    <x v="273"/>
  </r>
  <r>
    <x v="274"/>
    <x v="4"/>
    <x v="0"/>
    <x v="2"/>
    <x v="250"/>
    <x v="9"/>
    <x v="200"/>
    <x v="4"/>
    <x v="4"/>
    <x v="152"/>
    <x v="274"/>
    <x v="273"/>
    <x v="274"/>
  </r>
  <r>
    <x v="275"/>
    <x v="5"/>
    <x v="2"/>
    <x v="1"/>
    <x v="251"/>
    <x v="9"/>
    <x v="201"/>
    <x v="5"/>
    <x v="5"/>
    <x v="153"/>
    <x v="275"/>
    <x v="274"/>
    <x v="275"/>
  </r>
  <r>
    <x v="276"/>
    <x v="6"/>
    <x v="0"/>
    <x v="3"/>
    <x v="252"/>
    <x v="9"/>
    <x v="13"/>
    <x v="0"/>
    <x v="0"/>
    <x v="69"/>
    <x v="276"/>
    <x v="275"/>
    <x v="276"/>
  </r>
  <r>
    <x v="277"/>
    <x v="7"/>
    <x v="3"/>
    <x v="1"/>
    <x v="253"/>
    <x v="9"/>
    <x v="202"/>
    <x v="1"/>
    <x v="1"/>
    <x v="154"/>
    <x v="277"/>
    <x v="276"/>
    <x v="277"/>
  </r>
  <r>
    <x v="278"/>
    <x v="8"/>
    <x v="1"/>
    <x v="4"/>
    <x v="254"/>
    <x v="9"/>
    <x v="203"/>
    <x v="2"/>
    <x v="2"/>
    <x v="30"/>
    <x v="278"/>
    <x v="277"/>
    <x v="278"/>
  </r>
  <r>
    <x v="279"/>
    <x v="9"/>
    <x v="4"/>
    <x v="0"/>
    <x v="255"/>
    <x v="9"/>
    <x v="4"/>
    <x v="3"/>
    <x v="3"/>
    <x v="155"/>
    <x v="279"/>
    <x v="278"/>
    <x v="279"/>
  </r>
  <r>
    <x v="280"/>
    <x v="10"/>
    <x v="2"/>
    <x v="3"/>
    <x v="256"/>
    <x v="9"/>
    <x v="204"/>
    <x v="4"/>
    <x v="4"/>
    <x v="38"/>
    <x v="280"/>
    <x v="279"/>
    <x v="280"/>
  </r>
  <r>
    <x v="281"/>
    <x v="11"/>
    <x v="3"/>
    <x v="2"/>
    <x v="257"/>
    <x v="9"/>
    <x v="205"/>
    <x v="5"/>
    <x v="5"/>
    <x v="91"/>
    <x v="281"/>
    <x v="280"/>
    <x v="281"/>
  </r>
  <r>
    <x v="282"/>
    <x v="12"/>
    <x v="0"/>
    <x v="5"/>
    <x v="258"/>
    <x v="9"/>
    <x v="206"/>
    <x v="0"/>
    <x v="0"/>
    <x v="81"/>
    <x v="282"/>
    <x v="281"/>
    <x v="282"/>
  </r>
  <r>
    <x v="283"/>
    <x v="13"/>
    <x v="5"/>
    <x v="1"/>
    <x v="259"/>
    <x v="9"/>
    <x v="181"/>
    <x v="1"/>
    <x v="1"/>
    <x v="99"/>
    <x v="283"/>
    <x v="282"/>
    <x v="283"/>
  </r>
  <r>
    <x v="284"/>
    <x v="14"/>
    <x v="1"/>
    <x v="5"/>
    <x v="260"/>
    <x v="9"/>
    <x v="142"/>
    <x v="2"/>
    <x v="2"/>
    <x v="3"/>
    <x v="284"/>
    <x v="283"/>
    <x v="284"/>
  </r>
  <r>
    <x v="285"/>
    <x v="15"/>
    <x v="5"/>
    <x v="0"/>
    <x v="261"/>
    <x v="9"/>
    <x v="27"/>
    <x v="3"/>
    <x v="3"/>
    <x v="15"/>
    <x v="285"/>
    <x v="284"/>
    <x v="285"/>
  </r>
  <r>
    <x v="286"/>
    <x v="16"/>
    <x v="2"/>
    <x v="6"/>
    <x v="262"/>
    <x v="9"/>
    <x v="194"/>
    <x v="4"/>
    <x v="4"/>
    <x v="106"/>
    <x v="286"/>
    <x v="285"/>
    <x v="286"/>
  </r>
  <r>
    <x v="287"/>
    <x v="17"/>
    <x v="6"/>
    <x v="2"/>
    <x v="263"/>
    <x v="9"/>
    <x v="207"/>
    <x v="5"/>
    <x v="5"/>
    <x v="153"/>
    <x v="287"/>
    <x v="286"/>
    <x v="287"/>
  </r>
  <r>
    <x v="288"/>
    <x v="18"/>
    <x v="0"/>
    <x v="6"/>
    <x v="264"/>
    <x v="9"/>
    <x v="208"/>
    <x v="0"/>
    <x v="0"/>
    <x v="14"/>
    <x v="288"/>
    <x v="287"/>
    <x v="288"/>
  </r>
  <r>
    <x v="289"/>
    <x v="19"/>
    <x v="6"/>
    <x v="1"/>
    <x v="265"/>
    <x v="9"/>
    <x v="209"/>
    <x v="1"/>
    <x v="1"/>
    <x v="13"/>
    <x v="289"/>
    <x v="288"/>
    <x v="289"/>
  </r>
  <r>
    <x v="290"/>
    <x v="20"/>
    <x v="1"/>
    <x v="7"/>
    <x v="266"/>
    <x v="9"/>
    <x v="210"/>
    <x v="2"/>
    <x v="2"/>
    <x v="79"/>
    <x v="290"/>
    <x v="289"/>
    <x v="290"/>
  </r>
  <r>
    <x v="291"/>
    <x v="21"/>
    <x v="7"/>
    <x v="0"/>
    <x v="267"/>
    <x v="9"/>
    <x v="211"/>
    <x v="3"/>
    <x v="3"/>
    <x v="156"/>
    <x v="291"/>
    <x v="290"/>
    <x v="291"/>
  </r>
  <r>
    <x v="292"/>
    <x v="22"/>
    <x v="0"/>
    <x v="7"/>
    <x v="268"/>
    <x v="9"/>
    <x v="212"/>
    <x v="4"/>
    <x v="4"/>
    <x v="48"/>
    <x v="292"/>
    <x v="291"/>
    <x v="292"/>
  </r>
  <r>
    <x v="293"/>
    <x v="23"/>
    <x v="7"/>
    <x v="1"/>
    <x v="269"/>
    <x v="9"/>
    <x v="213"/>
    <x v="5"/>
    <x v="5"/>
    <x v="86"/>
    <x v="293"/>
    <x v="292"/>
    <x v="293"/>
  </r>
  <r>
    <x v="294"/>
    <x v="24"/>
    <x v="1"/>
    <x v="8"/>
    <x v="270"/>
    <x v="9"/>
    <x v="214"/>
    <x v="0"/>
    <x v="0"/>
    <x v="24"/>
    <x v="294"/>
    <x v="293"/>
    <x v="294"/>
  </r>
  <r>
    <x v="295"/>
    <x v="25"/>
    <x v="8"/>
    <x v="0"/>
    <x v="271"/>
    <x v="9"/>
    <x v="111"/>
    <x v="1"/>
    <x v="1"/>
    <x v="99"/>
    <x v="295"/>
    <x v="294"/>
    <x v="295"/>
  </r>
  <r>
    <x v="296"/>
    <x v="26"/>
    <x v="2"/>
    <x v="5"/>
    <x v="272"/>
    <x v="9"/>
    <x v="215"/>
    <x v="2"/>
    <x v="2"/>
    <x v="67"/>
    <x v="296"/>
    <x v="295"/>
    <x v="296"/>
  </r>
  <r>
    <x v="297"/>
    <x v="27"/>
    <x v="5"/>
    <x v="2"/>
    <x v="273"/>
    <x v="9"/>
    <x v="192"/>
    <x v="3"/>
    <x v="3"/>
    <x v="157"/>
    <x v="297"/>
    <x v="296"/>
    <x v="297"/>
  </r>
  <r>
    <x v="298"/>
    <x v="28"/>
    <x v="4"/>
    <x v="1"/>
    <x v="274"/>
    <x v="9"/>
    <x v="216"/>
    <x v="4"/>
    <x v="4"/>
    <x v="109"/>
    <x v="298"/>
    <x v="297"/>
    <x v="298"/>
  </r>
  <r>
    <x v="299"/>
    <x v="29"/>
    <x v="0"/>
    <x v="4"/>
    <x v="275"/>
    <x v="9"/>
    <x v="30"/>
    <x v="5"/>
    <x v="5"/>
    <x v="22"/>
    <x v="299"/>
    <x v="298"/>
    <x v="299"/>
  </r>
  <r>
    <x v="300"/>
    <x v="0"/>
    <x v="0"/>
    <x v="0"/>
    <x v="276"/>
    <x v="9"/>
    <x v="168"/>
    <x v="0"/>
    <x v="0"/>
    <x v="72"/>
    <x v="300"/>
    <x v="299"/>
    <x v="300"/>
  </r>
  <r>
    <x v="301"/>
    <x v="1"/>
    <x v="1"/>
    <x v="1"/>
    <x v="277"/>
    <x v="9"/>
    <x v="135"/>
    <x v="1"/>
    <x v="1"/>
    <x v="25"/>
    <x v="301"/>
    <x v="300"/>
    <x v="301"/>
  </r>
  <r>
    <x v="302"/>
    <x v="2"/>
    <x v="1"/>
    <x v="2"/>
    <x v="278"/>
    <x v="9"/>
    <x v="217"/>
    <x v="2"/>
    <x v="2"/>
    <x v="42"/>
    <x v="302"/>
    <x v="301"/>
    <x v="302"/>
  </r>
  <r>
    <x v="303"/>
    <x v="3"/>
    <x v="2"/>
    <x v="0"/>
    <x v="279"/>
    <x v="9"/>
    <x v="218"/>
    <x v="3"/>
    <x v="3"/>
    <x v="158"/>
    <x v="303"/>
    <x v="302"/>
    <x v="303"/>
  </r>
  <r>
    <x v="304"/>
    <x v="4"/>
    <x v="0"/>
    <x v="2"/>
    <x v="280"/>
    <x v="9"/>
    <x v="219"/>
    <x v="4"/>
    <x v="4"/>
    <x v="159"/>
    <x v="304"/>
    <x v="303"/>
    <x v="304"/>
  </r>
  <r>
    <x v="305"/>
    <x v="5"/>
    <x v="2"/>
    <x v="1"/>
    <x v="281"/>
    <x v="10"/>
    <x v="220"/>
    <x v="5"/>
    <x v="5"/>
    <x v="33"/>
    <x v="305"/>
    <x v="304"/>
    <x v="305"/>
  </r>
  <r>
    <x v="306"/>
    <x v="6"/>
    <x v="0"/>
    <x v="3"/>
    <x v="282"/>
    <x v="10"/>
    <x v="46"/>
    <x v="0"/>
    <x v="0"/>
    <x v="90"/>
    <x v="306"/>
    <x v="305"/>
    <x v="306"/>
  </r>
  <r>
    <x v="307"/>
    <x v="7"/>
    <x v="3"/>
    <x v="1"/>
    <x v="283"/>
    <x v="10"/>
    <x v="34"/>
    <x v="1"/>
    <x v="1"/>
    <x v="76"/>
    <x v="307"/>
    <x v="306"/>
    <x v="307"/>
  </r>
  <r>
    <x v="308"/>
    <x v="8"/>
    <x v="1"/>
    <x v="4"/>
    <x v="284"/>
    <x v="10"/>
    <x v="221"/>
    <x v="2"/>
    <x v="2"/>
    <x v="137"/>
    <x v="308"/>
    <x v="307"/>
    <x v="308"/>
  </r>
  <r>
    <x v="309"/>
    <x v="9"/>
    <x v="4"/>
    <x v="0"/>
    <x v="285"/>
    <x v="10"/>
    <x v="222"/>
    <x v="3"/>
    <x v="3"/>
    <x v="9"/>
    <x v="309"/>
    <x v="308"/>
    <x v="309"/>
  </r>
  <r>
    <x v="310"/>
    <x v="10"/>
    <x v="2"/>
    <x v="3"/>
    <x v="286"/>
    <x v="10"/>
    <x v="223"/>
    <x v="4"/>
    <x v="4"/>
    <x v="160"/>
    <x v="310"/>
    <x v="309"/>
    <x v="310"/>
  </r>
  <r>
    <x v="311"/>
    <x v="11"/>
    <x v="3"/>
    <x v="2"/>
    <x v="287"/>
    <x v="10"/>
    <x v="166"/>
    <x v="5"/>
    <x v="5"/>
    <x v="71"/>
    <x v="311"/>
    <x v="310"/>
    <x v="311"/>
  </r>
  <r>
    <x v="312"/>
    <x v="12"/>
    <x v="0"/>
    <x v="5"/>
    <x v="288"/>
    <x v="10"/>
    <x v="207"/>
    <x v="0"/>
    <x v="0"/>
    <x v="6"/>
    <x v="312"/>
    <x v="311"/>
    <x v="312"/>
  </r>
  <r>
    <x v="313"/>
    <x v="13"/>
    <x v="5"/>
    <x v="1"/>
    <x v="289"/>
    <x v="10"/>
    <x v="224"/>
    <x v="1"/>
    <x v="1"/>
    <x v="28"/>
    <x v="313"/>
    <x v="312"/>
    <x v="313"/>
  </r>
  <r>
    <x v="314"/>
    <x v="14"/>
    <x v="1"/>
    <x v="5"/>
    <x v="290"/>
    <x v="10"/>
    <x v="107"/>
    <x v="2"/>
    <x v="2"/>
    <x v="122"/>
    <x v="314"/>
    <x v="313"/>
    <x v="314"/>
  </r>
  <r>
    <x v="315"/>
    <x v="15"/>
    <x v="5"/>
    <x v="0"/>
    <x v="291"/>
    <x v="10"/>
    <x v="186"/>
    <x v="3"/>
    <x v="3"/>
    <x v="53"/>
    <x v="315"/>
    <x v="314"/>
    <x v="315"/>
  </r>
  <r>
    <x v="316"/>
    <x v="16"/>
    <x v="2"/>
    <x v="6"/>
    <x v="292"/>
    <x v="10"/>
    <x v="225"/>
    <x v="4"/>
    <x v="4"/>
    <x v="161"/>
    <x v="316"/>
    <x v="315"/>
    <x v="316"/>
  </r>
  <r>
    <x v="317"/>
    <x v="17"/>
    <x v="6"/>
    <x v="2"/>
    <x v="293"/>
    <x v="10"/>
    <x v="226"/>
    <x v="5"/>
    <x v="5"/>
    <x v="61"/>
    <x v="317"/>
    <x v="316"/>
    <x v="317"/>
  </r>
  <r>
    <x v="318"/>
    <x v="18"/>
    <x v="0"/>
    <x v="6"/>
    <x v="294"/>
    <x v="10"/>
    <x v="227"/>
    <x v="0"/>
    <x v="0"/>
    <x v="107"/>
    <x v="318"/>
    <x v="317"/>
    <x v="318"/>
  </r>
  <r>
    <x v="319"/>
    <x v="19"/>
    <x v="6"/>
    <x v="1"/>
    <x v="295"/>
    <x v="10"/>
    <x v="85"/>
    <x v="1"/>
    <x v="1"/>
    <x v="125"/>
    <x v="319"/>
    <x v="318"/>
    <x v="319"/>
  </r>
  <r>
    <x v="320"/>
    <x v="20"/>
    <x v="1"/>
    <x v="7"/>
    <x v="296"/>
    <x v="10"/>
    <x v="41"/>
    <x v="2"/>
    <x v="2"/>
    <x v="75"/>
    <x v="320"/>
    <x v="319"/>
    <x v="320"/>
  </r>
  <r>
    <x v="321"/>
    <x v="21"/>
    <x v="7"/>
    <x v="0"/>
    <x v="297"/>
    <x v="10"/>
    <x v="228"/>
    <x v="3"/>
    <x v="3"/>
    <x v="162"/>
    <x v="321"/>
    <x v="320"/>
    <x v="321"/>
  </r>
  <r>
    <x v="322"/>
    <x v="22"/>
    <x v="0"/>
    <x v="7"/>
    <x v="298"/>
    <x v="10"/>
    <x v="221"/>
    <x v="4"/>
    <x v="4"/>
    <x v="163"/>
    <x v="322"/>
    <x v="321"/>
    <x v="322"/>
  </r>
  <r>
    <x v="323"/>
    <x v="23"/>
    <x v="7"/>
    <x v="1"/>
    <x v="299"/>
    <x v="10"/>
    <x v="229"/>
    <x v="5"/>
    <x v="5"/>
    <x v="66"/>
    <x v="323"/>
    <x v="322"/>
    <x v="323"/>
  </r>
  <r>
    <x v="324"/>
    <x v="24"/>
    <x v="1"/>
    <x v="8"/>
    <x v="300"/>
    <x v="10"/>
    <x v="61"/>
    <x v="0"/>
    <x v="0"/>
    <x v="68"/>
    <x v="324"/>
    <x v="323"/>
    <x v="324"/>
  </r>
  <r>
    <x v="325"/>
    <x v="25"/>
    <x v="8"/>
    <x v="0"/>
    <x v="301"/>
    <x v="10"/>
    <x v="215"/>
    <x v="1"/>
    <x v="1"/>
    <x v="115"/>
    <x v="325"/>
    <x v="324"/>
    <x v="325"/>
  </r>
  <r>
    <x v="326"/>
    <x v="26"/>
    <x v="2"/>
    <x v="5"/>
    <x v="302"/>
    <x v="10"/>
    <x v="189"/>
    <x v="2"/>
    <x v="2"/>
    <x v="79"/>
    <x v="326"/>
    <x v="325"/>
    <x v="326"/>
  </r>
  <r>
    <x v="327"/>
    <x v="27"/>
    <x v="5"/>
    <x v="2"/>
    <x v="303"/>
    <x v="10"/>
    <x v="230"/>
    <x v="3"/>
    <x v="3"/>
    <x v="164"/>
    <x v="327"/>
    <x v="326"/>
    <x v="327"/>
  </r>
  <r>
    <x v="328"/>
    <x v="28"/>
    <x v="4"/>
    <x v="1"/>
    <x v="304"/>
    <x v="10"/>
    <x v="231"/>
    <x v="4"/>
    <x v="4"/>
    <x v="165"/>
    <x v="328"/>
    <x v="327"/>
    <x v="328"/>
  </r>
  <r>
    <x v="329"/>
    <x v="29"/>
    <x v="0"/>
    <x v="4"/>
    <x v="305"/>
    <x v="10"/>
    <x v="90"/>
    <x v="5"/>
    <x v="5"/>
    <x v="91"/>
    <x v="329"/>
    <x v="328"/>
    <x v="329"/>
  </r>
  <r>
    <x v="330"/>
    <x v="0"/>
    <x v="0"/>
    <x v="0"/>
    <x v="306"/>
    <x v="10"/>
    <x v="51"/>
    <x v="0"/>
    <x v="0"/>
    <x v="68"/>
    <x v="330"/>
    <x v="329"/>
    <x v="330"/>
  </r>
  <r>
    <x v="331"/>
    <x v="1"/>
    <x v="1"/>
    <x v="1"/>
    <x v="307"/>
    <x v="10"/>
    <x v="168"/>
    <x v="1"/>
    <x v="1"/>
    <x v="90"/>
    <x v="331"/>
    <x v="330"/>
    <x v="331"/>
  </r>
  <r>
    <x v="332"/>
    <x v="2"/>
    <x v="1"/>
    <x v="2"/>
    <x v="308"/>
    <x v="10"/>
    <x v="232"/>
    <x v="2"/>
    <x v="2"/>
    <x v="134"/>
    <x v="332"/>
    <x v="331"/>
    <x v="332"/>
  </r>
  <r>
    <x v="333"/>
    <x v="3"/>
    <x v="2"/>
    <x v="0"/>
    <x v="309"/>
    <x v="10"/>
    <x v="148"/>
    <x v="3"/>
    <x v="3"/>
    <x v="166"/>
    <x v="333"/>
    <x v="332"/>
    <x v="333"/>
  </r>
  <r>
    <x v="334"/>
    <x v="4"/>
    <x v="0"/>
    <x v="2"/>
    <x v="310"/>
    <x v="10"/>
    <x v="233"/>
    <x v="4"/>
    <x v="4"/>
    <x v="167"/>
    <x v="334"/>
    <x v="333"/>
    <x v="334"/>
  </r>
  <r>
    <x v="335"/>
    <x v="5"/>
    <x v="2"/>
    <x v="1"/>
    <x v="311"/>
    <x v="11"/>
    <x v="234"/>
    <x v="5"/>
    <x v="5"/>
    <x v="136"/>
    <x v="335"/>
    <x v="328"/>
    <x v="335"/>
  </r>
  <r>
    <x v="336"/>
    <x v="6"/>
    <x v="0"/>
    <x v="3"/>
    <x v="312"/>
    <x v="11"/>
    <x v="176"/>
    <x v="0"/>
    <x v="0"/>
    <x v="72"/>
    <x v="336"/>
    <x v="334"/>
    <x v="336"/>
  </r>
  <r>
    <x v="337"/>
    <x v="7"/>
    <x v="3"/>
    <x v="1"/>
    <x v="313"/>
    <x v="11"/>
    <x v="169"/>
    <x v="1"/>
    <x v="1"/>
    <x v="40"/>
    <x v="337"/>
    <x v="335"/>
    <x v="337"/>
  </r>
  <r>
    <x v="338"/>
    <x v="8"/>
    <x v="1"/>
    <x v="4"/>
    <x v="314"/>
    <x v="11"/>
    <x v="71"/>
    <x v="2"/>
    <x v="2"/>
    <x v="3"/>
    <x v="338"/>
    <x v="336"/>
    <x v="338"/>
  </r>
  <r>
    <x v="339"/>
    <x v="9"/>
    <x v="4"/>
    <x v="0"/>
    <x v="315"/>
    <x v="11"/>
    <x v="235"/>
    <x v="3"/>
    <x v="3"/>
    <x v="120"/>
    <x v="339"/>
    <x v="337"/>
    <x v="339"/>
  </r>
  <r>
    <x v="340"/>
    <x v="10"/>
    <x v="2"/>
    <x v="3"/>
    <x v="316"/>
    <x v="11"/>
    <x v="236"/>
    <x v="4"/>
    <x v="4"/>
    <x v="168"/>
    <x v="340"/>
    <x v="338"/>
    <x v="340"/>
  </r>
  <r>
    <x v="341"/>
    <x v="11"/>
    <x v="3"/>
    <x v="2"/>
    <x v="317"/>
    <x v="11"/>
    <x v="237"/>
    <x v="5"/>
    <x v="5"/>
    <x v="61"/>
    <x v="341"/>
    <x v="339"/>
    <x v="341"/>
  </r>
  <r>
    <x v="342"/>
    <x v="12"/>
    <x v="0"/>
    <x v="5"/>
    <x v="318"/>
    <x v="11"/>
    <x v="102"/>
    <x v="0"/>
    <x v="0"/>
    <x v="29"/>
    <x v="342"/>
    <x v="340"/>
    <x v="342"/>
  </r>
  <r>
    <x v="343"/>
    <x v="13"/>
    <x v="5"/>
    <x v="1"/>
    <x v="319"/>
    <x v="11"/>
    <x v="53"/>
    <x v="1"/>
    <x v="1"/>
    <x v="107"/>
    <x v="343"/>
    <x v="341"/>
    <x v="343"/>
  </r>
  <r>
    <x v="344"/>
    <x v="14"/>
    <x v="1"/>
    <x v="5"/>
    <x v="320"/>
    <x v="11"/>
    <x v="75"/>
    <x v="2"/>
    <x v="2"/>
    <x v="30"/>
    <x v="344"/>
    <x v="342"/>
    <x v="344"/>
  </r>
  <r>
    <x v="345"/>
    <x v="15"/>
    <x v="5"/>
    <x v="0"/>
    <x v="321"/>
    <x v="11"/>
    <x v="238"/>
    <x v="3"/>
    <x v="3"/>
    <x v="169"/>
    <x v="345"/>
    <x v="343"/>
    <x v="345"/>
  </r>
  <r>
    <x v="346"/>
    <x v="16"/>
    <x v="2"/>
    <x v="6"/>
    <x v="322"/>
    <x v="11"/>
    <x v="61"/>
    <x v="4"/>
    <x v="4"/>
    <x v="83"/>
    <x v="346"/>
    <x v="344"/>
    <x v="346"/>
  </r>
  <r>
    <x v="347"/>
    <x v="17"/>
    <x v="6"/>
    <x v="2"/>
    <x v="323"/>
    <x v="11"/>
    <x v="12"/>
    <x v="5"/>
    <x v="5"/>
    <x v="17"/>
    <x v="347"/>
    <x v="345"/>
    <x v="347"/>
  </r>
  <r>
    <x v="348"/>
    <x v="18"/>
    <x v="0"/>
    <x v="6"/>
    <x v="324"/>
    <x v="11"/>
    <x v="239"/>
    <x v="0"/>
    <x v="0"/>
    <x v="67"/>
    <x v="348"/>
    <x v="346"/>
    <x v="348"/>
  </r>
  <r>
    <x v="349"/>
    <x v="19"/>
    <x v="6"/>
    <x v="1"/>
    <x v="325"/>
    <x v="11"/>
    <x v="151"/>
    <x v="1"/>
    <x v="1"/>
    <x v="15"/>
    <x v="349"/>
    <x v="347"/>
    <x v="349"/>
  </r>
  <r>
    <x v="350"/>
    <x v="20"/>
    <x v="1"/>
    <x v="7"/>
    <x v="326"/>
    <x v="11"/>
    <x v="240"/>
    <x v="2"/>
    <x v="2"/>
    <x v="90"/>
    <x v="350"/>
    <x v="348"/>
    <x v="350"/>
  </r>
  <r>
    <x v="351"/>
    <x v="21"/>
    <x v="7"/>
    <x v="0"/>
    <x v="327"/>
    <x v="11"/>
    <x v="6"/>
    <x v="3"/>
    <x v="3"/>
    <x v="140"/>
    <x v="351"/>
    <x v="349"/>
    <x v="351"/>
  </r>
  <r>
    <x v="352"/>
    <x v="22"/>
    <x v="0"/>
    <x v="7"/>
    <x v="328"/>
    <x v="11"/>
    <x v="195"/>
    <x v="4"/>
    <x v="4"/>
    <x v="170"/>
    <x v="352"/>
    <x v="350"/>
    <x v="352"/>
  </r>
  <r>
    <x v="353"/>
    <x v="23"/>
    <x v="7"/>
    <x v="1"/>
    <x v="329"/>
    <x v="11"/>
    <x v="241"/>
    <x v="5"/>
    <x v="5"/>
    <x v="5"/>
    <x v="353"/>
    <x v="351"/>
    <x v="353"/>
  </r>
  <r>
    <x v="354"/>
    <x v="24"/>
    <x v="1"/>
    <x v="8"/>
    <x v="330"/>
    <x v="11"/>
    <x v="90"/>
    <x v="0"/>
    <x v="0"/>
    <x v="2"/>
    <x v="354"/>
    <x v="352"/>
    <x v="354"/>
  </r>
  <r>
    <x v="355"/>
    <x v="25"/>
    <x v="8"/>
    <x v="0"/>
    <x v="331"/>
    <x v="11"/>
    <x v="161"/>
    <x v="1"/>
    <x v="1"/>
    <x v="1"/>
    <x v="355"/>
    <x v="353"/>
    <x v="355"/>
  </r>
  <r>
    <x v="356"/>
    <x v="26"/>
    <x v="2"/>
    <x v="5"/>
    <x v="332"/>
    <x v="11"/>
    <x v="242"/>
    <x v="2"/>
    <x v="2"/>
    <x v="75"/>
    <x v="356"/>
    <x v="354"/>
    <x v="356"/>
  </r>
  <r>
    <x v="357"/>
    <x v="27"/>
    <x v="5"/>
    <x v="2"/>
    <x v="333"/>
    <x v="11"/>
    <x v="243"/>
    <x v="3"/>
    <x v="3"/>
    <x v="171"/>
    <x v="357"/>
    <x v="355"/>
    <x v="357"/>
  </r>
  <r>
    <x v="358"/>
    <x v="28"/>
    <x v="4"/>
    <x v="1"/>
    <x v="334"/>
    <x v="11"/>
    <x v="244"/>
    <x v="4"/>
    <x v="4"/>
    <x v="172"/>
    <x v="358"/>
    <x v="356"/>
    <x v="358"/>
  </r>
  <r>
    <x v="359"/>
    <x v="29"/>
    <x v="0"/>
    <x v="4"/>
    <x v="335"/>
    <x v="11"/>
    <x v="121"/>
    <x v="5"/>
    <x v="5"/>
    <x v="110"/>
    <x v="359"/>
    <x v="357"/>
    <x v="359"/>
  </r>
  <r>
    <x v="360"/>
    <x v="0"/>
    <x v="0"/>
    <x v="0"/>
    <x v="336"/>
    <x v="11"/>
    <x v="28"/>
    <x v="0"/>
    <x v="0"/>
    <x v="40"/>
    <x v="360"/>
    <x v="358"/>
    <x v="360"/>
  </r>
  <r>
    <x v="361"/>
    <x v="1"/>
    <x v="1"/>
    <x v="1"/>
    <x v="337"/>
    <x v="11"/>
    <x v="120"/>
    <x v="1"/>
    <x v="1"/>
    <x v="47"/>
    <x v="361"/>
    <x v="359"/>
    <x v="361"/>
  </r>
  <r>
    <x v="362"/>
    <x v="2"/>
    <x v="1"/>
    <x v="2"/>
    <x v="338"/>
    <x v="11"/>
    <x v="245"/>
    <x v="2"/>
    <x v="2"/>
    <x v="1"/>
    <x v="362"/>
    <x v="360"/>
    <x v="362"/>
  </r>
  <r>
    <x v="363"/>
    <x v="3"/>
    <x v="2"/>
    <x v="0"/>
    <x v="339"/>
    <x v="11"/>
    <x v="88"/>
    <x v="3"/>
    <x v="3"/>
    <x v="36"/>
    <x v="363"/>
    <x v="361"/>
    <x v="363"/>
  </r>
  <r>
    <x v="364"/>
    <x v="4"/>
    <x v="0"/>
    <x v="2"/>
    <x v="340"/>
    <x v="11"/>
    <x v="114"/>
    <x v="4"/>
    <x v="4"/>
    <x v="131"/>
    <x v="364"/>
    <x v="362"/>
    <x v="364"/>
  </r>
  <r>
    <x v="365"/>
    <x v="5"/>
    <x v="2"/>
    <x v="1"/>
    <x v="8"/>
    <x v="4"/>
    <x v="107"/>
    <x v="5"/>
    <x v="5"/>
    <x v="11"/>
    <x v="365"/>
    <x v="363"/>
    <x v="365"/>
  </r>
  <r>
    <x v="366"/>
    <x v="6"/>
    <x v="0"/>
    <x v="3"/>
    <x v="341"/>
    <x v="4"/>
    <x v="151"/>
    <x v="0"/>
    <x v="0"/>
    <x v="173"/>
    <x v="366"/>
    <x v="364"/>
    <x v="366"/>
  </r>
  <r>
    <x v="367"/>
    <x v="7"/>
    <x v="3"/>
    <x v="1"/>
    <x v="342"/>
    <x v="4"/>
    <x v="12"/>
    <x v="1"/>
    <x v="1"/>
    <x v="124"/>
    <x v="367"/>
    <x v="365"/>
    <x v="367"/>
  </r>
  <r>
    <x v="368"/>
    <x v="8"/>
    <x v="1"/>
    <x v="4"/>
    <x v="343"/>
    <x v="4"/>
    <x v="246"/>
    <x v="2"/>
    <x v="2"/>
    <x v="3"/>
    <x v="368"/>
    <x v="366"/>
    <x v="368"/>
  </r>
  <r>
    <x v="369"/>
    <x v="9"/>
    <x v="4"/>
    <x v="0"/>
    <x v="344"/>
    <x v="4"/>
    <x v="147"/>
    <x v="3"/>
    <x v="3"/>
    <x v="75"/>
    <x v="369"/>
    <x v="367"/>
    <x v="369"/>
  </r>
  <r>
    <x v="370"/>
    <x v="10"/>
    <x v="2"/>
    <x v="3"/>
    <x v="345"/>
    <x v="4"/>
    <x v="144"/>
    <x v="4"/>
    <x v="4"/>
    <x v="174"/>
    <x v="370"/>
    <x v="368"/>
    <x v="370"/>
  </r>
  <r>
    <x v="371"/>
    <x v="11"/>
    <x v="3"/>
    <x v="2"/>
    <x v="22"/>
    <x v="4"/>
    <x v="1"/>
    <x v="5"/>
    <x v="5"/>
    <x v="114"/>
    <x v="371"/>
    <x v="369"/>
    <x v="371"/>
  </r>
  <r>
    <x v="372"/>
    <x v="12"/>
    <x v="0"/>
    <x v="5"/>
    <x v="346"/>
    <x v="4"/>
    <x v="247"/>
    <x v="0"/>
    <x v="0"/>
    <x v="0"/>
    <x v="372"/>
    <x v="370"/>
    <x v="372"/>
  </r>
  <r>
    <x v="373"/>
    <x v="13"/>
    <x v="5"/>
    <x v="1"/>
    <x v="347"/>
    <x v="4"/>
    <x v="220"/>
    <x v="1"/>
    <x v="1"/>
    <x v="150"/>
    <x v="373"/>
    <x v="371"/>
    <x v="373"/>
  </r>
  <r>
    <x v="374"/>
    <x v="14"/>
    <x v="1"/>
    <x v="5"/>
    <x v="348"/>
    <x v="4"/>
    <x v="54"/>
    <x v="2"/>
    <x v="2"/>
    <x v="40"/>
    <x v="374"/>
    <x v="372"/>
    <x v="374"/>
  </r>
  <r>
    <x v="375"/>
    <x v="15"/>
    <x v="5"/>
    <x v="0"/>
    <x v="349"/>
    <x v="4"/>
    <x v="128"/>
    <x v="3"/>
    <x v="3"/>
    <x v="175"/>
    <x v="375"/>
    <x v="373"/>
    <x v="375"/>
  </r>
  <r>
    <x v="376"/>
    <x v="16"/>
    <x v="2"/>
    <x v="6"/>
    <x v="350"/>
    <x v="4"/>
    <x v="93"/>
    <x v="4"/>
    <x v="4"/>
    <x v="176"/>
    <x v="376"/>
    <x v="374"/>
    <x v="376"/>
  </r>
  <r>
    <x v="377"/>
    <x v="17"/>
    <x v="6"/>
    <x v="2"/>
    <x v="351"/>
    <x v="4"/>
    <x v="205"/>
    <x v="5"/>
    <x v="5"/>
    <x v="102"/>
    <x v="377"/>
    <x v="375"/>
    <x v="377"/>
  </r>
  <r>
    <x v="378"/>
    <x v="18"/>
    <x v="0"/>
    <x v="6"/>
    <x v="352"/>
    <x v="4"/>
    <x v="248"/>
    <x v="0"/>
    <x v="0"/>
    <x v="177"/>
    <x v="378"/>
    <x v="376"/>
    <x v="378"/>
  </r>
  <r>
    <x v="379"/>
    <x v="19"/>
    <x v="6"/>
    <x v="1"/>
    <x v="353"/>
    <x v="4"/>
    <x v="249"/>
    <x v="1"/>
    <x v="1"/>
    <x v="51"/>
    <x v="379"/>
    <x v="377"/>
    <x v="379"/>
  </r>
  <r>
    <x v="380"/>
    <x v="20"/>
    <x v="1"/>
    <x v="7"/>
    <x v="354"/>
    <x v="4"/>
    <x v="69"/>
    <x v="2"/>
    <x v="2"/>
    <x v="178"/>
    <x v="380"/>
    <x v="378"/>
    <x v="380"/>
  </r>
  <r>
    <x v="381"/>
    <x v="21"/>
    <x v="7"/>
    <x v="0"/>
    <x v="355"/>
    <x v="4"/>
    <x v="109"/>
    <x v="3"/>
    <x v="3"/>
    <x v="157"/>
    <x v="381"/>
    <x v="379"/>
    <x v="381"/>
  </r>
  <r>
    <x v="382"/>
    <x v="22"/>
    <x v="0"/>
    <x v="7"/>
    <x v="356"/>
    <x v="4"/>
    <x v="246"/>
    <x v="4"/>
    <x v="4"/>
    <x v="179"/>
    <x v="382"/>
    <x v="380"/>
    <x v="382"/>
  </r>
  <r>
    <x v="383"/>
    <x v="23"/>
    <x v="7"/>
    <x v="1"/>
    <x v="357"/>
    <x v="4"/>
    <x v="205"/>
    <x v="5"/>
    <x v="5"/>
    <x v="86"/>
    <x v="383"/>
    <x v="381"/>
    <x v="383"/>
  </r>
  <r>
    <x v="384"/>
    <x v="24"/>
    <x v="1"/>
    <x v="8"/>
    <x v="358"/>
    <x v="4"/>
    <x v="250"/>
    <x v="0"/>
    <x v="0"/>
    <x v="72"/>
    <x v="384"/>
    <x v="382"/>
    <x v="384"/>
  </r>
  <r>
    <x v="385"/>
    <x v="25"/>
    <x v="8"/>
    <x v="0"/>
    <x v="359"/>
    <x v="4"/>
    <x v="0"/>
    <x v="1"/>
    <x v="1"/>
    <x v="51"/>
    <x v="385"/>
    <x v="383"/>
    <x v="385"/>
  </r>
  <r>
    <x v="386"/>
    <x v="26"/>
    <x v="2"/>
    <x v="5"/>
    <x v="360"/>
    <x v="4"/>
    <x v="96"/>
    <x v="2"/>
    <x v="2"/>
    <x v="28"/>
    <x v="386"/>
    <x v="384"/>
    <x v="386"/>
  </r>
  <r>
    <x v="387"/>
    <x v="27"/>
    <x v="5"/>
    <x v="2"/>
    <x v="361"/>
    <x v="4"/>
    <x v="216"/>
    <x v="3"/>
    <x v="3"/>
    <x v="118"/>
    <x v="387"/>
    <x v="385"/>
    <x v="387"/>
  </r>
  <r>
    <x v="388"/>
    <x v="28"/>
    <x v="4"/>
    <x v="1"/>
    <x v="19"/>
    <x v="4"/>
    <x v="223"/>
    <x v="4"/>
    <x v="4"/>
    <x v="180"/>
    <x v="388"/>
    <x v="386"/>
    <x v="388"/>
  </r>
  <r>
    <x v="389"/>
    <x v="29"/>
    <x v="0"/>
    <x v="4"/>
    <x v="362"/>
    <x v="4"/>
    <x v="251"/>
    <x v="5"/>
    <x v="5"/>
    <x v="153"/>
    <x v="389"/>
    <x v="387"/>
    <x v="389"/>
  </r>
  <r>
    <x v="390"/>
    <x v="0"/>
    <x v="0"/>
    <x v="0"/>
    <x v="16"/>
    <x v="4"/>
    <x v="252"/>
    <x v="0"/>
    <x v="0"/>
    <x v="18"/>
    <x v="390"/>
    <x v="388"/>
    <x v="390"/>
  </r>
  <r>
    <x v="391"/>
    <x v="1"/>
    <x v="1"/>
    <x v="1"/>
    <x v="363"/>
    <x v="4"/>
    <x v="253"/>
    <x v="1"/>
    <x v="1"/>
    <x v="68"/>
    <x v="391"/>
    <x v="389"/>
    <x v="391"/>
  </r>
  <r>
    <x v="392"/>
    <x v="2"/>
    <x v="1"/>
    <x v="2"/>
    <x v="364"/>
    <x v="4"/>
    <x v="254"/>
    <x v="2"/>
    <x v="2"/>
    <x v="178"/>
    <x v="392"/>
    <x v="390"/>
    <x v="392"/>
  </r>
  <r>
    <x v="393"/>
    <x v="3"/>
    <x v="2"/>
    <x v="0"/>
    <x v="26"/>
    <x v="4"/>
    <x v="255"/>
    <x v="3"/>
    <x v="3"/>
    <x v="118"/>
    <x v="393"/>
    <x v="391"/>
    <x v="393"/>
  </r>
  <r>
    <x v="394"/>
    <x v="4"/>
    <x v="0"/>
    <x v="2"/>
    <x v="27"/>
    <x v="4"/>
    <x v="256"/>
    <x v="4"/>
    <x v="4"/>
    <x v="181"/>
    <x v="394"/>
    <x v="392"/>
    <x v="394"/>
  </r>
  <r>
    <x v="395"/>
    <x v="5"/>
    <x v="2"/>
    <x v="1"/>
    <x v="28"/>
    <x v="4"/>
    <x v="257"/>
    <x v="5"/>
    <x v="5"/>
    <x v="110"/>
    <x v="395"/>
    <x v="393"/>
    <x v="395"/>
  </r>
  <r>
    <x v="396"/>
    <x v="6"/>
    <x v="0"/>
    <x v="3"/>
    <x v="29"/>
    <x v="5"/>
    <x v="7"/>
    <x v="0"/>
    <x v="0"/>
    <x v="81"/>
    <x v="396"/>
    <x v="394"/>
    <x v="396"/>
  </r>
  <r>
    <x v="397"/>
    <x v="7"/>
    <x v="3"/>
    <x v="1"/>
    <x v="9"/>
    <x v="5"/>
    <x v="178"/>
    <x v="1"/>
    <x v="1"/>
    <x v="18"/>
    <x v="397"/>
    <x v="395"/>
    <x v="397"/>
  </r>
  <r>
    <x v="398"/>
    <x v="8"/>
    <x v="1"/>
    <x v="4"/>
    <x v="30"/>
    <x v="5"/>
    <x v="38"/>
    <x v="2"/>
    <x v="2"/>
    <x v="14"/>
    <x v="398"/>
    <x v="396"/>
    <x v="398"/>
  </r>
  <r>
    <x v="399"/>
    <x v="9"/>
    <x v="4"/>
    <x v="0"/>
    <x v="31"/>
    <x v="5"/>
    <x v="258"/>
    <x v="3"/>
    <x v="3"/>
    <x v="182"/>
    <x v="399"/>
    <x v="397"/>
    <x v="399"/>
  </r>
  <r>
    <x v="400"/>
    <x v="10"/>
    <x v="2"/>
    <x v="3"/>
    <x v="32"/>
    <x v="5"/>
    <x v="259"/>
    <x v="4"/>
    <x v="4"/>
    <x v="183"/>
    <x v="400"/>
    <x v="398"/>
    <x v="400"/>
  </r>
  <r>
    <x v="401"/>
    <x v="11"/>
    <x v="3"/>
    <x v="2"/>
    <x v="33"/>
    <x v="5"/>
    <x v="119"/>
    <x v="5"/>
    <x v="5"/>
    <x v="27"/>
    <x v="401"/>
    <x v="399"/>
    <x v="401"/>
  </r>
  <r>
    <x v="402"/>
    <x v="12"/>
    <x v="0"/>
    <x v="5"/>
    <x v="34"/>
    <x v="5"/>
    <x v="248"/>
    <x v="0"/>
    <x v="0"/>
    <x v="122"/>
    <x v="402"/>
    <x v="400"/>
    <x v="402"/>
  </r>
  <r>
    <x v="403"/>
    <x v="13"/>
    <x v="5"/>
    <x v="1"/>
    <x v="35"/>
    <x v="5"/>
    <x v="260"/>
    <x v="1"/>
    <x v="1"/>
    <x v="150"/>
    <x v="403"/>
    <x v="401"/>
    <x v="403"/>
  </r>
  <r>
    <x v="404"/>
    <x v="14"/>
    <x v="1"/>
    <x v="5"/>
    <x v="36"/>
    <x v="5"/>
    <x v="111"/>
    <x v="2"/>
    <x v="2"/>
    <x v="42"/>
    <x v="404"/>
    <x v="402"/>
    <x v="404"/>
  </r>
  <r>
    <x v="405"/>
    <x v="15"/>
    <x v="5"/>
    <x v="0"/>
    <x v="37"/>
    <x v="5"/>
    <x v="261"/>
    <x v="3"/>
    <x v="3"/>
    <x v="116"/>
    <x v="405"/>
    <x v="403"/>
    <x v="405"/>
  </r>
  <r>
    <x v="406"/>
    <x v="16"/>
    <x v="2"/>
    <x v="6"/>
    <x v="38"/>
    <x v="5"/>
    <x v="195"/>
    <x v="4"/>
    <x v="4"/>
    <x v="21"/>
    <x v="406"/>
    <x v="404"/>
    <x v="406"/>
  </r>
  <r>
    <x v="407"/>
    <x v="17"/>
    <x v="6"/>
    <x v="2"/>
    <x v="39"/>
    <x v="5"/>
    <x v="205"/>
    <x v="5"/>
    <x v="5"/>
    <x v="27"/>
    <x v="407"/>
    <x v="405"/>
    <x v="407"/>
  </r>
  <r>
    <x v="408"/>
    <x v="18"/>
    <x v="0"/>
    <x v="6"/>
    <x v="40"/>
    <x v="5"/>
    <x v="142"/>
    <x v="0"/>
    <x v="0"/>
    <x v="20"/>
    <x v="408"/>
    <x v="406"/>
    <x v="408"/>
  </r>
  <r>
    <x v="409"/>
    <x v="19"/>
    <x v="6"/>
    <x v="1"/>
    <x v="41"/>
    <x v="5"/>
    <x v="173"/>
    <x v="1"/>
    <x v="1"/>
    <x v="23"/>
    <x v="409"/>
    <x v="407"/>
    <x v="409"/>
  </r>
  <r>
    <x v="410"/>
    <x v="20"/>
    <x v="1"/>
    <x v="7"/>
    <x v="42"/>
    <x v="5"/>
    <x v="262"/>
    <x v="2"/>
    <x v="2"/>
    <x v="120"/>
    <x v="410"/>
    <x v="408"/>
    <x v="410"/>
  </r>
  <r>
    <x v="411"/>
    <x v="21"/>
    <x v="7"/>
    <x v="0"/>
    <x v="13"/>
    <x v="5"/>
    <x v="32"/>
    <x v="3"/>
    <x v="3"/>
    <x v="47"/>
    <x v="411"/>
    <x v="409"/>
    <x v="411"/>
  </r>
  <r>
    <x v="412"/>
    <x v="22"/>
    <x v="0"/>
    <x v="7"/>
    <x v="43"/>
    <x v="5"/>
    <x v="186"/>
    <x v="4"/>
    <x v="4"/>
    <x v="184"/>
    <x v="412"/>
    <x v="410"/>
    <x v="412"/>
  </r>
  <r>
    <x v="413"/>
    <x v="23"/>
    <x v="7"/>
    <x v="1"/>
    <x v="44"/>
    <x v="5"/>
    <x v="49"/>
    <x v="5"/>
    <x v="5"/>
    <x v="39"/>
    <x v="413"/>
    <x v="411"/>
    <x v="413"/>
  </r>
  <r>
    <x v="414"/>
    <x v="24"/>
    <x v="1"/>
    <x v="8"/>
    <x v="45"/>
    <x v="5"/>
    <x v="263"/>
    <x v="0"/>
    <x v="0"/>
    <x v="115"/>
    <x v="414"/>
    <x v="412"/>
    <x v="414"/>
  </r>
  <r>
    <x v="415"/>
    <x v="25"/>
    <x v="8"/>
    <x v="0"/>
    <x v="46"/>
    <x v="5"/>
    <x v="264"/>
    <x v="1"/>
    <x v="1"/>
    <x v="36"/>
    <x v="415"/>
    <x v="413"/>
    <x v="415"/>
  </r>
  <r>
    <x v="416"/>
    <x v="26"/>
    <x v="2"/>
    <x v="5"/>
    <x v="47"/>
    <x v="5"/>
    <x v="260"/>
    <x v="2"/>
    <x v="2"/>
    <x v="128"/>
    <x v="416"/>
    <x v="414"/>
    <x v="416"/>
  </r>
  <r>
    <x v="417"/>
    <x v="27"/>
    <x v="5"/>
    <x v="2"/>
    <x v="48"/>
    <x v="5"/>
    <x v="265"/>
    <x v="3"/>
    <x v="3"/>
    <x v="112"/>
    <x v="417"/>
    <x v="415"/>
    <x v="417"/>
  </r>
  <r>
    <x v="418"/>
    <x v="28"/>
    <x v="4"/>
    <x v="1"/>
    <x v="49"/>
    <x v="5"/>
    <x v="266"/>
    <x v="4"/>
    <x v="4"/>
    <x v="185"/>
    <x v="418"/>
    <x v="416"/>
    <x v="418"/>
  </r>
  <r>
    <x v="419"/>
    <x v="29"/>
    <x v="0"/>
    <x v="4"/>
    <x v="50"/>
    <x v="5"/>
    <x v="257"/>
    <x v="5"/>
    <x v="5"/>
    <x v="136"/>
    <x v="419"/>
    <x v="417"/>
    <x v="419"/>
  </r>
  <r>
    <x v="420"/>
    <x v="0"/>
    <x v="0"/>
    <x v="0"/>
    <x v="18"/>
    <x v="5"/>
    <x v="267"/>
    <x v="0"/>
    <x v="0"/>
    <x v="186"/>
    <x v="420"/>
    <x v="418"/>
    <x v="420"/>
  </r>
  <r>
    <x v="421"/>
    <x v="1"/>
    <x v="1"/>
    <x v="1"/>
    <x v="51"/>
    <x v="5"/>
    <x v="234"/>
    <x v="1"/>
    <x v="1"/>
    <x v="57"/>
    <x v="421"/>
    <x v="419"/>
    <x v="421"/>
  </r>
  <r>
    <x v="422"/>
    <x v="2"/>
    <x v="1"/>
    <x v="2"/>
    <x v="52"/>
    <x v="5"/>
    <x v="56"/>
    <x v="2"/>
    <x v="2"/>
    <x v="50"/>
    <x v="422"/>
    <x v="420"/>
    <x v="422"/>
  </r>
  <r>
    <x v="423"/>
    <x v="3"/>
    <x v="2"/>
    <x v="0"/>
    <x v="53"/>
    <x v="5"/>
    <x v="73"/>
    <x v="3"/>
    <x v="3"/>
    <x v="187"/>
    <x v="423"/>
    <x v="421"/>
    <x v="423"/>
  </r>
  <r>
    <x v="424"/>
    <x v="4"/>
    <x v="0"/>
    <x v="2"/>
    <x v="54"/>
    <x v="5"/>
    <x v="268"/>
    <x v="4"/>
    <x v="4"/>
    <x v="188"/>
    <x v="424"/>
    <x v="422"/>
    <x v="424"/>
  </r>
  <r>
    <x v="425"/>
    <x v="5"/>
    <x v="2"/>
    <x v="1"/>
    <x v="55"/>
    <x v="0"/>
    <x v="172"/>
    <x v="5"/>
    <x v="5"/>
    <x v="11"/>
    <x v="425"/>
    <x v="423"/>
    <x v="425"/>
  </r>
  <r>
    <x v="426"/>
    <x v="6"/>
    <x v="0"/>
    <x v="3"/>
    <x v="56"/>
    <x v="0"/>
    <x v="68"/>
    <x v="0"/>
    <x v="0"/>
    <x v="18"/>
    <x v="426"/>
    <x v="424"/>
    <x v="426"/>
  </r>
  <r>
    <x v="427"/>
    <x v="7"/>
    <x v="3"/>
    <x v="1"/>
    <x v="57"/>
    <x v="0"/>
    <x v="124"/>
    <x v="1"/>
    <x v="1"/>
    <x v="0"/>
    <x v="427"/>
    <x v="425"/>
    <x v="427"/>
  </r>
  <r>
    <x v="428"/>
    <x v="8"/>
    <x v="1"/>
    <x v="4"/>
    <x v="4"/>
    <x v="0"/>
    <x v="269"/>
    <x v="2"/>
    <x v="2"/>
    <x v="87"/>
    <x v="428"/>
    <x v="426"/>
    <x v="428"/>
  </r>
  <r>
    <x v="429"/>
    <x v="9"/>
    <x v="4"/>
    <x v="0"/>
    <x v="58"/>
    <x v="0"/>
    <x v="270"/>
    <x v="3"/>
    <x v="3"/>
    <x v="189"/>
    <x v="429"/>
    <x v="427"/>
    <x v="429"/>
  </r>
  <r>
    <x v="430"/>
    <x v="10"/>
    <x v="2"/>
    <x v="3"/>
    <x v="59"/>
    <x v="0"/>
    <x v="227"/>
    <x v="4"/>
    <x v="4"/>
    <x v="190"/>
    <x v="430"/>
    <x v="428"/>
    <x v="430"/>
  </r>
  <r>
    <x v="431"/>
    <x v="11"/>
    <x v="3"/>
    <x v="2"/>
    <x v="60"/>
    <x v="0"/>
    <x v="209"/>
    <x v="5"/>
    <x v="5"/>
    <x v="91"/>
    <x v="431"/>
    <x v="429"/>
    <x v="431"/>
  </r>
  <r>
    <x v="432"/>
    <x v="12"/>
    <x v="0"/>
    <x v="5"/>
    <x v="0"/>
    <x v="0"/>
    <x v="141"/>
    <x v="0"/>
    <x v="0"/>
    <x v="99"/>
    <x v="432"/>
    <x v="430"/>
    <x v="432"/>
  </r>
  <r>
    <x v="433"/>
    <x v="13"/>
    <x v="5"/>
    <x v="1"/>
    <x v="61"/>
    <x v="0"/>
    <x v="271"/>
    <x v="1"/>
    <x v="1"/>
    <x v="128"/>
    <x v="433"/>
    <x v="431"/>
    <x v="433"/>
  </r>
  <r>
    <x v="434"/>
    <x v="14"/>
    <x v="1"/>
    <x v="5"/>
    <x v="62"/>
    <x v="0"/>
    <x v="168"/>
    <x v="2"/>
    <x v="2"/>
    <x v="150"/>
    <x v="434"/>
    <x v="432"/>
    <x v="434"/>
  </r>
  <r>
    <x v="435"/>
    <x v="15"/>
    <x v="5"/>
    <x v="0"/>
    <x v="63"/>
    <x v="0"/>
    <x v="272"/>
    <x v="3"/>
    <x v="3"/>
    <x v="93"/>
    <x v="435"/>
    <x v="433"/>
    <x v="435"/>
  </r>
  <r>
    <x v="436"/>
    <x v="16"/>
    <x v="2"/>
    <x v="6"/>
    <x v="64"/>
    <x v="0"/>
    <x v="273"/>
    <x v="4"/>
    <x v="4"/>
    <x v="117"/>
    <x v="436"/>
    <x v="434"/>
    <x v="436"/>
  </r>
  <r>
    <x v="437"/>
    <x v="17"/>
    <x v="6"/>
    <x v="2"/>
    <x v="65"/>
    <x v="0"/>
    <x v="34"/>
    <x v="5"/>
    <x v="5"/>
    <x v="102"/>
    <x v="437"/>
    <x v="435"/>
    <x v="437"/>
  </r>
  <r>
    <x v="438"/>
    <x v="18"/>
    <x v="0"/>
    <x v="6"/>
    <x v="5"/>
    <x v="0"/>
    <x v="274"/>
    <x v="0"/>
    <x v="0"/>
    <x v="50"/>
    <x v="438"/>
    <x v="436"/>
    <x v="438"/>
  </r>
  <r>
    <x v="439"/>
    <x v="19"/>
    <x v="6"/>
    <x v="1"/>
    <x v="66"/>
    <x v="0"/>
    <x v="220"/>
    <x v="1"/>
    <x v="1"/>
    <x v="107"/>
    <x v="439"/>
    <x v="437"/>
    <x v="439"/>
  </r>
  <r>
    <x v="440"/>
    <x v="20"/>
    <x v="1"/>
    <x v="7"/>
    <x v="67"/>
    <x v="0"/>
    <x v="225"/>
    <x v="2"/>
    <x v="2"/>
    <x v="28"/>
    <x v="440"/>
    <x v="438"/>
    <x v="440"/>
  </r>
  <r>
    <x v="441"/>
    <x v="21"/>
    <x v="7"/>
    <x v="0"/>
    <x v="68"/>
    <x v="0"/>
    <x v="275"/>
    <x v="3"/>
    <x v="3"/>
    <x v="191"/>
    <x v="441"/>
    <x v="439"/>
    <x v="441"/>
  </r>
  <r>
    <x v="442"/>
    <x v="22"/>
    <x v="0"/>
    <x v="7"/>
    <x v="69"/>
    <x v="0"/>
    <x v="46"/>
    <x v="4"/>
    <x v="4"/>
    <x v="135"/>
    <x v="442"/>
    <x v="440"/>
    <x v="442"/>
  </r>
  <r>
    <x v="443"/>
    <x v="23"/>
    <x v="7"/>
    <x v="1"/>
    <x v="70"/>
    <x v="0"/>
    <x v="276"/>
    <x v="5"/>
    <x v="5"/>
    <x v="27"/>
    <x v="443"/>
    <x v="441"/>
    <x v="443"/>
  </r>
  <r>
    <x v="444"/>
    <x v="24"/>
    <x v="1"/>
    <x v="8"/>
    <x v="71"/>
    <x v="0"/>
    <x v="72"/>
    <x v="0"/>
    <x v="0"/>
    <x v="40"/>
    <x v="444"/>
    <x v="442"/>
    <x v="444"/>
  </r>
  <r>
    <x v="445"/>
    <x v="25"/>
    <x v="8"/>
    <x v="0"/>
    <x v="72"/>
    <x v="0"/>
    <x v="242"/>
    <x v="1"/>
    <x v="1"/>
    <x v="173"/>
    <x v="445"/>
    <x v="443"/>
    <x v="445"/>
  </r>
  <r>
    <x v="446"/>
    <x v="26"/>
    <x v="2"/>
    <x v="5"/>
    <x v="73"/>
    <x v="0"/>
    <x v="134"/>
    <x v="2"/>
    <x v="2"/>
    <x v="41"/>
    <x v="446"/>
    <x v="444"/>
    <x v="446"/>
  </r>
  <r>
    <x v="447"/>
    <x v="27"/>
    <x v="5"/>
    <x v="2"/>
    <x v="74"/>
    <x v="0"/>
    <x v="277"/>
    <x v="3"/>
    <x v="3"/>
    <x v="108"/>
    <x v="447"/>
    <x v="445"/>
    <x v="447"/>
  </r>
  <r>
    <x v="448"/>
    <x v="28"/>
    <x v="4"/>
    <x v="1"/>
    <x v="75"/>
    <x v="0"/>
    <x v="86"/>
    <x v="4"/>
    <x v="4"/>
    <x v="192"/>
    <x v="448"/>
    <x v="446"/>
    <x v="448"/>
  </r>
  <r>
    <x v="449"/>
    <x v="29"/>
    <x v="0"/>
    <x v="4"/>
    <x v="76"/>
    <x v="0"/>
    <x v="278"/>
    <x v="5"/>
    <x v="5"/>
    <x v="71"/>
    <x v="449"/>
    <x v="447"/>
    <x v="449"/>
  </r>
  <r>
    <x v="450"/>
    <x v="0"/>
    <x v="0"/>
    <x v="0"/>
    <x v="77"/>
    <x v="0"/>
    <x v="191"/>
    <x v="0"/>
    <x v="0"/>
    <x v="193"/>
    <x v="450"/>
    <x v="448"/>
    <x v="450"/>
  </r>
  <r>
    <x v="451"/>
    <x v="1"/>
    <x v="1"/>
    <x v="1"/>
    <x v="78"/>
    <x v="0"/>
    <x v="184"/>
    <x v="1"/>
    <x v="1"/>
    <x v="140"/>
    <x v="451"/>
    <x v="449"/>
    <x v="451"/>
  </r>
  <r>
    <x v="452"/>
    <x v="2"/>
    <x v="1"/>
    <x v="2"/>
    <x v="79"/>
    <x v="0"/>
    <x v="105"/>
    <x v="2"/>
    <x v="2"/>
    <x v="46"/>
    <x v="452"/>
    <x v="450"/>
    <x v="452"/>
  </r>
  <r>
    <x v="453"/>
    <x v="3"/>
    <x v="2"/>
    <x v="0"/>
    <x v="80"/>
    <x v="0"/>
    <x v="279"/>
    <x v="3"/>
    <x v="3"/>
    <x v="93"/>
    <x v="453"/>
    <x v="451"/>
    <x v="453"/>
  </r>
  <r>
    <x v="454"/>
    <x v="4"/>
    <x v="0"/>
    <x v="2"/>
    <x v="81"/>
    <x v="0"/>
    <x v="280"/>
    <x v="4"/>
    <x v="4"/>
    <x v="194"/>
    <x v="454"/>
    <x v="452"/>
    <x v="454"/>
  </r>
  <r>
    <x v="455"/>
    <x v="5"/>
    <x v="2"/>
    <x v="1"/>
    <x v="82"/>
    <x v="0"/>
    <x v="168"/>
    <x v="5"/>
    <x v="5"/>
    <x v="86"/>
    <x v="455"/>
    <x v="453"/>
    <x v="455"/>
  </r>
  <r>
    <x v="456"/>
    <x v="6"/>
    <x v="0"/>
    <x v="3"/>
    <x v="15"/>
    <x v="3"/>
    <x v="17"/>
    <x v="0"/>
    <x v="0"/>
    <x v="13"/>
    <x v="456"/>
    <x v="454"/>
    <x v="456"/>
  </r>
  <r>
    <x v="457"/>
    <x v="7"/>
    <x v="3"/>
    <x v="1"/>
    <x v="83"/>
    <x v="3"/>
    <x v="163"/>
    <x v="1"/>
    <x v="1"/>
    <x v="18"/>
    <x v="457"/>
    <x v="455"/>
    <x v="457"/>
  </r>
  <r>
    <x v="458"/>
    <x v="8"/>
    <x v="1"/>
    <x v="4"/>
    <x v="84"/>
    <x v="3"/>
    <x v="281"/>
    <x v="2"/>
    <x v="2"/>
    <x v="19"/>
    <x v="458"/>
    <x v="456"/>
    <x v="458"/>
  </r>
  <r>
    <x v="459"/>
    <x v="9"/>
    <x v="4"/>
    <x v="0"/>
    <x v="85"/>
    <x v="3"/>
    <x v="282"/>
    <x v="3"/>
    <x v="3"/>
    <x v="139"/>
    <x v="459"/>
    <x v="457"/>
    <x v="459"/>
  </r>
  <r>
    <x v="460"/>
    <x v="10"/>
    <x v="2"/>
    <x v="3"/>
    <x v="86"/>
    <x v="3"/>
    <x v="83"/>
    <x v="4"/>
    <x v="4"/>
    <x v="195"/>
    <x v="460"/>
    <x v="458"/>
    <x v="460"/>
  </r>
  <r>
    <x v="461"/>
    <x v="11"/>
    <x v="3"/>
    <x v="2"/>
    <x v="87"/>
    <x v="3"/>
    <x v="283"/>
    <x v="5"/>
    <x v="5"/>
    <x v="71"/>
    <x v="461"/>
    <x v="459"/>
    <x v="461"/>
  </r>
  <r>
    <x v="462"/>
    <x v="12"/>
    <x v="0"/>
    <x v="5"/>
    <x v="88"/>
    <x v="3"/>
    <x v="284"/>
    <x v="0"/>
    <x v="0"/>
    <x v="104"/>
    <x v="462"/>
    <x v="460"/>
    <x v="462"/>
  </r>
  <r>
    <x v="463"/>
    <x v="13"/>
    <x v="5"/>
    <x v="1"/>
    <x v="3"/>
    <x v="3"/>
    <x v="5"/>
    <x v="1"/>
    <x v="1"/>
    <x v="62"/>
    <x v="463"/>
    <x v="461"/>
    <x v="463"/>
  </r>
  <r>
    <x v="464"/>
    <x v="14"/>
    <x v="1"/>
    <x v="5"/>
    <x v="89"/>
    <x v="3"/>
    <x v="69"/>
    <x v="2"/>
    <x v="2"/>
    <x v="84"/>
    <x v="464"/>
    <x v="462"/>
    <x v="464"/>
  </r>
  <r>
    <x v="465"/>
    <x v="15"/>
    <x v="5"/>
    <x v="0"/>
    <x v="90"/>
    <x v="3"/>
    <x v="285"/>
    <x v="3"/>
    <x v="3"/>
    <x v="155"/>
    <x v="465"/>
    <x v="463"/>
    <x v="465"/>
  </r>
  <r>
    <x v="466"/>
    <x v="16"/>
    <x v="2"/>
    <x v="6"/>
    <x v="91"/>
    <x v="3"/>
    <x v="240"/>
    <x v="4"/>
    <x v="4"/>
    <x v="196"/>
    <x v="466"/>
    <x v="464"/>
    <x v="466"/>
  </r>
  <r>
    <x v="467"/>
    <x v="17"/>
    <x v="6"/>
    <x v="2"/>
    <x v="92"/>
    <x v="3"/>
    <x v="286"/>
    <x v="5"/>
    <x v="5"/>
    <x v="49"/>
    <x v="467"/>
    <x v="465"/>
    <x v="467"/>
  </r>
  <r>
    <x v="468"/>
    <x v="18"/>
    <x v="0"/>
    <x v="6"/>
    <x v="93"/>
    <x v="3"/>
    <x v="208"/>
    <x v="0"/>
    <x v="0"/>
    <x v="154"/>
    <x v="468"/>
    <x v="466"/>
    <x v="468"/>
  </r>
  <r>
    <x v="469"/>
    <x v="19"/>
    <x v="6"/>
    <x v="1"/>
    <x v="94"/>
    <x v="3"/>
    <x v="135"/>
    <x v="1"/>
    <x v="1"/>
    <x v="99"/>
    <x v="469"/>
    <x v="467"/>
    <x v="469"/>
  </r>
  <r>
    <x v="470"/>
    <x v="20"/>
    <x v="1"/>
    <x v="7"/>
    <x v="95"/>
    <x v="3"/>
    <x v="101"/>
    <x v="2"/>
    <x v="2"/>
    <x v="76"/>
    <x v="470"/>
    <x v="468"/>
    <x v="470"/>
  </r>
  <r>
    <x v="471"/>
    <x v="21"/>
    <x v="7"/>
    <x v="0"/>
    <x v="96"/>
    <x v="3"/>
    <x v="123"/>
    <x v="3"/>
    <x v="3"/>
    <x v="116"/>
    <x v="471"/>
    <x v="469"/>
    <x v="471"/>
  </r>
  <r>
    <x v="472"/>
    <x v="22"/>
    <x v="0"/>
    <x v="7"/>
    <x v="97"/>
    <x v="3"/>
    <x v="287"/>
    <x v="4"/>
    <x v="4"/>
    <x v="197"/>
    <x v="472"/>
    <x v="470"/>
    <x v="472"/>
  </r>
  <r>
    <x v="473"/>
    <x v="23"/>
    <x v="7"/>
    <x v="1"/>
    <x v="98"/>
    <x v="3"/>
    <x v="288"/>
    <x v="5"/>
    <x v="5"/>
    <x v="89"/>
    <x v="473"/>
    <x v="471"/>
    <x v="473"/>
  </r>
  <r>
    <x v="474"/>
    <x v="24"/>
    <x v="1"/>
    <x v="8"/>
    <x v="99"/>
    <x v="3"/>
    <x v="289"/>
    <x v="0"/>
    <x v="0"/>
    <x v="62"/>
    <x v="474"/>
    <x v="472"/>
    <x v="474"/>
  </r>
  <r>
    <x v="475"/>
    <x v="25"/>
    <x v="8"/>
    <x v="0"/>
    <x v="10"/>
    <x v="3"/>
    <x v="227"/>
    <x v="1"/>
    <x v="1"/>
    <x v="104"/>
    <x v="475"/>
    <x v="473"/>
    <x v="475"/>
  </r>
  <r>
    <x v="476"/>
    <x v="26"/>
    <x v="2"/>
    <x v="5"/>
    <x v="100"/>
    <x v="3"/>
    <x v="290"/>
    <x v="2"/>
    <x v="2"/>
    <x v="68"/>
    <x v="476"/>
    <x v="474"/>
    <x v="476"/>
  </r>
  <r>
    <x v="477"/>
    <x v="27"/>
    <x v="5"/>
    <x v="2"/>
    <x v="101"/>
    <x v="3"/>
    <x v="109"/>
    <x v="3"/>
    <x v="3"/>
    <x v="139"/>
    <x v="477"/>
    <x v="475"/>
    <x v="477"/>
  </r>
  <r>
    <x v="478"/>
    <x v="28"/>
    <x v="4"/>
    <x v="1"/>
    <x v="102"/>
    <x v="3"/>
    <x v="139"/>
    <x v="4"/>
    <x v="4"/>
    <x v="198"/>
    <x v="478"/>
    <x v="476"/>
    <x v="478"/>
  </r>
  <r>
    <x v="479"/>
    <x v="29"/>
    <x v="0"/>
    <x v="4"/>
    <x v="103"/>
    <x v="3"/>
    <x v="264"/>
    <x v="5"/>
    <x v="5"/>
    <x v="136"/>
    <x v="479"/>
    <x v="477"/>
    <x v="479"/>
  </r>
  <r>
    <x v="480"/>
    <x v="0"/>
    <x v="0"/>
    <x v="0"/>
    <x v="104"/>
    <x v="3"/>
    <x v="291"/>
    <x v="0"/>
    <x v="0"/>
    <x v="12"/>
    <x v="480"/>
    <x v="478"/>
    <x v="480"/>
  </r>
  <r>
    <x v="481"/>
    <x v="1"/>
    <x v="1"/>
    <x v="1"/>
    <x v="105"/>
    <x v="3"/>
    <x v="275"/>
    <x v="1"/>
    <x v="1"/>
    <x v="59"/>
    <x v="481"/>
    <x v="479"/>
    <x v="481"/>
  </r>
  <r>
    <x v="482"/>
    <x v="2"/>
    <x v="1"/>
    <x v="2"/>
    <x v="106"/>
    <x v="3"/>
    <x v="74"/>
    <x v="2"/>
    <x v="2"/>
    <x v="93"/>
    <x v="482"/>
    <x v="480"/>
    <x v="482"/>
  </r>
  <r>
    <x v="483"/>
    <x v="3"/>
    <x v="2"/>
    <x v="0"/>
    <x v="107"/>
    <x v="3"/>
    <x v="196"/>
    <x v="3"/>
    <x v="3"/>
    <x v="105"/>
    <x v="483"/>
    <x v="481"/>
    <x v="483"/>
  </r>
  <r>
    <x v="484"/>
    <x v="4"/>
    <x v="0"/>
    <x v="2"/>
    <x v="108"/>
    <x v="3"/>
    <x v="292"/>
    <x v="4"/>
    <x v="4"/>
    <x v="131"/>
    <x v="484"/>
    <x v="482"/>
    <x v="484"/>
  </r>
  <r>
    <x v="485"/>
    <x v="5"/>
    <x v="2"/>
    <x v="1"/>
    <x v="109"/>
    <x v="3"/>
    <x v="12"/>
    <x v="5"/>
    <x v="5"/>
    <x v="114"/>
    <x v="485"/>
    <x v="483"/>
    <x v="485"/>
  </r>
  <r>
    <x v="486"/>
    <x v="6"/>
    <x v="0"/>
    <x v="3"/>
    <x v="2"/>
    <x v="2"/>
    <x v="280"/>
    <x v="0"/>
    <x v="0"/>
    <x v="199"/>
    <x v="486"/>
    <x v="484"/>
    <x v="486"/>
  </r>
  <r>
    <x v="487"/>
    <x v="7"/>
    <x v="3"/>
    <x v="1"/>
    <x v="110"/>
    <x v="2"/>
    <x v="163"/>
    <x v="1"/>
    <x v="1"/>
    <x v="14"/>
    <x v="487"/>
    <x v="215"/>
    <x v="487"/>
  </r>
  <r>
    <x v="488"/>
    <x v="8"/>
    <x v="1"/>
    <x v="4"/>
    <x v="111"/>
    <x v="2"/>
    <x v="76"/>
    <x v="2"/>
    <x v="2"/>
    <x v="58"/>
    <x v="488"/>
    <x v="485"/>
    <x v="488"/>
  </r>
  <r>
    <x v="489"/>
    <x v="9"/>
    <x v="4"/>
    <x v="0"/>
    <x v="112"/>
    <x v="2"/>
    <x v="293"/>
    <x v="3"/>
    <x v="3"/>
    <x v="200"/>
    <x v="489"/>
    <x v="486"/>
    <x v="489"/>
  </r>
  <r>
    <x v="490"/>
    <x v="10"/>
    <x v="2"/>
    <x v="3"/>
    <x v="113"/>
    <x v="2"/>
    <x v="174"/>
    <x v="4"/>
    <x v="4"/>
    <x v="201"/>
    <x v="490"/>
    <x v="487"/>
    <x v="490"/>
  </r>
  <r>
    <x v="491"/>
    <x v="11"/>
    <x v="3"/>
    <x v="2"/>
    <x v="114"/>
    <x v="2"/>
    <x v="39"/>
    <x v="5"/>
    <x v="5"/>
    <x v="202"/>
    <x v="491"/>
    <x v="488"/>
    <x v="491"/>
  </r>
  <r>
    <x v="492"/>
    <x v="12"/>
    <x v="0"/>
    <x v="5"/>
    <x v="23"/>
    <x v="2"/>
    <x v="29"/>
    <x v="0"/>
    <x v="0"/>
    <x v="124"/>
    <x v="492"/>
    <x v="489"/>
    <x v="492"/>
  </r>
  <r>
    <x v="493"/>
    <x v="13"/>
    <x v="5"/>
    <x v="1"/>
    <x v="115"/>
    <x v="2"/>
    <x v="294"/>
    <x v="1"/>
    <x v="1"/>
    <x v="29"/>
    <x v="493"/>
    <x v="490"/>
    <x v="493"/>
  </r>
  <r>
    <x v="494"/>
    <x v="14"/>
    <x v="1"/>
    <x v="5"/>
    <x v="116"/>
    <x v="2"/>
    <x v="242"/>
    <x v="2"/>
    <x v="2"/>
    <x v="122"/>
    <x v="494"/>
    <x v="491"/>
    <x v="494"/>
  </r>
  <r>
    <x v="495"/>
    <x v="15"/>
    <x v="5"/>
    <x v="0"/>
    <x v="117"/>
    <x v="2"/>
    <x v="295"/>
    <x v="3"/>
    <x v="3"/>
    <x v="15"/>
    <x v="495"/>
    <x v="492"/>
    <x v="495"/>
  </r>
  <r>
    <x v="496"/>
    <x v="16"/>
    <x v="2"/>
    <x v="6"/>
    <x v="24"/>
    <x v="2"/>
    <x v="296"/>
    <x v="4"/>
    <x v="4"/>
    <x v="159"/>
    <x v="496"/>
    <x v="493"/>
    <x v="496"/>
  </r>
  <r>
    <x v="497"/>
    <x v="17"/>
    <x v="6"/>
    <x v="2"/>
    <x v="118"/>
    <x v="2"/>
    <x v="44"/>
    <x v="5"/>
    <x v="5"/>
    <x v="71"/>
    <x v="497"/>
    <x v="494"/>
    <x v="497"/>
  </r>
  <r>
    <x v="498"/>
    <x v="18"/>
    <x v="0"/>
    <x v="6"/>
    <x v="119"/>
    <x v="2"/>
    <x v="119"/>
    <x v="0"/>
    <x v="0"/>
    <x v="107"/>
    <x v="498"/>
    <x v="495"/>
    <x v="498"/>
  </r>
  <r>
    <x v="499"/>
    <x v="19"/>
    <x v="6"/>
    <x v="1"/>
    <x v="120"/>
    <x v="2"/>
    <x v="297"/>
    <x v="1"/>
    <x v="1"/>
    <x v="203"/>
    <x v="499"/>
    <x v="496"/>
    <x v="499"/>
  </r>
  <r>
    <x v="500"/>
    <x v="20"/>
    <x v="1"/>
    <x v="7"/>
    <x v="121"/>
    <x v="2"/>
    <x v="47"/>
    <x v="2"/>
    <x v="2"/>
    <x v="67"/>
    <x v="500"/>
    <x v="497"/>
    <x v="500"/>
  </r>
  <r>
    <x v="501"/>
    <x v="21"/>
    <x v="7"/>
    <x v="0"/>
    <x v="122"/>
    <x v="2"/>
    <x v="216"/>
    <x v="3"/>
    <x v="3"/>
    <x v="120"/>
    <x v="501"/>
    <x v="498"/>
    <x v="501"/>
  </r>
  <r>
    <x v="502"/>
    <x v="22"/>
    <x v="0"/>
    <x v="7"/>
    <x v="123"/>
    <x v="2"/>
    <x v="260"/>
    <x v="4"/>
    <x v="4"/>
    <x v="204"/>
    <x v="502"/>
    <x v="499"/>
    <x v="502"/>
  </r>
  <r>
    <x v="503"/>
    <x v="23"/>
    <x v="7"/>
    <x v="1"/>
    <x v="11"/>
    <x v="2"/>
    <x v="298"/>
    <x v="5"/>
    <x v="5"/>
    <x v="66"/>
    <x v="503"/>
    <x v="500"/>
    <x v="503"/>
  </r>
  <r>
    <x v="504"/>
    <x v="24"/>
    <x v="1"/>
    <x v="8"/>
    <x v="6"/>
    <x v="2"/>
    <x v="142"/>
    <x v="0"/>
    <x v="0"/>
    <x v="122"/>
    <x v="504"/>
    <x v="501"/>
    <x v="504"/>
  </r>
  <r>
    <x v="505"/>
    <x v="25"/>
    <x v="8"/>
    <x v="0"/>
    <x v="124"/>
    <x v="2"/>
    <x v="258"/>
    <x v="1"/>
    <x v="1"/>
    <x v="90"/>
    <x v="505"/>
    <x v="502"/>
    <x v="505"/>
  </r>
  <r>
    <x v="506"/>
    <x v="26"/>
    <x v="2"/>
    <x v="5"/>
    <x v="125"/>
    <x v="2"/>
    <x v="109"/>
    <x v="2"/>
    <x v="2"/>
    <x v="182"/>
    <x v="506"/>
    <x v="503"/>
    <x v="506"/>
  </r>
  <r>
    <x v="507"/>
    <x v="27"/>
    <x v="5"/>
    <x v="2"/>
    <x v="126"/>
    <x v="2"/>
    <x v="299"/>
    <x v="3"/>
    <x v="3"/>
    <x v="116"/>
    <x v="507"/>
    <x v="504"/>
    <x v="507"/>
  </r>
  <r>
    <x v="508"/>
    <x v="28"/>
    <x v="4"/>
    <x v="1"/>
    <x v="127"/>
    <x v="2"/>
    <x v="300"/>
    <x v="4"/>
    <x v="4"/>
    <x v="205"/>
    <x v="508"/>
    <x v="505"/>
    <x v="508"/>
  </r>
  <r>
    <x v="509"/>
    <x v="29"/>
    <x v="0"/>
    <x v="4"/>
    <x v="128"/>
    <x v="2"/>
    <x v="250"/>
    <x v="5"/>
    <x v="5"/>
    <x v="114"/>
    <x v="509"/>
    <x v="506"/>
    <x v="509"/>
  </r>
  <r>
    <x v="510"/>
    <x v="0"/>
    <x v="0"/>
    <x v="0"/>
    <x v="129"/>
    <x v="2"/>
    <x v="13"/>
    <x v="0"/>
    <x v="0"/>
    <x v="3"/>
    <x v="510"/>
    <x v="507"/>
    <x v="510"/>
  </r>
  <r>
    <x v="511"/>
    <x v="1"/>
    <x v="1"/>
    <x v="1"/>
    <x v="130"/>
    <x v="2"/>
    <x v="286"/>
    <x v="1"/>
    <x v="1"/>
    <x v="52"/>
    <x v="511"/>
    <x v="508"/>
    <x v="511"/>
  </r>
  <r>
    <x v="512"/>
    <x v="2"/>
    <x v="1"/>
    <x v="2"/>
    <x v="14"/>
    <x v="2"/>
    <x v="215"/>
    <x v="2"/>
    <x v="2"/>
    <x v="47"/>
    <x v="512"/>
    <x v="509"/>
    <x v="512"/>
  </r>
  <r>
    <x v="513"/>
    <x v="3"/>
    <x v="2"/>
    <x v="0"/>
    <x v="20"/>
    <x v="2"/>
    <x v="280"/>
    <x v="3"/>
    <x v="3"/>
    <x v="206"/>
    <x v="513"/>
    <x v="510"/>
    <x v="513"/>
  </r>
  <r>
    <x v="514"/>
    <x v="4"/>
    <x v="0"/>
    <x v="2"/>
    <x v="131"/>
    <x v="2"/>
    <x v="301"/>
    <x v="4"/>
    <x v="4"/>
    <x v="4"/>
    <x v="514"/>
    <x v="511"/>
    <x v="514"/>
  </r>
  <r>
    <x v="515"/>
    <x v="5"/>
    <x v="2"/>
    <x v="1"/>
    <x v="132"/>
    <x v="2"/>
    <x v="183"/>
    <x v="5"/>
    <x v="5"/>
    <x v="5"/>
    <x v="515"/>
    <x v="512"/>
    <x v="515"/>
  </r>
  <r>
    <x v="516"/>
    <x v="6"/>
    <x v="0"/>
    <x v="3"/>
    <x v="133"/>
    <x v="2"/>
    <x v="280"/>
    <x v="0"/>
    <x v="0"/>
    <x v="51"/>
    <x v="516"/>
    <x v="513"/>
    <x v="516"/>
  </r>
  <r>
    <x v="517"/>
    <x v="7"/>
    <x v="3"/>
    <x v="1"/>
    <x v="134"/>
    <x v="1"/>
    <x v="152"/>
    <x v="1"/>
    <x v="1"/>
    <x v="68"/>
    <x v="517"/>
    <x v="514"/>
    <x v="517"/>
  </r>
  <r>
    <x v="518"/>
    <x v="8"/>
    <x v="1"/>
    <x v="4"/>
    <x v="1"/>
    <x v="1"/>
    <x v="302"/>
    <x v="2"/>
    <x v="2"/>
    <x v="154"/>
    <x v="518"/>
    <x v="515"/>
    <x v="518"/>
  </r>
  <r>
    <x v="519"/>
    <x v="9"/>
    <x v="4"/>
    <x v="0"/>
    <x v="135"/>
    <x v="1"/>
    <x v="303"/>
    <x v="3"/>
    <x v="3"/>
    <x v="126"/>
    <x v="519"/>
    <x v="516"/>
    <x v="519"/>
  </r>
  <r>
    <x v="520"/>
    <x v="10"/>
    <x v="2"/>
    <x v="3"/>
    <x v="136"/>
    <x v="1"/>
    <x v="304"/>
    <x v="4"/>
    <x v="4"/>
    <x v="207"/>
    <x v="520"/>
    <x v="517"/>
    <x v="520"/>
  </r>
  <r>
    <x v="521"/>
    <x v="11"/>
    <x v="3"/>
    <x v="2"/>
    <x v="137"/>
    <x v="1"/>
    <x v="76"/>
    <x v="5"/>
    <x v="5"/>
    <x v="39"/>
    <x v="521"/>
    <x v="518"/>
    <x v="521"/>
  </r>
  <r>
    <x v="522"/>
    <x v="12"/>
    <x v="0"/>
    <x v="5"/>
    <x v="138"/>
    <x v="1"/>
    <x v="217"/>
    <x v="0"/>
    <x v="0"/>
    <x v="50"/>
    <x v="522"/>
    <x v="519"/>
    <x v="522"/>
  </r>
  <r>
    <x v="523"/>
    <x v="13"/>
    <x v="5"/>
    <x v="1"/>
    <x v="139"/>
    <x v="1"/>
    <x v="280"/>
    <x v="1"/>
    <x v="1"/>
    <x v="125"/>
    <x v="523"/>
    <x v="520"/>
    <x v="523"/>
  </r>
  <r>
    <x v="524"/>
    <x v="14"/>
    <x v="1"/>
    <x v="5"/>
    <x v="21"/>
    <x v="1"/>
    <x v="229"/>
    <x v="2"/>
    <x v="2"/>
    <x v="177"/>
    <x v="524"/>
    <x v="521"/>
    <x v="524"/>
  </r>
  <r>
    <x v="525"/>
    <x v="15"/>
    <x v="5"/>
    <x v="0"/>
    <x v="140"/>
    <x v="1"/>
    <x v="208"/>
    <x v="3"/>
    <x v="3"/>
    <x v="208"/>
    <x v="525"/>
    <x v="522"/>
    <x v="525"/>
  </r>
  <r>
    <x v="526"/>
    <x v="16"/>
    <x v="2"/>
    <x v="6"/>
    <x v="141"/>
    <x v="1"/>
    <x v="197"/>
    <x v="4"/>
    <x v="4"/>
    <x v="209"/>
    <x v="526"/>
    <x v="523"/>
    <x v="526"/>
  </r>
  <r>
    <x v="527"/>
    <x v="17"/>
    <x v="6"/>
    <x v="2"/>
    <x v="142"/>
    <x v="1"/>
    <x v="305"/>
    <x v="5"/>
    <x v="5"/>
    <x v="33"/>
    <x v="527"/>
    <x v="524"/>
    <x v="527"/>
  </r>
  <r>
    <x v="528"/>
    <x v="18"/>
    <x v="0"/>
    <x v="6"/>
    <x v="143"/>
    <x v="1"/>
    <x v="119"/>
    <x v="0"/>
    <x v="0"/>
    <x v="14"/>
    <x v="528"/>
    <x v="139"/>
    <x v="528"/>
  </r>
  <r>
    <x v="529"/>
    <x v="19"/>
    <x v="6"/>
    <x v="1"/>
    <x v="144"/>
    <x v="1"/>
    <x v="6"/>
    <x v="1"/>
    <x v="1"/>
    <x v="81"/>
    <x v="529"/>
    <x v="525"/>
    <x v="529"/>
  </r>
  <r>
    <x v="530"/>
    <x v="20"/>
    <x v="1"/>
    <x v="7"/>
    <x v="17"/>
    <x v="1"/>
    <x v="73"/>
    <x v="2"/>
    <x v="2"/>
    <x v="178"/>
    <x v="530"/>
    <x v="526"/>
    <x v="530"/>
  </r>
  <r>
    <x v="531"/>
    <x v="21"/>
    <x v="7"/>
    <x v="0"/>
    <x v="145"/>
    <x v="1"/>
    <x v="306"/>
    <x v="3"/>
    <x v="3"/>
    <x v="90"/>
    <x v="531"/>
    <x v="527"/>
    <x v="531"/>
  </r>
  <r>
    <x v="532"/>
    <x v="22"/>
    <x v="0"/>
    <x v="7"/>
    <x v="146"/>
    <x v="1"/>
    <x v="277"/>
    <x v="4"/>
    <x v="4"/>
    <x v="210"/>
    <x v="532"/>
    <x v="528"/>
    <x v="532"/>
  </r>
  <r>
    <x v="533"/>
    <x v="23"/>
    <x v="7"/>
    <x v="1"/>
    <x v="147"/>
    <x v="1"/>
    <x v="278"/>
    <x v="5"/>
    <x v="5"/>
    <x v="119"/>
    <x v="533"/>
    <x v="529"/>
    <x v="533"/>
  </r>
  <r>
    <x v="534"/>
    <x v="24"/>
    <x v="1"/>
    <x v="8"/>
    <x v="148"/>
    <x v="1"/>
    <x v="307"/>
    <x v="0"/>
    <x v="0"/>
    <x v="51"/>
    <x v="534"/>
    <x v="530"/>
    <x v="534"/>
  </r>
  <r>
    <x v="535"/>
    <x v="25"/>
    <x v="8"/>
    <x v="0"/>
    <x v="149"/>
    <x v="1"/>
    <x v="31"/>
    <x v="1"/>
    <x v="1"/>
    <x v="199"/>
    <x v="535"/>
    <x v="531"/>
    <x v="535"/>
  </r>
  <r>
    <x v="536"/>
    <x v="26"/>
    <x v="2"/>
    <x v="5"/>
    <x v="150"/>
    <x v="1"/>
    <x v="25"/>
    <x v="2"/>
    <x v="2"/>
    <x v="87"/>
    <x v="536"/>
    <x v="532"/>
    <x v="536"/>
  </r>
  <r>
    <x v="537"/>
    <x v="27"/>
    <x v="5"/>
    <x v="2"/>
    <x v="151"/>
    <x v="1"/>
    <x v="145"/>
    <x v="3"/>
    <x v="3"/>
    <x v="211"/>
    <x v="537"/>
    <x v="533"/>
    <x v="537"/>
  </r>
  <r>
    <x v="538"/>
    <x v="28"/>
    <x v="4"/>
    <x v="1"/>
    <x v="152"/>
    <x v="1"/>
    <x v="104"/>
    <x v="4"/>
    <x v="4"/>
    <x v="16"/>
    <x v="538"/>
    <x v="534"/>
    <x v="538"/>
  </r>
  <r>
    <x v="539"/>
    <x v="29"/>
    <x v="0"/>
    <x v="4"/>
    <x v="153"/>
    <x v="1"/>
    <x v="274"/>
    <x v="5"/>
    <x v="5"/>
    <x v="91"/>
    <x v="539"/>
    <x v="535"/>
    <x v="539"/>
  </r>
  <r>
    <x v="540"/>
    <x v="0"/>
    <x v="0"/>
    <x v="0"/>
    <x v="7"/>
    <x v="1"/>
    <x v="147"/>
    <x v="0"/>
    <x v="0"/>
    <x v="20"/>
    <x v="540"/>
    <x v="536"/>
    <x v="540"/>
  </r>
  <r>
    <x v="541"/>
    <x v="1"/>
    <x v="1"/>
    <x v="1"/>
    <x v="25"/>
    <x v="1"/>
    <x v="267"/>
    <x v="1"/>
    <x v="1"/>
    <x v="107"/>
    <x v="541"/>
    <x v="537"/>
    <x v="541"/>
  </r>
  <r>
    <x v="542"/>
    <x v="2"/>
    <x v="1"/>
    <x v="2"/>
    <x v="12"/>
    <x v="1"/>
    <x v="308"/>
    <x v="2"/>
    <x v="2"/>
    <x v="199"/>
    <x v="542"/>
    <x v="538"/>
    <x v="542"/>
  </r>
  <r>
    <x v="543"/>
    <x v="3"/>
    <x v="2"/>
    <x v="0"/>
    <x v="154"/>
    <x v="1"/>
    <x v="258"/>
    <x v="3"/>
    <x v="3"/>
    <x v="212"/>
    <x v="543"/>
    <x v="539"/>
    <x v="543"/>
  </r>
  <r>
    <x v="544"/>
    <x v="4"/>
    <x v="0"/>
    <x v="2"/>
    <x v="155"/>
    <x v="1"/>
    <x v="252"/>
    <x v="4"/>
    <x v="4"/>
    <x v="213"/>
    <x v="544"/>
    <x v="540"/>
    <x v="544"/>
  </r>
  <r>
    <x v="545"/>
    <x v="5"/>
    <x v="2"/>
    <x v="1"/>
    <x v="156"/>
    <x v="1"/>
    <x v="309"/>
    <x v="5"/>
    <x v="5"/>
    <x v="33"/>
    <x v="545"/>
    <x v="541"/>
    <x v="545"/>
  </r>
  <r>
    <x v="546"/>
    <x v="6"/>
    <x v="0"/>
    <x v="3"/>
    <x v="157"/>
    <x v="1"/>
    <x v="310"/>
    <x v="0"/>
    <x v="0"/>
    <x v="67"/>
    <x v="546"/>
    <x v="542"/>
    <x v="546"/>
  </r>
  <r>
    <x v="547"/>
    <x v="7"/>
    <x v="3"/>
    <x v="1"/>
    <x v="158"/>
    <x v="6"/>
    <x v="311"/>
    <x v="1"/>
    <x v="1"/>
    <x v="177"/>
    <x v="547"/>
    <x v="543"/>
    <x v="547"/>
  </r>
  <r>
    <x v="548"/>
    <x v="8"/>
    <x v="1"/>
    <x v="4"/>
    <x v="159"/>
    <x v="6"/>
    <x v="312"/>
    <x v="2"/>
    <x v="2"/>
    <x v="79"/>
    <x v="548"/>
    <x v="544"/>
    <x v="548"/>
  </r>
  <r>
    <x v="549"/>
    <x v="9"/>
    <x v="4"/>
    <x v="0"/>
    <x v="160"/>
    <x v="6"/>
    <x v="313"/>
    <x v="3"/>
    <x v="3"/>
    <x v="191"/>
    <x v="549"/>
    <x v="545"/>
    <x v="549"/>
  </r>
  <r>
    <x v="550"/>
    <x v="10"/>
    <x v="2"/>
    <x v="3"/>
    <x v="161"/>
    <x v="6"/>
    <x v="314"/>
    <x v="4"/>
    <x v="4"/>
    <x v="214"/>
    <x v="550"/>
    <x v="546"/>
    <x v="550"/>
  </r>
  <r>
    <x v="551"/>
    <x v="11"/>
    <x v="3"/>
    <x v="2"/>
    <x v="162"/>
    <x v="6"/>
    <x v="191"/>
    <x v="5"/>
    <x v="5"/>
    <x v="44"/>
    <x v="551"/>
    <x v="547"/>
    <x v="551"/>
  </r>
  <r>
    <x v="552"/>
    <x v="12"/>
    <x v="0"/>
    <x v="5"/>
    <x v="163"/>
    <x v="6"/>
    <x v="315"/>
    <x v="0"/>
    <x v="0"/>
    <x v="28"/>
    <x v="552"/>
    <x v="548"/>
    <x v="552"/>
  </r>
  <r>
    <x v="553"/>
    <x v="13"/>
    <x v="5"/>
    <x v="1"/>
    <x v="164"/>
    <x v="6"/>
    <x v="316"/>
    <x v="1"/>
    <x v="1"/>
    <x v="177"/>
    <x v="553"/>
    <x v="549"/>
    <x v="553"/>
  </r>
  <r>
    <x v="554"/>
    <x v="14"/>
    <x v="1"/>
    <x v="5"/>
    <x v="165"/>
    <x v="6"/>
    <x v="120"/>
    <x v="2"/>
    <x v="2"/>
    <x v="177"/>
    <x v="554"/>
    <x v="550"/>
    <x v="554"/>
  </r>
  <r>
    <x v="555"/>
    <x v="15"/>
    <x v="5"/>
    <x v="0"/>
    <x v="166"/>
    <x v="6"/>
    <x v="317"/>
    <x v="3"/>
    <x v="3"/>
    <x v="93"/>
    <x v="555"/>
    <x v="551"/>
    <x v="555"/>
  </r>
  <r>
    <x v="556"/>
    <x v="16"/>
    <x v="2"/>
    <x v="6"/>
    <x v="167"/>
    <x v="6"/>
    <x v="98"/>
    <x v="4"/>
    <x v="4"/>
    <x v="121"/>
    <x v="556"/>
    <x v="552"/>
    <x v="556"/>
  </r>
  <r>
    <x v="557"/>
    <x v="17"/>
    <x v="6"/>
    <x v="2"/>
    <x v="168"/>
    <x v="6"/>
    <x v="318"/>
    <x v="5"/>
    <x v="5"/>
    <x v="215"/>
    <x v="557"/>
    <x v="553"/>
    <x v="557"/>
  </r>
  <r>
    <x v="558"/>
    <x v="18"/>
    <x v="0"/>
    <x v="6"/>
    <x v="169"/>
    <x v="6"/>
    <x v="249"/>
    <x v="0"/>
    <x v="0"/>
    <x v="13"/>
    <x v="558"/>
    <x v="554"/>
    <x v="558"/>
  </r>
  <r>
    <x v="559"/>
    <x v="19"/>
    <x v="6"/>
    <x v="1"/>
    <x v="170"/>
    <x v="6"/>
    <x v="142"/>
    <x v="1"/>
    <x v="1"/>
    <x v="36"/>
    <x v="559"/>
    <x v="555"/>
    <x v="559"/>
  </r>
  <r>
    <x v="560"/>
    <x v="20"/>
    <x v="1"/>
    <x v="7"/>
    <x v="171"/>
    <x v="6"/>
    <x v="319"/>
    <x v="2"/>
    <x v="2"/>
    <x v="81"/>
    <x v="560"/>
    <x v="556"/>
    <x v="560"/>
  </r>
  <r>
    <x v="561"/>
    <x v="21"/>
    <x v="7"/>
    <x v="0"/>
    <x v="172"/>
    <x v="6"/>
    <x v="320"/>
    <x v="3"/>
    <x v="3"/>
    <x v="216"/>
    <x v="561"/>
    <x v="557"/>
    <x v="561"/>
  </r>
  <r>
    <x v="562"/>
    <x v="22"/>
    <x v="0"/>
    <x v="7"/>
    <x v="173"/>
    <x v="6"/>
    <x v="321"/>
    <x v="4"/>
    <x v="4"/>
    <x v="113"/>
    <x v="562"/>
    <x v="558"/>
    <x v="562"/>
  </r>
  <r>
    <x v="563"/>
    <x v="23"/>
    <x v="7"/>
    <x v="1"/>
    <x v="174"/>
    <x v="6"/>
    <x v="274"/>
    <x v="5"/>
    <x v="5"/>
    <x v="5"/>
    <x v="563"/>
    <x v="559"/>
    <x v="563"/>
  </r>
  <r>
    <x v="564"/>
    <x v="24"/>
    <x v="1"/>
    <x v="8"/>
    <x v="175"/>
    <x v="6"/>
    <x v="70"/>
    <x v="0"/>
    <x v="0"/>
    <x v="79"/>
    <x v="564"/>
    <x v="560"/>
    <x v="564"/>
  </r>
  <r>
    <x v="565"/>
    <x v="25"/>
    <x v="8"/>
    <x v="0"/>
    <x v="176"/>
    <x v="6"/>
    <x v="82"/>
    <x v="1"/>
    <x v="1"/>
    <x v="90"/>
    <x v="565"/>
    <x v="561"/>
    <x v="565"/>
  </r>
  <r>
    <x v="566"/>
    <x v="26"/>
    <x v="2"/>
    <x v="5"/>
    <x v="177"/>
    <x v="6"/>
    <x v="186"/>
    <x v="2"/>
    <x v="2"/>
    <x v="1"/>
    <x v="566"/>
    <x v="562"/>
    <x v="566"/>
  </r>
  <r>
    <x v="567"/>
    <x v="27"/>
    <x v="5"/>
    <x v="2"/>
    <x v="178"/>
    <x v="6"/>
    <x v="197"/>
    <x v="3"/>
    <x v="3"/>
    <x v="169"/>
    <x v="567"/>
    <x v="563"/>
    <x v="567"/>
  </r>
  <r>
    <x v="568"/>
    <x v="28"/>
    <x v="4"/>
    <x v="1"/>
    <x v="179"/>
    <x v="6"/>
    <x v="322"/>
    <x v="4"/>
    <x v="4"/>
    <x v="217"/>
    <x v="568"/>
    <x v="564"/>
    <x v="568"/>
  </r>
  <r>
    <x v="569"/>
    <x v="29"/>
    <x v="0"/>
    <x v="4"/>
    <x v="180"/>
    <x v="6"/>
    <x v="175"/>
    <x v="5"/>
    <x v="5"/>
    <x v="119"/>
    <x v="569"/>
    <x v="565"/>
    <x v="569"/>
  </r>
  <r>
    <x v="570"/>
    <x v="0"/>
    <x v="0"/>
    <x v="0"/>
    <x v="181"/>
    <x v="6"/>
    <x v="122"/>
    <x v="0"/>
    <x v="0"/>
    <x v="1"/>
    <x v="570"/>
    <x v="566"/>
    <x v="570"/>
  </r>
  <r>
    <x v="571"/>
    <x v="1"/>
    <x v="1"/>
    <x v="1"/>
    <x v="182"/>
    <x v="6"/>
    <x v="291"/>
    <x v="1"/>
    <x v="1"/>
    <x v="76"/>
    <x v="571"/>
    <x v="567"/>
    <x v="571"/>
  </r>
  <r>
    <x v="572"/>
    <x v="2"/>
    <x v="1"/>
    <x v="2"/>
    <x v="183"/>
    <x v="6"/>
    <x v="63"/>
    <x v="2"/>
    <x v="2"/>
    <x v="13"/>
    <x v="572"/>
    <x v="568"/>
    <x v="572"/>
  </r>
  <r>
    <x v="573"/>
    <x v="3"/>
    <x v="2"/>
    <x v="0"/>
    <x v="184"/>
    <x v="6"/>
    <x v="57"/>
    <x v="3"/>
    <x v="3"/>
    <x v="218"/>
    <x v="573"/>
    <x v="569"/>
    <x v="573"/>
  </r>
  <r>
    <x v="574"/>
    <x v="4"/>
    <x v="0"/>
    <x v="2"/>
    <x v="185"/>
    <x v="6"/>
    <x v="323"/>
    <x v="4"/>
    <x v="4"/>
    <x v="219"/>
    <x v="574"/>
    <x v="570"/>
    <x v="574"/>
  </r>
  <r>
    <x v="575"/>
    <x v="5"/>
    <x v="2"/>
    <x v="1"/>
    <x v="186"/>
    <x v="6"/>
    <x v="207"/>
    <x v="5"/>
    <x v="5"/>
    <x v="153"/>
    <x v="575"/>
    <x v="571"/>
    <x v="575"/>
  </r>
  <r>
    <x v="576"/>
    <x v="6"/>
    <x v="0"/>
    <x v="3"/>
    <x v="187"/>
    <x v="6"/>
    <x v="324"/>
    <x v="0"/>
    <x v="0"/>
    <x v="76"/>
    <x v="576"/>
    <x v="572"/>
    <x v="576"/>
  </r>
  <r>
    <x v="577"/>
    <x v="7"/>
    <x v="3"/>
    <x v="1"/>
    <x v="188"/>
    <x v="6"/>
    <x v="325"/>
    <x v="1"/>
    <x v="1"/>
    <x v="72"/>
    <x v="577"/>
    <x v="573"/>
    <x v="577"/>
  </r>
  <r>
    <x v="578"/>
    <x v="8"/>
    <x v="1"/>
    <x v="4"/>
    <x v="189"/>
    <x v="7"/>
    <x v="31"/>
    <x v="2"/>
    <x v="2"/>
    <x v="47"/>
    <x v="578"/>
    <x v="574"/>
    <x v="578"/>
  </r>
  <r>
    <x v="579"/>
    <x v="9"/>
    <x v="4"/>
    <x v="0"/>
    <x v="190"/>
    <x v="7"/>
    <x v="9"/>
    <x v="3"/>
    <x v="3"/>
    <x v="64"/>
    <x v="579"/>
    <x v="575"/>
    <x v="579"/>
  </r>
  <r>
    <x v="580"/>
    <x v="10"/>
    <x v="2"/>
    <x v="3"/>
    <x v="191"/>
    <x v="7"/>
    <x v="311"/>
    <x v="4"/>
    <x v="4"/>
    <x v="220"/>
    <x v="580"/>
    <x v="576"/>
    <x v="580"/>
  </r>
  <r>
    <x v="581"/>
    <x v="11"/>
    <x v="3"/>
    <x v="2"/>
    <x v="192"/>
    <x v="7"/>
    <x v="326"/>
    <x v="5"/>
    <x v="5"/>
    <x v="102"/>
    <x v="581"/>
    <x v="577"/>
    <x v="581"/>
  </r>
  <r>
    <x v="582"/>
    <x v="12"/>
    <x v="0"/>
    <x v="5"/>
    <x v="193"/>
    <x v="7"/>
    <x v="327"/>
    <x v="0"/>
    <x v="0"/>
    <x v="72"/>
    <x v="582"/>
    <x v="578"/>
    <x v="582"/>
  </r>
  <r>
    <x v="583"/>
    <x v="13"/>
    <x v="5"/>
    <x v="1"/>
    <x v="194"/>
    <x v="7"/>
    <x v="138"/>
    <x v="1"/>
    <x v="1"/>
    <x v="0"/>
    <x v="583"/>
    <x v="579"/>
    <x v="583"/>
  </r>
  <r>
    <x v="584"/>
    <x v="14"/>
    <x v="1"/>
    <x v="5"/>
    <x v="195"/>
    <x v="7"/>
    <x v="328"/>
    <x v="2"/>
    <x v="2"/>
    <x v="52"/>
    <x v="584"/>
    <x v="580"/>
    <x v="584"/>
  </r>
  <r>
    <x v="585"/>
    <x v="15"/>
    <x v="5"/>
    <x v="0"/>
    <x v="196"/>
    <x v="7"/>
    <x v="110"/>
    <x v="3"/>
    <x v="3"/>
    <x v="87"/>
    <x v="585"/>
    <x v="581"/>
    <x v="585"/>
  </r>
  <r>
    <x v="586"/>
    <x v="16"/>
    <x v="2"/>
    <x v="6"/>
    <x v="197"/>
    <x v="7"/>
    <x v="329"/>
    <x v="4"/>
    <x v="4"/>
    <x v="74"/>
    <x v="586"/>
    <x v="582"/>
    <x v="586"/>
  </r>
  <r>
    <x v="587"/>
    <x v="17"/>
    <x v="6"/>
    <x v="2"/>
    <x v="198"/>
    <x v="7"/>
    <x v="276"/>
    <x v="5"/>
    <x v="5"/>
    <x v="5"/>
    <x v="587"/>
    <x v="583"/>
    <x v="587"/>
  </r>
  <r>
    <x v="588"/>
    <x v="18"/>
    <x v="0"/>
    <x v="6"/>
    <x v="199"/>
    <x v="7"/>
    <x v="3"/>
    <x v="0"/>
    <x v="0"/>
    <x v="104"/>
    <x v="588"/>
    <x v="584"/>
    <x v="588"/>
  </r>
  <r>
    <x v="589"/>
    <x v="19"/>
    <x v="6"/>
    <x v="1"/>
    <x v="200"/>
    <x v="7"/>
    <x v="283"/>
    <x v="1"/>
    <x v="1"/>
    <x v="46"/>
    <x v="589"/>
    <x v="585"/>
    <x v="589"/>
  </r>
  <r>
    <x v="590"/>
    <x v="20"/>
    <x v="1"/>
    <x v="7"/>
    <x v="201"/>
    <x v="7"/>
    <x v="330"/>
    <x v="2"/>
    <x v="2"/>
    <x v="103"/>
    <x v="590"/>
    <x v="586"/>
    <x v="590"/>
  </r>
  <r>
    <x v="591"/>
    <x v="21"/>
    <x v="7"/>
    <x v="0"/>
    <x v="202"/>
    <x v="7"/>
    <x v="259"/>
    <x v="3"/>
    <x v="3"/>
    <x v="132"/>
    <x v="591"/>
    <x v="587"/>
    <x v="591"/>
  </r>
  <r>
    <x v="592"/>
    <x v="22"/>
    <x v="0"/>
    <x v="7"/>
    <x v="203"/>
    <x v="7"/>
    <x v="152"/>
    <x v="4"/>
    <x v="4"/>
    <x v="176"/>
    <x v="592"/>
    <x v="588"/>
    <x v="592"/>
  </r>
  <r>
    <x v="593"/>
    <x v="23"/>
    <x v="7"/>
    <x v="1"/>
    <x v="204"/>
    <x v="7"/>
    <x v="22"/>
    <x v="5"/>
    <x v="5"/>
    <x v="49"/>
    <x v="593"/>
    <x v="589"/>
    <x v="593"/>
  </r>
  <r>
    <x v="594"/>
    <x v="24"/>
    <x v="1"/>
    <x v="8"/>
    <x v="205"/>
    <x v="7"/>
    <x v="111"/>
    <x v="0"/>
    <x v="0"/>
    <x v="68"/>
    <x v="594"/>
    <x v="590"/>
    <x v="594"/>
  </r>
  <r>
    <x v="595"/>
    <x v="25"/>
    <x v="8"/>
    <x v="0"/>
    <x v="206"/>
    <x v="7"/>
    <x v="151"/>
    <x v="1"/>
    <x v="1"/>
    <x v="98"/>
    <x v="595"/>
    <x v="591"/>
    <x v="595"/>
  </r>
  <r>
    <x v="596"/>
    <x v="26"/>
    <x v="2"/>
    <x v="5"/>
    <x v="207"/>
    <x v="7"/>
    <x v="328"/>
    <x v="2"/>
    <x v="2"/>
    <x v="24"/>
    <x v="596"/>
    <x v="592"/>
    <x v="596"/>
  </r>
  <r>
    <x v="597"/>
    <x v="27"/>
    <x v="5"/>
    <x v="2"/>
    <x v="208"/>
    <x v="7"/>
    <x v="254"/>
    <x v="3"/>
    <x v="3"/>
    <x v="42"/>
    <x v="597"/>
    <x v="593"/>
    <x v="597"/>
  </r>
  <r>
    <x v="598"/>
    <x v="28"/>
    <x v="4"/>
    <x v="1"/>
    <x v="209"/>
    <x v="7"/>
    <x v="310"/>
    <x v="4"/>
    <x v="4"/>
    <x v="221"/>
    <x v="598"/>
    <x v="594"/>
    <x v="598"/>
  </r>
  <r>
    <x v="599"/>
    <x v="29"/>
    <x v="0"/>
    <x v="4"/>
    <x v="210"/>
    <x v="7"/>
    <x v="13"/>
    <x v="5"/>
    <x v="5"/>
    <x v="102"/>
    <x v="599"/>
    <x v="595"/>
    <x v="599"/>
  </r>
  <r>
    <x v="600"/>
    <x v="0"/>
    <x v="0"/>
    <x v="0"/>
    <x v="211"/>
    <x v="7"/>
    <x v="134"/>
    <x v="0"/>
    <x v="0"/>
    <x v="125"/>
    <x v="600"/>
    <x v="596"/>
    <x v="600"/>
  </r>
  <r>
    <x v="601"/>
    <x v="1"/>
    <x v="1"/>
    <x v="1"/>
    <x v="212"/>
    <x v="7"/>
    <x v="191"/>
    <x v="1"/>
    <x v="1"/>
    <x v="14"/>
    <x v="601"/>
    <x v="597"/>
    <x v="601"/>
  </r>
  <r>
    <x v="602"/>
    <x v="2"/>
    <x v="1"/>
    <x v="2"/>
    <x v="213"/>
    <x v="7"/>
    <x v="2"/>
    <x v="2"/>
    <x v="2"/>
    <x v="50"/>
    <x v="602"/>
    <x v="598"/>
    <x v="602"/>
  </r>
  <r>
    <x v="603"/>
    <x v="3"/>
    <x v="2"/>
    <x v="0"/>
    <x v="214"/>
    <x v="7"/>
    <x v="317"/>
    <x v="3"/>
    <x v="3"/>
    <x v="175"/>
    <x v="603"/>
    <x v="599"/>
    <x v="603"/>
  </r>
  <r>
    <x v="604"/>
    <x v="4"/>
    <x v="0"/>
    <x v="2"/>
    <x v="215"/>
    <x v="7"/>
    <x v="14"/>
    <x v="4"/>
    <x v="4"/>
    <x v="123"/>
    <x v="604"/>
    <x v="600"/>
    <x v="604"/>
  </r>
  <r>
    <x v="605"/>
    <x v="5"/>
    <x v="2"/>
    <x v="1"/>
    <x v="216"/>
    <x v="7"/>
    <x v="129"/>
    <x v="5"/>
    <x v="5"/>
    <x v="39"/>
    <x v="605"/>
    <x v="601"/>
    <x v="605"/>
  </r>
  <r>
    <x v="606"/>
    <x v="6"/>
    <x v="0"/>
    <x v="3"/>
    <x v="217"/>
    <x v="7"/>
    <x v="160"/>
    <x v="0"/>
    <x v="0"/>
    <x v="76"/>
    <x v="606"/>
    <x v="602"/>
    <x v="606"/>
  </r>
  <r>
    <x v="607"/>
    <x v="7"/>
    <x v="3"/>
    <x v="1"/>
    <x v="218"/>
    <x v="7"/>
    <x v="217"/>
    <x v="1"/>
    <x v="1"/>
    <x v="36"/>
    <x v="607"/>
    <x v="536"/>
    <x v="607"/>
  </r>
  <r>
    <x v="608"/>
    <x v="8"/>
    <x v="1"/>
    <x v="4"/>
    <x v="219"/>
    <x v="7"/>
    <x v="37"/>
    <x v="2"/>
    <x v="2"/>
    <x v="139"/>
    <x v="608"/>
    <x v="603"/>
    <x v="608"/>
  </r>
  <r>
    <x v="609"/>
    <x v="9"/>
    <x v="4"/>
    <x v="0"/>
    <x v="220"/>
    <x v="8"/>
    <x v="299"/>
    <x v="3"/>
    <x v="3"/>
    <x v="58"/>
    <x v="609"/>
    <x v="604"/>
    <x v="609"/>
  </r>
  <r>
    <x v="610"/>
    <x v="10"/>
    <x v="2"/>
    <x v="3"/>
    <x v="221"/>
    <x v="8"/>
    <x v="239"/>
    <x v="4"/>
    <x v="4"/>
    <x v="222"/>
    <x v="610"/>
    <x v="605"/>
    <x v="610"/>
  </r>
  <r>
    <x v="611"/>
    <x v="11"/>
    <x v="3"/>
    <x v="2"/>
    <x v="222"/>
    <x v="8"/>
    <x v="283"/>
    <x v="5"/>
    <x v="5"/>
    <x v="102"/>
    <x v="611"/>
    <x v="606"/>
    <x v="611"/>
  </r>
  <r>
    <x v="612"/>
    <x v="12"/>
    <x v="0"/>
    <x v="5"/>
    <x v="223"/>
    <x v="8"/>
    <x v="163"/>
    <x v="0"/>
    <x v="0"/>
    <x v="81"/>
    <x v="612"/>
    <x v="607"/>
    <x v="612"/>
  </r>
  <r>
    <x v="613"/>
    <x v="13"/>
    <x v="5"/>
    <x v="1"/>
    <x v="224"/>
    <x v="8"/>
    <x v="181"/>
    <x v="1"/>
    <x v="1"/>
    <x v="87"/>
    <x v="613"/>
    <x v="608"/>
    <x v="613"/>
  </r>
  <r>
    <x v="614"/>
    <x v="14"/>
    <x v="1"/>
    <x v="5"/>
    <x v="225"/>
    <x v="8"/>
    <x v="191"/>
    <x v="2"/>
    <x v="2"/>
    <x v="203"/>
    <x v="614"/>
    <x v="609"/>
    <x v="614"/>
  </r>
  <r>
    <x v="615"/>
    <x v="15"/>
    <x v="5"/>
    <x v="0"/>
    <x v="226"/>
    <x v="8"/>
    <x v="331"/>
    <x v="3"/>
    <x v="3"/>
    <x v="182"/>
    <x v="615"/>
    <x v="610"/>
    <x v="615"/>
  </r>
  <r>
    <x v="616"/>
    <x v="16"/>
    <x v="2"/>
    <x v="6"/>
    <x v="227"/>
    <x v="8"/>
    <x v="332"/>
    <x v="4"/>
    <x v="4"/>
    <x v="10"/>
    <x v="616"/>
    <x v="611"/>
    <x v="616"/>
  </r>
  <r>
    <x v="617"/>
    <x v="17"/>
    <x v="6"/>
    <x v="2"/>
    <x v="228"/>
    <x v="8"/>
    <x v="113"/>
    <x v="5"/>
    <x v="5"/>
    <x v="119"/>
    <x v="617"/>
    <x v="612"/>
    <x v="617"/>
  </r>
  <r>
    <x v="618"/>
    <x v="18"/>
    <x v="0"/>
    <x v="6"/>
    <x v="229"/>
    <x v="8"/>
    <x v="254"/>
    <x v="0"/>
    <x v="0"/>
    <x v="14"/>
    <x v="618"/>
    <x v="613"/>
    <x v="618"/>
  </r>
  <r>
    <x v="619"/>
    <x v="19"/>
    <x v="6"/>
    <x v="1"/>
    <x v="230"/>
    <x v="8"/>
    <x v="258"/>
    <x v="1"/>
    <x v="1"/>
    <x v="139"/>
    <x v="619"/>
    <x v="614"/>
    <x v="619"/>
  </r>
  <r>
    <x v="620"/>
    <x v="20"/>
    <x v="1"/>
    <x v="7"/>
    <x v="231"/>
    <x v="8"/>
    <x v="333"/>
    <x v="2"/>
    <x v="2"/>
    <x v="59"/>
    <x v="620"/>
    <x v="615"/>
    <x v="620"/>
  </r>
  <r>
    <x v="621"/>
    <x v="21"/>
    <x v="7"/>
    <x v="0"/>
    <x v="232"/>
    <x v="8"/>
    <x v="334"/>
    <x v="3"/>
    <x v="3"/>
    <x v="132"/>
    <x v="621"/>
    <x v="616"/>
    <x v="621"/>
  </r>
  <r>
    <x v="622"/>
    <x v="22"/>
    <x v="0"/>
    <x v="7"/>
    <x v="233"/>
    <x v="8"/>
    <x v="317"/>
    <x v="4"/>
    <x v="4"/>
    <x v="223"/>
    <x v="622"/>
    <x v="617"/>
    <x v="622"/>
  </r>
  <r>
    <x v="623"/>
    <x v="23"/>
    <x v="7"/>
    <x v="1"/>
    <x v="234"/>
    <x v="8"/>
    <x v="66"/>
    <x v="5"/>
    <x v="5"/>
    <x v="153"/>
    <x v="623"/>
    <x v="618"/>
    <x v="623"/>
  </r>
  <r>
    <x v="624"/>
    <x v="24"/>
    <x v="1"/>
    <x v="8"/>
    <x v="235"/>
    <x v="8"/>
    <x v="46"/>
    <x v="0"/>
    <x v="0"/>
    <x v="15"/>
    <x v="624"/>
    <x v="619"/>
    <x v="624"/>
  </r>
  <r>
    <x v="625"/>
    <x v="25"/>
    <x v="8"/>
    <x v="0"/>
    <x v="236"/>
    <x v="8"/>
    <x v="92"/>
    <x v="1"/>
    <x v="1"/>
    <x v="23"/>
    <x v="625"/>
    <x v="620"/>
    <x v="625"/>
  </r>
  <r>
    <x v="626"/>
    <x v="26"/>
    <x v="2"/>
    <x v="5"/>
    <x v="237"/>
    <x v="8"/>
    <x v="184"/>
    <x v="2"/>
    <x v="2"/>
    <x v="42"/>
    <x v="626"/>
    <x v="621"/>
    <x v="626"/>
  </r>
  <r>
    <x v="627"/>
    <x v="27"/>
    <x v="5"/>
    <x v="2"/>
    <x v="238"/>
    <x v="8"/>
    <x v="147"/>
    <x v="3"/>
    <x v="3"/>
    <x v="112"/>
    <x v="627"/>
    <x v="622"/>
    <x v="627"/>
  </r>
  <r>
    <x v="628"/>
    <x v="28"/>
    <x v="4"/>
    <x v="1"/>
    <x v="239"/>
    <x v="8"/>
    <x v="27"/>
    <x v="4"/>
    <x v="4"/>
    <x v="141"/>
    <x v="628"/>
    <x v="623"/>
    <x v="628"/>
  </r>
  <r>
    <x v="629"/>
    <x v="29"/>
    <x v="0"/>
    <x v="4"/>
    <x v="240"/>
    <x v="8"/>
    <x v="70"/>
    <x v="5"/>
    <x v="5"/>
    <x v="136"/>
    <x v="629"/>
    <x v="624"/>
    <x v="629"/>
  </r>
  <r>
    <x v="630"/>
    <x v="0"/>
    <x v="0"/>
    <x v="0"/>
    <x v="241"/>
    <x v="8"/>
    <x v="46"/>
    <x v="0"/>
    <x v="0"/>
    <x v="103"/>
    <x v="630"/>
    <x v="625"/>
    <x v="630"/>
  </r>
  <r>
    <x v="631"/>
    <x v="1"/>
    <x v="1"/>
    <x v="1"/>
    <x v="242"/>
    <x v="8"/>
    <x v="234"/>
    <x v="1"/>
    <x v="1"/>
    <x v="0"/>
    <x v="631"/>
    <x v="626"/>
    <x v="631"/>
  </r>
  <r>
    <x v="632"/>
    <x v="2"/>
    <x v="1"/>
    <x v="2"/>
    <x v="243"/>
    <x v="8"/>
    <x v="39"/>
    <x v="2"/>
    <x v="2"/>
    <x v="14"/>
    <x v="632"/>
    <x v="627"/>
    <x v="632"/>
  </r>
  <r>
    <x v="633"/>
    <x v="3"/>
    <x v="2"/>
    <x v="0"/>
    <x v="244"/>
    <x v="8"/>
    <x v="335"/>
    <x v="3"/>
    <x v="3"/>
    <x v="224"/>
    <x v="633"/>
    <x v="628"/>
    <x v="633"/>
  </r>
  <r>
    <x v="634"/>
    <x v="4"/>
    <x v="0"/>
    <x v="2"/>
    <x v="245"/>
    <x v="8"/>
    <x v="262"/>
    <x v="4"/>
    <x v="4"/>
    <x v="92"/>
    <x v="634"/>
    <x v="629"/>
    <x v="634"/>
  </r>
  <r>
    <x v="635"/>
    <x v="5"/>
    <x v="2"/>
    <x v="1"/>
    <x v="246"/>
    <x v="8"/>
    <x v="34"/>
    <x v="5"/>
    <x v="5"/>
    <x v="225"/>
    <x v="635"/>
    <x v="630"/>
    <x v="635"/>
  </r>
  <r>
    <x v="636"/>
    <x v="6"/>
    <x v="0"/>
    <x v="3"/>
    <x v="247"/>
    <x v="8"/>
    <x v="167"/>
    <x v="0"/>
    <x v="0"/>
    <x v="34"/>
    <x v="636"/>
    <x v="631"/>
    <x v="636"/>
  </r>
  <r>
    <x v="637"/>
    <x v="7"/>
    <x v="3"/>
    <x v="1"/>
    <x v="248"/>
    <x v="8"/>
    <x v="62"/>
    <x v="1"/>
    <x v="1"/>
    <x v="2"/>
    <x v="637"/>
    <x v="632"/>
    <x v="637"/>
  </r>
  <r>
    <x v="638"/>
    <x v="8"/>
    <x v="1"/>
    <x v="4"/>
    <x v="249"/>
    <x v="8"/>
    <x v="336"/>
    <x v="2"/>
    <x v="2"/>
    <x v="45"/>
    <x v="638"/>
    <x v="633"/>
    <x v="638"/>
  </r>
  <r>
    <x v="639"/>
    <x v="9"/>
    <x v="4"/>
    <x v="0"/>
    <x v="250"/>
    <x v="9"/>
    <x v="193"/>
    <x v="3"/>
    <x v="3"/>
    <x v="47"/>
    <x v="639"/>
    <x v="634"/>
    <x v="639"/>
  </r>
  <r>
    <x v="640"/>
    <x v="10"/>
    <x v="2"/>
    <x v="3"/>
    <x v="251"/>
    <x v="9"/>
    <x v="337"/>
    <x v="4"/>
    <x v="4"/>
    <x v="121"/>
    <x v="640"/>
    <x v="635"/>
    <x v="640"/>
  </r>
  <r>
    <x v="641"/>
    <x v="11"/>
    <x v="3"/>
    <x v="2"/>
    <x v="252"/>
    <x v="9"/>
    <x v="175"/>
    <x v="5"/>
    <x v="5"/>
    <x v="44"/>
    <x v="641"/>
    <x v="636"/>
    <x v="641"/>
  </r>
  <r>
    <x v="642"/>
    <x v="12"/>
    <x v="0"/>
    <x v="5"/>
    <x v="253"/>
    <x v="9"/>
    <x v="70"/>
    <x v="0"/>
    <x v="0"/>
    <x v="177"/>
    <x v="642"/>
    <x v="637"/>
    <x v="642"/>
  </r>
  <r>
    <x v="643"/>
    <x v="13"/>
    <x v="5"/>
    <x v="1"/>
    <x v="254"/>
    <x v="9"/>
    <x v="338"/>
    <x v="1"/>
    <x v="1"/>
    <x v="140"/>
    <x v="643"/>
    <x v="638"/>
    <x v="643"/>
  </r>
  <r>
    <x v="644"/>
    <x v="14"/>
    <x v="1"/>
    <x v="5"/>
    <x v="255"/>
    <x v="9"/>
    <x v="21"/>
    <x v="2"/>
    <x v="2"/>
    <x v="122"/>
    <x v="644"/>
    <x v="639"/>
    <x v="644"/>
  </r>
  <r>
    <x v="645"/>
    <x v="15"/>
    <x v="5"/>
    <x v="0"/>
    <x v="256"/>
    <x v="9"/>
    <x v="36"/>
    <x v="3"/>
    <x v="3"/>
    <x v="164"/>
    <x v="645"/>
    <x v="640"/>
    <x v="645"/>
  </r>
  <r>
    <x v="646"/>
    <x v="16"/>
    <x v="2"/>
    <x v="6"/>
    <x v="257"/>
    <x v="9"/>
    <x v="232"/>
    <x v="4"/>
    <x v="4"/>
    <x v="226"/>
    <x v="646"/>
    <x v="641"/>
    <x v="646"/>
  </r>
  <r>
    <x v="647"/>
    <x v="17"/>
    <x v="6"/>
    <x v="2"/>
    <x v="258"/>
    <x v="9"/>
    <x v="339"/>
    <x v="5"/>
    <x v="5"/>
    <x v="119"/>
    <x v="647"/>
    <x v="642"/>
    <x v="647"/>
  </r>
  <r>
    <x v="648"/>
    <x v="18"/>
    <x v="0"/>
    <x v="6"/>
    <x v="259"/>
    <x v="9"/>
    <x v="316"/>
    <x v="0"/>
    <x v="0"/>
    <x v="72"/>
    <x v="648"/>
    <x v="643"/>
    <x v="648"/>
  </r>
  <r>
    <x v="649"/>
    <x v="19"/>
    <x v="6"/>
    <x v="1"/>
    <x v="260"/>
    <x v="9"/>
    <x v="225"/>
    <x v="1"/>
    <x v="1"/>
    <x v="76"/>
    <x v="649"/>
    <x v="644"/>
    <x v="649"/>
  </r>
  <r>
    <x v="650"/>
    <x v="20"/>
    <x v="1"/>
    <x v="7"/>
    <x v="261"/>
    <x v="9"/>
    <x v="259"/>
    <x v="2"/>
    <x v="2"/>
    <x v="139"/>
    <x v="650"/>
    <x v="645"/>
    <x v="650"/>
  </r>
  <r>
    <x v="651"/>
    <x v="21"/>
    <x v="7"/>
    <x v="0"/>
    <x v="262"/>
    <x v="9"/>
    <x v="293"/>
    <x v="3"/>
    <x v="3"/>
    <x v="35"/>
    <x v="651"/>
    <x v="646"/>
    <x v="651"/>
  </r>
  <r>
    <x v="652"/>
    <x v="22"/>
    <x v="0"/>
    <x v="7"/>
    <x v="263"/>
    <x v="9"/>
    <x v="271"/>
    <x v="4"/>
    <x v="4"/>
    <x v="227"/>
    <x v="652"/>
    <x v="647"/>
    <x v="652"/>
  </r>
  <r>
    <x v="653"/>
    <x v="23"/>
    <x v="7"/>
    <x v="1"/>
    <x v="264"/>
    <x v="9"/>
    <x v="160"/>
    <x v="5"/>
    <x v="5"/>
    <x v="17"/>
    <x v="653"/>
    <x v="648"/>
    <x v="653"/>
  </r>
  <r>
    <x v="654"/>
    <x v="24"/>
    <x v="1"/>
    <x v="8"/>
    <x v="265"/>
    <x v="9"/>
    <x v="115"/>
    <x v="0"/>
    <x v="0"/>
    <x v="115"/>
    <x v="654"/>
    <x v="649"/>
    <x v="654"/>
  </r>
  <r>
    <x v="655"/>
    <x v="25"/>
    <x v="8"/>
    <x v="0"/>
    <x v="266"/>
    <x v="9"/>
    <x v="265"/>
    <x v="1"/>
    <x v="1"/>
    <x v="46"/>
    <x v="655"/>
    <x v="650"/>
    <x v="655"/>
  </r>
  <r>
    <x v="656"/>
    <x v="26"/>
    <x v="2"/>
    <x v="5"/>
    <x v="267"/>
    <x v="9"/>
    <x v="340"/>
    <x v="2"/>
    <x v="2"/>
    <x v="40"/>
    <x v="656"/>
    <x v="651"/>
    <x v="656"/>
  </r>
  <r>
    <x v="657"/>
    <x v="27"/>
    <x v="5"/>
    <x v="2"/>
    <x v="268"/>
    <x v="9"/>
    <x v="341"/>
    <x v="3"/>
    <x v="3"/>
    <x v="100"/>
    <x v="657"/>
    <x v="652"/>
    <x v="657"/>
  </r>
  <r>
    <x v="658"/>
    <x v="28"/>
    <x v="4"/>
    <x v="1"/>
    <x v="269"/>
    <x v="9"/>
    <x v="273"/>
    <x v="4"/>
    <x v="4"/>
    <x v="197"/>
    <x v="658"/>
    <x v="653"/>
    <x v="658"/>
  </r>
  <r>
    <x v="659"/>
    <x v="29"/>
    <x v="0"/>
    <x v="4"/>
    <x v="270"/>
    <x v="9"/>
    <x v="342"/>
    <x v="5"/>
    <x v="5"/>
    <x v="11"/>
    <x v="659"/>
    <x v="654"/>
    <x v="659"/>
  </r>
  <r>
    <x v="660"/>
    <x v="0"/>
    <x v="0"/>
    <x v="0"/>
    <x v="271"/>
    <x v="9"/>
    <x v="205"/>
    <x v="0"/>
    <x v="0"/>
    <x v="69"/>
    <x v="660"/>
    <x v="655"/>
    <x v="660"/>
  </r>
  <r>
    <x v="661"/>
    <x v="1"/>
    <x v="1"/>
    <x v="1"/>
    <x v="272"/>
    <x v="9"/>
    <x v="220"/>
    <x v="1"/>
    <x v="1"/>
    <x v="90"/>
    <x v="661"/>
    <x v="656"/>
    <x v="661"/>
  </r>
  <r>
    <x v="662"/>
    <x v="2"/>
    <x v="1"/>
    <x v="2"/>
    <x v="273"/>
    <x v="9"/>
    <x v="224"/>
    <x v="2"/>
    <x v="2"/>
    <x v="57"/>
    <x v="662"/>
    <x v="657"/>
    <x v="662"/>
  </r>
  <r>
    <x v="663"/>
    <x v="3"/>
    <x v="2"/>
    <x v="0"/>
    <x v="274"/>
    <x v="9"/>
    <x v="194"/>
    <x v="3"/>
    <x v="3"/>
    <x v="147"/>
    <x v="663"/>
    <x v="658"/>
    <x v="663"/>
  </r>
  <r>
    <x v="664"/>
    <x v="4"/>
    <x v="0"/>
    <x v="2"/>
    <x v="275"/>
    <x v="9"/>
    <x v="343"/>
    <x v="4"/>
    <x v="4"/>
    <x v="196"/>
    <x v="664"/>
    <x v="659"/>
    <x v="664"/>
  </r>
  <r>
    <x v="665"/>
    <x v="5"/>
    <x v="2"/>
    <x v="1"/>
    <x v="276"/>
    <x v="9"/>
    <x v="198"/>
    <x v="5"/>
    <x v="5"/>
    <x v="22"/>
    <x v="665"/>
    <x v="660"/>
    <x v="665"/>
  </r>
  <r>
    <x v="666"/>
    <x v="6"/>
    <x v="0"/>
    <x v="3"/>
    <x v="277"/>
    <x v="9"/>
    <x v="344"/>
    <x v="0"/>
    <x v="0"/>
    <x v="50"/>
    <x v="666"/>
    <x v="661"/>
    <x v="666"/>
  </r>
  <r>
    <x v="667"/>
    <x v="7"/>
    <x v="3"/>
    <x v="1"/>
    <x v="278"/>
    <x v="9"/>
    <x v="345"/>
    <x v="1"/>
    <x v="1"/>
    <x v="8"/>
    <x v="667"/>
    <x v="662"/>
    <x v="667"/>
  </r>
  <r>
    <x v="668"/>
    <x v="8"/>
    <x v="1"/>
    <x v="4"/>
    <x v="279"/>
    <x v="9"/>
    <x v="173"/>
    <x v="2"/>
    <x v="2"/>
    <x v="13"/>
    <x v="668"/>
    <x v="663"/>
    <x v="668"/>
  </r>
  <r>
    <x v="669"/>
    <x v="9"/>
    <x v="4"/>
    <x v="0"/>
    <x v="280"/>
    <x v="9"/>
    <x v="297"/>
    <x v="3"/>
    <x v="3"/>
    <x v="164"/>
    <x v="669"/>
    <x v="664"/>
    <x v="669"/>
  </r>
  <r>
    <x v="670"/>
    <x v="10"/>
    <x v="2"/>
    <x v="3"/>
    <x v="281"/>
    <x v="10"/>
    <x v="125"/>
    <x v="4"/>
    <x v="4"/>
    <x v="127"/>
    <x v="670"/>
    <x v="665"/>
    <x v="670"/>
  </r>
  <r>
    <x v="671"/>
    <x v="11"/>
    <x v="3"/>
    <x v="2"/>
    <x v="282"/>
    <x v="10"/>
    <x v="346"/>
    <x v="5"/>
    <x v="5"/>
    <x v="22"/>
    <x v="671"/>
    <x v="666"/>
    <x v="671"/>
  </r>
  <r>
    <x v="672"/>
    <x v="12"/>
    <x v="0"/>
    <x v="5"/>
    <x v="283"/>
    <x v="10"/>
    <x v="347"/>
    <x v="0"/>
    <x v="0"/>
    <x v="3"/>
    <x v="672"/>
    <x v="667"/>
    <x v="672"/>
  </r>
  <r>
    <x v="673"/>
    <x v="13"/>
    <x v="5"/>
    <x v="1"/>
    <x v="284"/>
    <x v="10"/>
    <x v="94"/>
    <x v="1"/>
    <x v="1"/>
    <x v="134"/>
    <x v="673"/>
    <x v="668"/>
    <x v="673"/>
  </r>
  <r>
    <x v="674"/>
    <x v="14"/>
    <x v="1"/>
    <x v="5"/>
    <x v="285"/>
    <x v="10"/>
    <x v="82"/>
    <x v="2"/>
    <x v="2"/>
    <x v="58"/>
    <x v="674"/>
    <x v="669"/>
    <x v="674"/>
  </r>
  <r>
    <x v="675"/>
    <x v="15"/>
    <x v="5"/>
    <x v="0"/>
    <x v="286"/>
    <x v="10"/>
    <x v="348"/>
    <x v="3"/>
    <x v="3"/>
    <x v="228"/>
    <x v="675"/>
    <x v="670"/>
    <x v="675"/>
  </r>
  <r>
    <x v="676"/>
    <x v="16"/>
    <x v="2"/>
    <x v="6"/>
    <x v="287"/>
    <x v="10"/>
    <x v="349"/>
    <x v="4"/>
    <x v="4"/>
    <x v="4"/>
    <x v="676"/>
    <x v="671"/>
    <x v="676"/>
  </r>
  <r>
    <x v="677"/>
    <x v="17"/>
    <x v="6"/>
    <x v="2"/>
    <x v="288"/>
    <x v="10"/>
    <x v="346"/>
    <x v="5"/>
    <x v="5"/>
    <x v="114"/>
    <x v="677"/>
    <x v="672"/>
    <x v="677"/>
  </r>
  <r>
    <x v="678"/>
    <x v="18"/>
    <x v="0"/>
    <x v="6"/>
    <x v="289"/>
    <x v="10"/>
    <x v="263"/>
    <x v="0"/>
    <x v="0"/>
    <x v="193"/>
    <x v="678"/>
    <x v="673"/>
    <x v="678"/>
  </r>
  <r>
    <x v="679"/>
    <x v="19"/>
    <x v="6"/>
    <x v="1"/>
    <x v="290"/>
    <x v="10"/>
    <x v="283"/>
    <x v="1"/>
    <x v="1"/>
    <x v="124"/>
    <x v="679"/>
    <x v="674"/>
    <x v="679"/>
  </r>
  <r>
    <x v="680"/>
    <x v="20"/>
    <x v="1"/>
    <x v="7"/>
    <x v="291"/>
    <x v="10"/>
    <x v="347"/>
    <x v="2"/>
    <x v="2"/>
    <x v="143"/>
    <x v="680"/>
    <x v="675"/>
    <x v="680"/>
  </r>
  <r>
    <x v="681"/>
    <x v="21"/>
    <x v="7"/>
    <x v="0"/>
    <x v="292"/>
    <x v="10"/>
    <x v="350"/>
    <x v="3"/>
    <x v="3"/>
    <x v="13"/>
    <x v="681"/>
    <x v="676"/>
    <x v="681"/>
  </r>
  <r>
    <x v="682"/>
    <x v="22"/>
    <x v="0"/>
    <x v="7"/>
    <x v="293"/>
    <x v="10"/>
    <x v="351"/>
    <x v="4"/>
    <x v="4"/>
    <x v="229"/>
    <x v="682"/>
    <x v="677"/>
    <x v="682"/>
  </r>
  <r>
    <x v="683"/>
    <x v="23"/>
    <x v="7"/>
    <x v="1"/>
    <x v="294"/>
    <x v="10"/>
    <x v="24"/>
    <x v="5"/>
    <x v="5"/>
    <x v="119"/>
    <x v="683"/>
    <x v="30"/>
    <x v="683"/>
  </r>
  <r>
    <x v="684"/>
    <x v="24"/>
    <x v="1"/>
    <x v="8"/>
    <x v="295"/>
    <x v="10"/>
    <x v="184"/>
    <x v="0"/>
    <x v="0"/>
    <x v="51"/>
    <x v="684"/>
    <x v="678"/>
    <x v="684"/>
  </r>
  <r>
    <x v="685"/>
    <x v="25"/>
    <x v="8"/>
    <x v="0"/>
    <x v="296"/>
    <x v="10"/>
    <x v="225"/>
    <x v="1"/>
    <x v="1"/>
    <x v="104"/>
    <x v="685"/>
    <x v="679"/>
    <x v="685"/>
  </r>
  <r>
    <x v="686"/>
    <x v="26"/>
    <x v="2"/>
    <x v="5"/>
    <x v="297"/>
    <x v="10"/>
    <x v="56"/>
    <x v="2"/>
    <x v="2"/>
    <x v="81"/>
    <x v="686"/>
    <x v="680"/>
    <x v="686"/>
  </r>
  <r>
    <x v="687"/>
    <x v="27"/>
    <x v="5"/>
    <x v="2"/>
    <x v="298"/>
    <x v="10"/>
    <x v="352"/>
    <x v="3"/>
    <x v="3"/>
    <x v="82"/>
    <x v="687"/>
    <x v="681"/>
    <x v="687"/>
  </r>
  <r>
    <x v="688"/>
    <x v="28"/>
    <x v="4"/>
    <x v="1"/>
    <x v="299"/>
    <x v="10"/>
    <x v="47"/>
    <x v="4"/>
    <x v="4"/>
    <x v="230"/>
    <x v="688"/>
    <x v="682"/>
    <x v="688"/>
  </r>
  <r>
    <x v="689"/>
    <x v="29"/>
    <x v="0"/>
    <x v="4"/>
    <x v="300"/>
    <x v="10"/>
    <x v="288"/>
    <x v="5"/>
    <x v="5"/>
    <x v="61"/>
    <x v="689"/>
    <x v="683"/>
    <x v="689"/>
  </r>
  <r>
    <x v="690"/>
    <x v="0"/>
    <x v="0"/>
    <x v="0"/>
    <x v="301"/>
    <x v="10"/>
    <x v="29"/>
    <x v="0"/>
    <x v="0"/>
    <x v="62"/>
    <x v="690"/>
    <x v="684"/>
    <x v="690"/>
  </r>
  <r>
    <x v="691"/>
    <x v="1"/>
    <x v="1"/>
    <x v="1"/>
    <x v="302"/>
    <x v="10"/>
    <x v="25"/>
    <x v="1"/>
    <x v="1"/>
    <x v="59"/>
    <x v="691"/>
    <x v="685"/>
    <x v="691"/>
  </r>
  <r>
    <x v="692"/>
    <x v="2"/>
    <x v="1"/>
    <x v="2"/>
    <x v="303"/>
    <x v="10"/>
    <x v="353"/>
    <x v="2"/>
    <x v="2"/>
    <x v="25"/>
    <x v="692"/>
    <x v="686"/>
    <x v="692"/>
  </r>
  <r>
    <x v="693"/>
    <x v="3"/>
    <x v="2"/>
    <x v="0"/>
    <x v="304"/>
    <x v="10"/>
    <x v="54"/>
    <x v="3"/>
    <x v="3"/>
    <x v="63"/>
    <x v="693"/>
    <x v="687"/>
    <x v="693"/>
  </r>
  <r>
    <x v="694"/>
    <x v="4"/>
    <x v="0"/>
    <x v="2"/>
    <x v="305"/>
    <x v="10"/>
    <x v="301"/>
    <x v="4"/>
    <x v="4"/>
    <x v="38"/>
    <x v="694"/>
    <x v="688"/>
    <x v="694"/>
  </r>
  <r>
    <x v="695"/>
    <x v="5"/>
    <x v="2"/>
    <x v="1"/>
    <x v="306"/>
    <x v="10"/>
    <x v="354"/>
    <x v="5"/>
    <x v="5"/>
    <x v="225"/>
    <x v="695"/>
    <x v="689"/>
    <x v="695"/>
  </r>
  <r>
    <x v="696"/>
    <x v="6"/>
    <x v="0"/>
    <x v="3"/>
    <x v="307"/>
    <x v="10"/>
    <x v="46"/>
    <x v="0"/>
    <x v="0"/>
    <x v="15"/>
    <x v="696"/>
    <x v="690"/>
    <x v="696"/>
  </r>
  <r>
    <x v="697"/>
    <x v="7"/>
    <x v="3"/>
    <x v="1"/>
    <x v="308"/>
    <x v="10"/>
    <x v="207"/>
    <x v="1"/>
    <x v="1"/>
    <x v="14"/>
    <x v="697"/>
    <x v="691"/>
    <x v="697"/>
  </r>
  <r>
    <x v="698"/>
    <x v="8"/>
    <x v="1"/>
    <x v="4"/>
    <x v="309"/>
    <x v="10"/>
    <x v="154"/>
    <x v="2"/>
    <x v="2"/>
    <x v="128"/>
    <x v="698"/>
    <x v="692"/>
    <x v="698"/>
  </r>
  <r>
    <x v="699"/>
    <x v="9"/>
    <x v="4"/>
    <x v="0"/>
    <x v="310"/>
    <x v="10"/>
    <x v="239"/>
    <x v="3"/>
    <x v="3"/>
    <x v="231"/>
    <x v="699"/>
    <x v="693"/>
    <x v="699"/>
  </r>
  <r>
    <x v="700"/>
    <x v="10"/>
    <x v="2"/>
    <x v="3"/>
    <x v="311"/>
    <x v="11"/>
    <x v="355"/>
    <x v="4"/>
    <x v="4"/>
    <x v="123"/>
    <x v="700"/>
    <x v="694"/>
    <x v="700"/>
  </r>
  <r>
    <x v="701"/>
    <x v="11"/>
    <x v="3"/>
    <x v="2"/>
    <x v="312"/>
    <x v="11"/>
    <x v="183"/>
    <x v="5"/>
    <x v="5"/>
    <x v="39"/>
    <x v="701"/>
    <x v="695"/>
    <x v="701"/>
  </r>
  <r>
    <x v="702"/>
    <x v="12"/>
    <x v="0"/>
    <x v="5"/>
    <x v="313"/>
    <x v="11"/>
    <x v="56"/>
    <x v="0"/>
    <x v="0"/>
    <x v="15"/>
    <x v="702"/>
    <x v="696"/>
    <x v="702"/>
  </r>
  <r>
    <x v="703"/>
    <x v="13"/>
    <x v="5"/>
    <x v="1"/>
    <x v="314"/>
    <x v="11"/>
    <x v="264"/>
    <x v="1"/>
    <x v="1"/>
    <x v="59"/>
    <x v="703"/>
    <x v="697"/>
    <x v="703"/>
  </r>
  <r>
    <x v="704"/>
    <x v="14"/>
    <x v="1"/>
    <x v="5"/>
    <x v="315"/>
    <x v="11"/>
    <x v="356"/>
    <x v="2"/>
    <x v="2"/>
    <x v="41"/>
    <x v="704"/>
    <x v="698"/>
    <x v="704"/>
  </r>
  <r>
    <x v="705"/>
    <x v="15"/>
    <x v="5"/>
    <x v="0"/>
    <x v="316"/>
    <x v="11"/>
    <x v="194"/>
    <x v="3"/>
    <x v="3"/>
    <x v="144"/>
    <x v="705"/>
    <x v="699"/>
    <x v="705"/>
  </r>
  <r>
    <x v="706"/>
    <x v="16"/>
    <x v="2"/>
    <x v="6"/>
    <x v="317"/>
    <x v="11"/>
    <x v="357"/>
    <x v="4"/>
    <x v="4"/>
    <x v="232"/>
    <x v="706"/>
    <x v="700"/>
    <x v="706"/>
  </r>
  <r>
    <x v="707"/>
    <x v="17"/>
    <x v="6"/>
    <x v="2"/>
    <x v="318"/>
    <x v="11"/>
    <x v="99"/>
    <x v="5"/>
    <x v="5"/>
    <x v="119"/>
    <x v="707"/>
    <x v="701"/>
    <x v="707"/>
  </r>
  <r>
    <x v="708"/>
    <x v="18"/>
    <x v="0"/>
    <x v="6"/>
    <x v="319"/>
    <x v="11"/>
    <x v="31"/>
    <x v="0"/>
    <x v="0"/>
    <x v="233"/>
    <x v="708"/>
    <x v="702"/>
    <x v="708"/>
  </r>
  <r>
    <x v="709"/>
    <x v="19"/>
    <x v="6"/>
    <x v="1"/>
    <x v="320"/>
    <x v="11"/>
    <x v="154"/>
    <x v="1"/>
    <x v="1"/>
    <x v="234"/>
    <x v="709"/>
    <x v="703"/>
    <x v="709"/>
  </r>
  <r>
    <x v="710"/>
    <x v="20"/>
    <x v="1"/>
    <x v="7"/>
    <x v="321"/>
    <x v="11"/>
    <x v="190"/>
    <x v="2"/>
    <x v="2"/>
    <x v="19"/>
    <x v="710"/>
    <x v="704"/>
    <x v="710"/>
  </r>
  <r>
    <x v="711"/>
    <x v="21"/>
    <x v="7"/>
    <x v="0"/>
    <x v="322"/>
    <x v="11"/>
    <x v="254"/>
    <x v="3"/>
    <x v="3"/>
    <x v="211"/>
    <x v="711"/>
    <x v="705"/>
    <x v="711"/>
  </r>
  <r>
    <x v="712"/>
    <x v="22"/>
    <x v="0"/>
    <x v="7"/>
    <x v="323"/>
    <x v="11"/>
    <x v="200"/>
    <x v="4"/>
    <x v="4"/>
    <x v="235"/>
    <x v="712"/>
    <x v="706"/>
    <x v="712"/>
  </r>
  <r>
    <x v="713"/>
    <x v="23"/>
    <x v="7"/>
    <x v="1"/>
    <x v="324"/>
    <x v="11"/>
    <x v="150"/>
    <x v="5"/>
    <x v="5"/>
    <x v="136"/>
    <x v="713"/>
    <x v="707"/>
    <x v="713"/>
  </r>
  <r>
    <x v="714"/>
    <x v="24"/>
    <x v="1"/>
    <x v="8"/>
    <x v="325"/>
    <x v="11"/>
    <x v="84"/>
    <x v="0"/>
    <x v="0"/>
    <x v="236"/>
    <x v="714"/>
    <x v="708"/>
    <x v="714"/>
  </r>
  <r>
    <x v="715"/>
    <x v="25"/>
    <x v="8"/>
    <x v="0"/>
    <x v="326"/>
    <x v="11"/>
    <x v="273"/>
    <x v="1"/>
    <x v="1"/>
    <x v="233"/>
    <x v="715"/>
    <x v="709"/>
    <x v="715"/>
  </r>
  <r>
    <x v="716"/>
    <x v="26"/>
    <x v="2"/>
    <x v="5"/>
    <x v="327"/>
    <x v="11"/>
    <x v="291"/>
    <x v="2"/>
    <x v="2"/>
    <x v="81"/>
    <x v="716"/>
    <x v="710"/>
    <x v="716"/>
  </r>
  <r>
    <x v="717"/>
    <x v="27"/>
    <x v="5"/>
    <x v="2"/>
    <x v="328"/>
    <x v="11"/>
    <x v="141"/>
    <x v="3"/>
    <x v="3"/>
    <x v="216"/>
    <x v="717"/>
    <x v="711"/>
    <x v="717"/>
  </r>
  <r>
    <x v="718"/>
    <x v="28"/>
    <x v="4"/>
    <x v="1"/>
    <x v="329"/>
    <x v="11"/>
    <x v="333"/>
    <x v="4"/>
    <x v="4"/>
    <x v="237"/>
    <x v="718"/>
    <x v="712"/>
    <x v="718"/>
  </r>
  <r>
    <x v="719"/>
    <x v="29"/>
    <x v="0"/>
    <x v="4"/>
    <x v="330"/>
    <x v="11"/>
    <x v="358"/>
    <x v="5"/>
    <x v="5"/>
    <x v="66"/>
    <x v="719"/>
    <x v="713"/>
    <x v="719"/>
  </r>
  <r>
    <x v="720"/>
    <x v="0"/>
    <x v="0"/>
    <x v="0"/>
    <x v="331"/>
    <x v="11"/>
    <x v="18"/>
    <x v="0"/>
    <x v="0"/>
    <x v="125"/>
    <x v="720"/>
    <x v="714"/>
    <x v="720"/>
  </r>
  <r>
    <x v="721"/>
    <x v="1"/>
    <x v="1"/>
    <x v="1"/>
    <x v="332"/>
    <x v="11"/>
    <x v="265"/>
    <x v="1"/>
    <x v="1"/>
    <x v="36"/>
    <x v="721"/>
    <x v="715"/>
    <x v="721"/>
  </r>
  <r>
    <x v="722"/>
    <x v="2"/>
    <x v="1"/>
    <x v="2"/>
    <x v="333"/>
    <x v="11"/>
    <x v="181"/>
    <x v="2"/>
    <x v="2"/>
    <x v="2"/>
    <x v="722"/>
    <x v="716"/>
    <x v="722"/>
  </r>
  <r>
    <x v="723"/>
    <x v="3"/>
    <x v="2"/>
    <x v="0"/>
    <x v="334"/>
    <x v="11"/>
    <x v="224"/>
    <x v="3"/>
    <x v="3"/>
    <x v="238"/>
    <x v="723"/>
    <x v="717"/>
    <x v="723"/>
  </r>
  <r>
    <x v="724"/>
    <x v="4"/>
    <x v="0"/>
    <x v="2"/>
    <x v="335"/>
    <x v="11"/>
    <x v="192"/>
    <x v="4"/>
    <x v="4"/>
    <x v="184"/>
    <x v="724"/>
    <x v="718"/>
    <x v="724"/>
  </r>
  <r>
    <x v="725"/>
    <x v="5"/>
    <x v="2"/>
    <x v="1"/>
    <x v="336"/>
    <x v="11"/>
    <x v="359"/>
    <x v="5"/>
    <x v="5"/>
    <x v="49"/>
    <x v="725"/>
    <x v="719"/>
    <x v="725"/>
  </r>
  <r>
    <x v="726"/>
    <x v="6"/>
    <x v="0"/>
    <x v="3"/>
    <x v="337"/>
    <x v="11"/>
    <x v="266"/>
    <x v="0"/>
    <x v="0"/>
    <x v="111"/>
    <x v="726"/>
    <x v="720"/>
    <x v="726"/>
  </r>
  <r>
    <x v="727"/>
    <x v="7"/>
    <x v="3"/>
    <x v="1"/>
    <x v="338"/>
    <x v="11"/>
    <x v="360"/>
    <x v="1"/>
    <x v="1"/>
    <x v="13"/>
    <x v="727"/>
    <x v="721"/>
    <x v="727"/>
  </r>
  <r>
    <x v="728"/>
    <x v="8"/>
    <x v="1"/>
    <x v="4"/>
    <x v="339"/>
    <x v="11"/>
    <x v="352"/>
    <x v="2"/>
    <x v="2"/>
    <x v="63"/>
    <x v="728"/>
    <x v="722"/>
    <x v="728"/>
  </r>
  <r>
    <x v="729"/>
    <x v="9"/>
    <x v="4"/>
    <x v="0"/>
    <x v="340"/>
    <x v="11"/>
    <x v="204"/>
    <x v="3"/>
    <x v="3"/>
    <x v="239"/>
    <x v="729"/>
    <x v="723"/>
    <x v="729"/>
  </r>
  <r>
    <x v="730"/>
    <x v="10"/>
    <x v="2"/>
    <x v="3"/>
    <x v="8"/>
    <x v="4"/>
    <x v="204"/>
    <x v="4"/>
    <x v="4"/>
    <x v="222"/>
    <x v="730"/>
    <x v="724"/>
    <x v="730"/>
  </r>
  <r>
    <x v="731"/>
    <x v="11"/>
    <x v="3"/>
    <x v="2"/>
    <x v="341"/>
    <x v="4"/>
    <x v="12"/>
    <x v="5"/>
    <x v="5"/>
    <x v="66"/>
    <x v="731"/>
    <x v="725"/>
    <x v="731"/>
  </r>
  <r>
    <x v="732"/>
    <x v="12"/>
    <x v="0"/>
    <x v="5"/>
    <x v="342"/>
    <x v="4"/>
    <x v="361"/>
    <x v="0"/>
    <x v="0"/>
    <x v="3"/>
    <x v="732"/>
    <x v="726"/>
    <x v="732"/>
  </r>
  <r>
    <x v="733"/>
    <x v="13"/>
    <x v="5"/>
    <x v="1"/>
    <x v="343"/>
    <x v="4"/>
    <x v="173"/>
    <x v="1"/>
    <x v="1"/>
    <x v="7"/>
    <x v="733"/>
    <x v="727"/>
    <x v="733"/>
  </r>
  <r>
    <x v="734"/>
    <x v="14"/>
    <x v="1"/>
    <x v="5"/>
    <x v="344"/>
    <x v="4"/>
    <x v="111"/>
    <x v="2"/>
    <x v="2"/>
    <x v="46"/>
    <x v="734"/>
    <x v="126"/>
    <x v="734"/>
  </r>
  <r>
    <x v="735"/>
    <x v="15"/>
    <x v="5"/>
    <x v="0"/>
    <x v="345"/>
    <x v="4"/>
    <x v="362"/>
    <x v="3"/>
    <x v="3"/>
    <x v="47"/>
    <x v="735"/>
    <x v="728"/>
    <x v="735"/>
  </r>
  <r>
    <x v="736"/>
    <x v="16"/>
    <x v="2"/>
    <x v="6"/>
    <x v="22"/>
    <x v="4"/>
    <x v="110"/>
    <x v="4"/>
    <x v="4"/>
    <x v="240"/>
    <x v="736"/>
    <x v="729"/>
    <x v="736"/>
  </r>
  <r>
    <x v="737"/>
    <x v="17"/>
    <x v="6"/>
    <x v="2"/>
    <x v="346"/>
    <x v="4"/>
    <x v="326"/>
    <x v="5"/>
    <x v="5"/>
    <x v="215"/>
    <x v="737"/>
    <x v="730"/>
    <x v="737"/>
  </r>
  <r>
    <x v="738"/>
    <x v="18"/>
    <x v="0"/>
    <x v="6"/>
    <x v="347"/>
    <x v="4"/>
    <x v="112"/>
    <x v="0"/>
    <x v="0"/>
    <x v="51"/>
    <x v="738"/>
    <x v="731"/>
    <x v="738"/>
  </r>
  <r>
    <x v="739"/>
    <x v="19"/>
    <x v="6"/>
    <x v="1"/>
    <x v="348"/>
    <x v="4"/>
    <x v="181"/>
    <x v="1"/>
    <x v="1"/>
    <x v="25"/>
    <x v="739"/>
    <x v="732"/>
    <x v="739"/>
  </r>
  <r>
    <x v="740"/>
    <x v="20"/>
    <x v="1"/>
    <x v="7"/>
    <x v="349"/>
    <x v="4"/>
    <x v="363"/>
    <x v="2"/>
    <x v="2"/>
    <x v="87"/>
    <x v="740"/>
    <x v="733"/>
    <x v="740"/>
  </r>
  <r>
    <x v="741"/>
    <x v="21"/>
    <x v="7"/>
    <x v="0"/>
    <x v="350"/>
    <x v="4"/>
    <x v="218"/>
    <x v="3"/>
    <x v="3"/>
    <x v="93"/>
    <x v="741"/>
    <x v="734"/>
    <x v="741"/>
  </r>
  <r>
    <x v="742"/>
    <x v="22"/>
    <x v="0"/>
    <x v="7"/>
    <x v="351"/>
    <x v="4"/>
    <x v="344"/>
    <x v="4"/>
    <x v="4"/>
    <x v="241"/>
    <x v="742"/>
    <x v="735"/>
    <x v="742"/>
  </r>
  <r>
    <x v="743"/>
    <x v="23"/>
    <x v="7"/>
    <x v="1"/>
    <x v="352"/>
    <x v="4"/>
    <x v="121"/>
    <x v="5"/>
    <x v="5"/>
    <x v="5"/>
    <x v="743"/>
    <x v="736"/>
    <x v="743"/>
  </r>
  <r>
    <x v="744"/>
    <x v="24"/>
    <x v="1"/>
    <x v="8"/>
    <x v="353"/>
    <x v="4"/>
    <x v="364"/>
    <x v="0"/>
    <x v="0"/>
    <x v="23"/>
    <x v="744"/>
    <x v="737"/>
    <x v="744"/>
  </r>
  <r>
    <x v="745"/>
    <x v="25"/>
    <x v="8"/>
    <x v="0"/>
    <x v="354"/>
    <x v="4"/>
    <x v="92"/>
    <x v="1"/>
    <x v="1"/>
    <x v="122"/>
    <x v="745"/>
    <x v="738"/>
    <x v="745"/>
  </r>
  <r>
    <x v="746"/>
    <x v="26"/>
    <x v="2"/>
    <x v="5"/>
    <x v="355"/>
    <x v="4"/>
    <x v="273"/>
    <x v="2"/>
    <x v="2"/>
    <x v="57"/>
    <x v="746"/>
    <x v="739"/>
    <x v="746"/>
  </r>
  <r>
    <x v="747"/>
    <x v="27"/>
    <x v="5"/>
    <x v="2"/>
    <x v="356"/>
    <x v="4"/>
    <x v="254"/>
    <x v="3"/>
    <x v="3"/>
    <x v="47"/>
    <x v="747"/>
    <x v="740"/>
    <x v="747"/>
  </r>
  <r>
    <x v="748"/>
    <x v="28"/>
    <x v="4"/>
    <x v="1"/>
    <x v="357"/>
    <x v="4"/>
    <x v="365"/>
    <x v="4"/>
    <x v="4"/>
    <x v="242"/>
    <x v="748"/>
    <x v="741"/>
    <x v="748"/>
  </r>
  <r>
    <x v="749"/>
    <x v="29"/>
    <x v="0"/>
    <x v="4"/>
    <x v="358"/>
    <x v="4"/>
    <x v="291"/>
    <x v="5"/>
    <x v="5"/>
    <x v="49"/>
    <x v="749"/>
    <x v="742"/>
    <x v="749"/>
  </r>
  <r>
    <x v="750"/>
    <x v="0"/>
    <x v="0"/>
    <x v="0"/>
    <x v="359"/>
    <x v="4"/>
    <x v="6"/>
    <x v="0"/>
    <x v="0"/>
    <x v="46"/>
    <x v="750"/>
    <x v="743"/>
    <x v="750"/>
  </r>
  <r>
    <x v="751"/>
    <x v="1"/>
    <x v="1"/>
    <x v="1"/>
    <x v="360"/>
    <x v="4"/>
    <x v="115"/>
    <x v="1"/>
    <x v="1"/>
    <x v="0"/>
    <x v="751"/>
    <x v="744"/>
    <x v="751"/>
  </r>
  <r>
    <x v="752"/>
    <x v="2"/>
    <x v="1"/>
    <x v="2"/>
    <x v="361"/>
    <x v="4"/>
    <x v="92"/>
    <x v="2"/>
    <x v="2"/>
    <x v="41"/>
    <x v="752"/>
    <x v="745"/>
    <x v="752"/>
  </r>
  <r>
    <x v="753"/>
    <x v="3"/>
    <x v="2"/>
    <x v="0"/>
    <x v="19"/>
    <x v="4"/>
    <x v="366"/>
    <x v="3"/>
    <x v="3"/>
    <x v="228"/>
    <x v="753"/>
    <x v="746"/>
    <x v="753"/>
  </r>
  <r>
    <x v="754"/>
    <x v="4"/>
    <x v="0"/>
    <x v="2"/>
    <x v="362"/>
    <x v="4"/>
    <x v="367"/>
    <x v="4"/>
    <x v="4"/>
    <x v="106"/>
    <x v="754"/>
    <x v="747"/>
    <x v="754"/>
  </r>
  <r>
    <x v="755"/>
    <x v="5"/>
    <x v="2"/>
    <x v="1"/>
    <x v="16"/>
    <x v="4"/>
    <x v="129"/>
    <x v="5"/>
    <x v="5"/>
    <x v="89"/>
    <x v="755"/>
    <x v="748"/>
    <x v="755"/>
  </r>
  <r>
    <x v="756"/>
    <x v="6"/>
    <x v="0"/>
    <x v="3"/>
    <x v="363"/>
    <x v="4"/>
    <x v="368"/>
    <x v="0"/>
    <x v="0"/>
    <x v="68"/>
    <x v="756"/>
    <x v="749"/>
    <x v="756"/>
  </r>
  <r>
    <x v="757"/>
    <x v="7"/>
    <x v="3"/>
    <x v="1"/>
    <x v="364"/>
    <x v="4"/>
    <x v="6"/>
    <x v="1"/>
    <x v="1"/>
    <x v="2"/>
    <x v="757"/>
    <x v="750"/>
    <x v="757"/>
  </r>
  <r>
    <x v="758"/>
    <x v="8"/>
    <x v="1"/>
    <x v="4"/>
    <x v="26"/>
    <x v="4"/>
    <x v="364"/>
    <x v="2"/>
    <x v="2"/>
    <x v="15"/>
    <x v="758"/>
    <x v="751"/>
    <x v="758"/>
  </r>
  <r>
    <x v="759"/>
    <x v="9"/>
    <x v="4"/>
    <x v="0"/>
    <x v="27"/>
    <x v="4"/>
    <x v="369"/>
    <x v="3"/>
    <x v="3"/>
    <x v="93"/>
    <x v="759"/>
    <x v="752"/>
    <x v="759"/>
  </r>
  <r>
    <x v="760"/>
    <x v="10"/>
    <x v="2"/>
    <x v="3"/>
    <x v="28"/>
    <x v="4"/>
    <x v="92"/>
    <x v="4"/>
    <x v="4"/>
    <x v="192"/>
    <x v="760"/>
    <x v="753"/>
    <x v="760"/>
  </r>
  <r>
    <x v="761"/>
    <x v="11"/>
    <x v="3"/>
    <x v="2"/>
    <x v="29"/>
    <x v="5"/>
    <x v="370"/>
    <x v="5"/>
    <x v="5"/>
    <x v="114"/>
    <x v="761"/>
    <x v="754"/>
    <x v="761"/>
  </r>
  <r>
    <x v="762"/>
    <x v="12"/>
    <x v="0"/>
    <x v="5"/>
    <x v="9"/>
    <x v="5"/>
    <x v="161"/>
    <x v="0"/>
    <x v="0"/>
    <x v="115"/>
    <x v="762"/>
    <x v="755"/>
    <x v="762"/>
  </r>
  <r>
    <x v="763"/>
    <x v="13"/>
    <x v="5"/>
    <x v="1"/>
    <x v="30"/>
    <x v="5"/>
    <x v="288"/>
    <x v="1"/>
    <x v="1"/>
    <x v="0"/>
    <x v="763"/>
    <x v="756"/>
    <x v="763"/>
  </r>
  <r>
    <x v="764"/>
    <x v="14"/>
    <x v="1"/>
    <x v="5"/>
    <x v="31"/>
    <x v="5"/>
    <x v="312"/>
    <x v="2"/>
    <x v="2"/>
    <x v="140"/>
    <x v="764"/>
    <x v="757"/>
    <x v="764"/>
  </r>
  <r>
    <x v="765"/>
    <x v="15"/>
    <x v="5"/>
    <x v="0"/>
    <x v="32"/>
    <x v="5"/>
    <x v="152"/>
    <x v="3"/>
    <x v="3"/>
    <x v="208"/>
    <x v="765"/>
    <x v="758"/>
    <x v="765"/>
  </r>
  <r>
    <x v="766"/>
    <x v="16"/>
    <x v="2"/>
    <x v="6"/>
    <x v="33"/>
    <x v="5"/>
    <x v="177"/>
    <x v="4"/>
    <x v="4"/>
    <x v="243"/>
    <x v="766"/>
    <x v="759"/>
    <x v="766"/>
  </r>
  <r>
    <x v="767"/>
    <x v="17"/>
    <x v="6"/>
    <x v="2"/>
    <x v="34"/>
    <x v="5"/>
    <x v="309"/>
    <x v="5"/>
    <x v="5"/>
    <x v="153"/>
    <x v="767"/>
    <x v="760"/>
    <x v="767"/>
  </r>
  <r>
    <x v="768"/>
    <x v="18"/>
    <x v="0"/>
    <x v="6"/>
    <x v="35"/>
    <x v="5"/>
    <x v="85"/>
    <x v="0"/>
    <x v="0"/>
    <x v="2"/>
    <x v="768"/>
    <x v="761"/>
    <x v="768"/>
  </r>
  <r>
    <x v="769"/>
    <x v="19"/>
    <x v="6"/>
    <x v="1"/>
    <x v="36"/>
    <x v="5"/>
    <x v="72"/>
    <x v="1"/>
    <x v="1"/>
    <x v="69"/>
    <x v="769"/>
    <x v="762"/>
    <x v="769"/>
  </r>
  <r>
    <x v="770"/>
    <x v="20"/>
    <x v="1"/>
    <x v="7"/>
    <x v="37"/>
    <x v="5"/>
    <x v="200"/>
    <x v="2"/>
    <x v="2"/>
    <x v="41"/>
    <x v="770"/>
    <x v="763"/>
    <x v="770"/>
  </r>
  <r>
    <x v="771"/>
    <x v="21"/>
    <x v="7"/>
    <x v="0"/>
    <x v="38"/>
    <x v="5"/>
    <x v="180"/>
    <x v="3"/>
    <x v="3"/>
    <x v="59"/>
    <x v="771"/>
    <x v="764"/>
    <x v="771"/>
  </r>
  <r>
    <x v="772"/>
    <x v="22"/>
    <x v="0"/>
    <x v="7"/>
    <x v="39"/>
    <x v="5"/>
    <x v="371"/>
    <x v="4"/>
    <x v="4"/>
    <x v="244"/>
    <x v="772"/>
    <x v="765"/>
    <x v="772"/>
  </r>
  <r>
    <x v="773"/>
    <x v="23"/>
    <x v="7"/>
    <x v="1"/>
    <x v="40"/>
    <x v="5"/>
    <x v="372"/>
    <x v="5"/>
    <x v="5"/>
    <x v="66"/>
    <x v="773"/>
    <x v="766"/>
    <x v="773"/>
  </r>
  <r>
    <x v="774"/>
    <x v="24"/>
    <x v="1"/>
    <x v="8"/>
    <x v="41"/>
    <x v="5"/>
    <x v="215"/>
    <x v="0"/>
    <x v="0"/>
    <x v="62"/>
    <x v="774"/>
    <x v="767"/>
    <x v="774"/>
  </r>
  <r>
    <x v="775"/>
    <x v="25"/>
    <x v="8"/>
    <x v="0"/>
    <x v="42"/>
    <x v="5"/>
    <x v="373"/>
    <x v="1"/>
    <x v="1"/>
    <x v="107"/>
    <x v="775"/>
    <x v="768"/>
    <x v="775"/>
  </r>
  <r>
    <x v="776"/>
    <x v="26"/>
    <x v="2"/>
    <x v="5"/>
    <x v="13"/>
    <x v="5"/>
    <x v="151"/>
    <x v="2"/>
    <x v="2"/>
    <x v="81"/>
    <x v="776"/>
    <x v="769"/>
    <x v="776"/>
  </r>
  <r>
    <x v="777"/>
    <x v="27"/>
    <x v="5"/>
    <x v="2"/>
    <x v="43"/>
    <x v="5"/>
    <x v="235"/>
    <x v="3"/>
    <x v="3"/>
    <x v="224"/>
    <x v="777"/>
    <x v="770"/>
    <x v="777"/>
  </r>
  <r>
    <x v="778"/>
    <x v="28"/>
    <x v="4"/>
    <x v="1"/>
    <x v="44"/>
    <x v="5"/>
    <x v="275"/>
    <x v="4"/>
    <x v="4"/>
    <x v="56"/>
    <x v="778"/>
    <x v="771"/>
    <x v="778"/>
  </r>
  <r>
    <x v="779"/>
    <x v="29"/>
    <x v="0"/>
    <x v="4"/>
    <x v="45"/>
    <x v="5"/>
    <x v="28"/>
    <x v="5"/>
    <x v="5"/>
    <x v="66"/>
    <x v="779"/>
    <x v="772"/>
    <x v="779"/>
  </r>
  <r>
    <x v="780"/>
    <x v="0"/>
    <x v="0"/>
    <x v="0"/>
    <x v="46"/>
    <x v="5"/>
    <x v="160"/>
    <x v="0"/>
    <x v="0"/>
    <x v="79"/>
    <x v="780"/>
    <x v="773"/>
    <x v="780"/>
  </r>
  <r>
    <x v="781"/>
    <x v="1"/>
    <x v="1"/>
    <x v="1"/>
    <x v="47"/>
    <x v="5"/>
    <x v="239"/>
    <x v="1"/>
    <x v="1"/>
    <x v="236"/>
    <x v="781"/>
    <x v="774"/>
    <x v="781"/>
  </r>
  <r>
    <x v="782"/>
    <x v="2"/>
    <x v="1"/>
    <x v="2"/>
    <x v="48"/>
    <x v="5"/>
    <x v="371"/>
    <x v="2"/>
    <x v="2"/>
    <x v="203"/>
    <x v="782"/>
    <x v="775"/>
    <x v="782"/>
  </r>
  <r>
    <x v="783"/>
    <x v="3"/>
    <x v="2"/>
    <x v="0"/>
    <x v="49"/>
    <x v="5"/>
    <x v="97"/>
    <x v="3"/>
    <x v="3"/>
    <x v="155"/>
    <x v="783"/>
    <x v="776"/>
    <x v="783"/>
  </r>
  <r>
    <x v="784"/>
    <x v="4"/>
    <x v="0"/>
    <x v="2"/>
    <x v="50"/>
    <x v="5"/>
    <x v="115"/>
    <x v="4"/>
    <x v="4"/>
    <x v="204"/>
    <x v="784"/>
    <x v="777"/>
    <x v="784"/>
  </r>
  <r>
    <x v="785"/>
    <x v="5"/>
    <x v="2"/>
    <x v="1"/>
    <x v="18"/>
    <x v="5"/>
    <x v="65"/>
    <x v="5"/>
    <x v="5"/>
    <x v="39"/>
    <x v="785"/>
    <x v="778"/>
    <x v="785"/>
  </r>
  <r>
    <x v="786"/>
    <x v="6"/>
    <x v="0"/>
    <x v="3"/>
    <x v="51"/>
    <x v="5"/>
    <x v="23"/>
    <x v="0"/>
    <x v="0"/>
    <x v="15"/>
    <x v="786"/>
    <x v="779"/>
    <x v="786"/>
  </r>
  <r>
    <x v="787"/>
    <x v="7"/>
    <x v="3"/>
    <x v="1"/>
    <x v="52"/>
    <x v="5"/>
    <x v="374"/>
    <x v="1"/>
    <x v="1"/>
    <x v="67"/>
    <x v="787"/>
    <x v="780"/>
    <x v="787"/>
  </r>
  <r>
    <x v="788"/>
    <x v="8"/>
    <x v="1"/>
    <x v="4"/>
    <x v="53"/>
    <x v="5"/>
    <x v="375"/>
    <x v="2"/>
    <x v="2"/>
    <x v="19"/>
    <x v="788"/>
    <x v="781"/>
    <x v="788"/>
  </r>
  <r>
    <x v="789"/>
    <x v="9"/>
    <x v="4"/>
    <x v="0"/>
    <x v="54"/>
    <x v="5"/>
    <x v="185"/>
    <x v="3"/>
    <x v="3"/>
    <x v="238"/>
    <x v="789"/>
    <x v="782"/>
    <x v="789"/>
  </r>
  <r>
    <x v="790"/>
    <x v="10"/>
    <x v="2"/>
    <x v="3"/>
    <x v="55"/>
    <x v="0"/>
    <x v="255"/>
    <x v="4"/>
    <x v="4"/>
    <x v="245"/>
    <x v="790"/>
    <x v="783"/>
    <x v="790"/>
  </r>
  <r>
    <x v="791"/>
    <x v="11"/>
    <x v="3"/>
    <x v="2"/>
    <x v="56"/>
    <x v="0"/>
    <x v="24"/>
    <x v="5"/>
    <x v="5"/>
    <x v="89"/>
    <x v="791"/>
    <x v="784"/>
    <x v="791"/>
  </r>
  <r>
    <x v="792"/>
    <x v="12"/>
    <x v="0"/>
    <x v="5"/>
    <x v="57"/>
    <x v="0"/>
    <x v="107"/>
    <x v="0"/>
    <x v="0"/>
    <x v="154"/>
    <x v="792"/>
    <x v="785"/>
    <x v="792"/>
  </r>
  <r>
    <x v="793"/>
    <x v="13"/>
    <x v="5"/>
    <x v="1"/>
    <x v="4"/>
    <x v="0"/>
    <x v="82"/>
    <x v="1"/>
    <x v="1"/>
    <x v="36"/>
    <x v="793"/>
    <x v="786"/>
    <x v="793"/>
  </r>
  <r>
    <x v="794"/>
    <x v="14"/>
    <x v="1"/>
    <x v="5"/>
    <x v="58"/>
    <x v="0"/>
    <x v="319"/>
    <x v="2"/>
    <x v="2"/>
    <x v="42"/>
    <x v="794"/>
    <x v="787"/>
    <x v="794"/>
  </r>
  <r>
    <x v="795"/>
    <x v="15"/>
    <x v="5"/>
    <x v="0"/>
    <x v="59"/>
    <x v="0"/>
    <x v="376"/>
    <x v="3"/>
    <x v="3"/>
    <x v="94"/>
    <x v="795"/>
    <x v="788"/>
    <x v="795"/>
  </r>
  <r>
    <x v="796"/>
    <x v="16"/>
    <x v="2"/>
    <x v="6"/>
    <x v="60"/>
    <x v="0"/>
    <x v="296"/>
    <x v="4"/>
    <x v="4"/>
    <x v="246"/>
    <x v="796"/>
    <x v="789"/>
    <x v="796"/>
  </r>
  <r>
    <x v="797"/>
    <x v="17"/>
    <x v="6"/>
    <x v="2"/>
    <x v="0"/>
    <x v="0"/>
    <x v="318"/>
    <x v="5"/>
    <x v="5"/>
    <x v="153"/>
    <x v="797"/>
    <x v="790"/>
    <x v="797"/>
  </r>
  <r>
    <x v="798"/>
    <x v="18"/>
    <x v="0"/>
    <x v="6"/>
    <x v="61"/>
    <x v="0"/>
    <x v="315"/>
    <x v="0"/>
    <x v="0"/>
    <x v="2"/>
    <x v="798"/>
    <x v="791"/>
    <x v="798"/>
  </r>
  <r>
    <x v="799"/>
    <x v="19"/>
    <x v="6"/>
    <x v="1"/>
    <x v="62"/>
    <x v="0"/>
    <x v="267"/>
    <x v="1"/>
    <x v="1"/>
    <x v="14"/>
    <x v="799"/>
    <x v="792"/>
    <x v="799"/>
  </r>
  <r>
    <x v="800"/>
    <x v="20"/>
    <x v="1"/>
    <x v="7"/>
    <x v="63"/>
    <x v="0"/>
    <x v="186"/>
    <x v="2"/>
    <x v="2"/>
    <x v="6"/>
    <x v="800"/>
    <x v="793"/>
    <x v="800"/>
  </r>
  <r>
    <x v="801"/>
    <x v="21"/>
    <x v="7"/>
    <x v="0"/>
    <x v="64"/>
    <x v="0"/>
    <x v="63"/>
    <x v="3"/>
    <x v="3"/>
    <x v="36"/>
    <x v="801"/>
    <x v="794"/>
    <x v="801"/>
  </r>
  <r>
    <x v="802"/>
    <x v="22"/>
    <x v="0"/>
    <x v="7"/>
    <x v="65"/>
    <x v="0"/>
    <x v="287"/>
    <x v="4"/>
    <x v="4"/>
    <x v="241"/>
    <x v="802"/>
    <x v="795"/>
    <x v="802"/>
  </r>
  <r>
    <x v="803"/>
    <x v="23"/>
    <x v="7"/>
    <x v="1"/>
    <x v="5"/>
    <x v="0"/>
    <x v="377"/>
    <x v="5"/>
    <x v="5"/>
    <x v="66"/>
    <x v="803"/>
    <x v="796"/>
    <x v="803"/>
  </r>
  <r>
    <x v="804"/>
    <x v="24"/>
    <x v="1"/>
    <x v="8"/>
    <x v="66"/>
    <x v="0"/>
    <x v="253"/>
    <x v="0"/>
    <x v="0"/>
    <x v="134"/>
    <x v="804"/>
    <x v="797"/>
    <x v="804"/>
  </r>
  <r>
    <x v="805"/>
    <x v="25"/>
    <x v="8"/>
    <x v="0"/>
    <x v="67"/>
    <x v="0"/>
    <x v="378"/>
    <x v="1"/>
    <x v="1"/>
    <x v="143"/>
    <x v="805"/>
    <x v="798"/>
    <x v="805"/>
  </r>
  <r>
    <x v="806"/>
    <x v="26"/>
    <x v="2"/>
    <x v="5"/>
    <x v="68"/>
    <x v="0"/>
    <x v="358"/>
    <x v="2"/>
    <x v="2"/>
    <x v="19"/>
    <x v="806"/>
    <x v="799"/>
    <x v="806"/>
  </r>
  <r>
    <x v="807"/>
    <x v="27"/>
    <x v="5"/>
    <x v="2"/>
    <x v="69"/>
    <x v="0"/>
    <x v="138"/>
    <x v="3"/>
    <x v="3"/>
    <x v="87"/>
    <x v="807"/>
    <x v="800"/>
    <x v="807"/>
  </r>
  <r>
    <x v="808"/>
    <x v="28"/>
    <x v="4"/>
    <x v="1"/>
    <x v="70"/>
    <x v="0"/>
    <x v="356"/>
    <x v="4"/>
    <x v="4"/>
    <x v="222"/>
    <x v="808"/>
    <x v="801"/>
    <x v="808"/>
  </r>
  <r>
    <x v="809"/>
    <x v="29"/>
    <x v="0"/>
    <x v="4"/>
    <x v="71"/>
    <x v="0"/>
    <x v="372"/>
    <x v="5"/>
    <x v="5"/>
    <x v="61"/>
    <x v="809"/>
    <x v="565"/>
    <x v="809"/>
  </r>
  <r>
    <x v="810"/>
    <x v="0"/>
    <x v="0"/>
    <x v="0"/>
    <x v="72"/>
    <x v="0"/>
    <x v="172"/>
    <x v="0"/>
    <x v="0"/>
    <x v="6"/>
    <x v="810"/>
    <x v="802"/>
    <x v="810"/>
  </r>
  <r>
    <x v="811"/>
    <x v="1"/>
    <x v="1"/>
    <x v="1"/>
    <x v="73"/>
    <x v="0"/>
    <x v="373"/>
    <x v="1"/>
    <x v="1"/>
    <x v="69"/>
    <x v="811"/>
    <x v="803"/>
    <x v="811"/>
  </r>
  <r>
    <x v="812"/>
    <x v="2"/>
    <x v="1"/>
    <x v="2"/>
    <x v="74"/>
    <x v="0"/>
    <x v="18"/>
    <x v="2"/>
    <x v="2"/>
    <x v="182"/>
    <x v="812"/>
    <x v="804"/>
    <x v="812"/>
  </r>
  <r>
    <x v="813"/>
    <x v="3"/>
    <x v="2"/>
    <x v="0"/>
    <x v="75"/>
    <x v="0"/>
    <x v="98"/>
    <x v="3"/>
    <x v="3"/>
    <x v="47"/>
    <x v="813"/>
    <x v="805"/>
    <x v="813"/>
  </r>
  <r>
    <x v="814"/>
    <x v="4"/>
    <x v="0"/>
    <x v="2"/>
    <x v="76"/>
    <x v="0"/>
    <x v="2"/>
    <x v="4"/>
    <x v="4"/>
    <x v="220"/>
    <x v="814"/>
    <x v="806"/>
    <x v="814"/>
  </r>
  <r>
    <x v="815"/>
    <x v="5"/>
    <x v="2"/>
    <x v="1"/>
    <x v="77"/>
    <x v="0"/>
    <x v="379"/>
    <x v="5"/>
    <x v="5"/>
    <x v="39"/>
    <x v="815"/>
    <x v="304"/>
    <x v="815"/>
  </r>
  <r>
    <x v="816"/>
    <x v="6"/>
    <x v="0"/>
    <x v="3"/>
    <x v="78"/>
    <x v="0"/>
    <x v="118"/>
    <x v="0"/>
    <x v="0"/>
    <x v="134"/>
    <x v="816"/>
    <x v="807"/>
    <x v="816"/>
  </r>
  <r>
    <x v="817"/>
    <x v="7"/>
    <x v="3"/>
    <x v="1"/>
    <x v="79"/>
    <x v="0"/>
    <x v="254"/>
    <x v="1"/>
    <x v="1"/>
    <x v="103"/>
    <x v="817"/>
    <x v="808"/>
    <x v="817"/>
  </r>
  <r>
    <x v="818"/>
    <x v="8"/>
    <x v="1"/>
    <x v="4"/>
    <x v="80"/>
    <x v="0"/>
    <x v="380"/>
    <x v="2"/>
    <x v="2"/>
    <x v="107"/>
    <x v="818"/>
    <x v="809"/>
    <x v="818"/>
  </r>
  <r>
    <x v="819"/>
    <x v="9"/>
    <x v="4"/>
    <x v="0"/>
    <x v="81"/>
    <x v="0"/>
    <x v="381"/>
    <x v="3"/>
    <x v="3"/>
    <x v="157"/>
    <x v="819"/>
    <x v="810"/>
    <x v="819"/>
  </r>
  <r>
    <x v="820"/>
    <x v="10"/>
    <x v="2"/>
    <x v="3"/>
    <x v="82"/>
    <x v="0"/>
    <x v="337"/>
    <x v="4"/>
    <x v="4"/>
    <x v="65"/>
    <x v="820"/>
    <x v="811"/>
    <x v="820"/>
  </r>
  <r>
    <x v="821"/>
    <x v="11"/>
    <x v="3"/>
    <x v="2"/>
    <x v="15"/>
    <x v="3"/>
    <x v="382"/>
    <x v="5"/>
    <x v="5"/>
    <x v="153"/>
    <x v="821"/>
    <x v="812"/>
    <x v="821"/>
  </r>
  <r>
    <x v="822"/>
    <x v="12"/>
    <x v="0"/>
    <x v="5"/>
    <x v="83"/>
    <x v="3"/>
    <x v="183"/>
    <x v="0"/>
    <x v="0"/>
    <x v="81"/>
    <x v="822"/>
    <x v="813"/>
    <x v="822"/>
  </r>
  <r>
    <x v="823"/>
    <x v="13"/>
    <x v="5"/>
    <x v="1"/>
    <x v="84"/>
    <x v="3"/>
    <x v="23"/>
    <x v="1"/>
    <x v="1"/>
    <x v="3"/>
    <x v="823"/>
    <x v="814"/>
    <x v="823"/>
  </r>
  <r>
    <x v="824"/>
    <x v="14"/>
    <x v="1"/>
    <x v="5"/>
    <x v="85"/>
    <x v="3"/>
    <x v="260"/>
    <x v="2"/>
    <x v="2"/>
    <x v="3"/>
    <x v="824"/>
    <x v="815"/>
    <x v="824"/>
  </r>
  <r>
    <x v="825"/>
    <x v="15"/>
    <x v="5"/>
    <x v="0"/>
    <x v="86"/>
    <x v="3"/>
    <x v="383"/>
    <x v="3"/>
    <x v="3"/>
    <x v="20"/>
    <x v="825"/>
    <x v="816"/>
    <x v="825"/>
  </r>
  <r>
    <x v="826"/>
    <x v="16"/>
    <x v="2"/>
    <x v="6"/>
    <x v="87"/>
    <x v="3"/>
    <x v="384"/>
    <x v="4"/>
    <x v="4"/>
    <x v="247"/>
    <x v="826"/>
    <x v="817"/>
    <x v="826"/>
  </r>
  <r>
    <x v="827"/>
    <x v="17"/>
    <x v="6"/>
    <x v="2"/>
    <x v="88"/>
    <x v="3"/>
    <x v="107"/>
    <x v="5"/>
    <x v="5"/>
    <x v="17"/>
    <x v="827"/>
    <x v="818"/>
    <x v="827"/>
  </r>
  <r>
    <x v="828"/>
    <x v="18"/>
    <x v="0"/>
    <x v="6"/>
    <x v="3"/>
    <x v="3"/>
    <x v="286"/>
    <x v="0"/>
    <x v="0"/>
    <x v="142"/>
    <x v="828"/>
    <x v="819"/>
    <x v="828"/>
  </r>
  <r>
    <x v="829"/>
    <x v="19"/>
    <x v="6"/>
    <x v="1"/>
    <x v="89"/>
    <x v="3"/>
    <x v="91"/>
    <x v="1"/>
    <x v="1"/>
    <x v="128"/>
    <x v="829"/>
    <x v="820"/>
    <x v="829"/>
  </r>
  <r>
    <x v="830"/>
    <x v="20"/>
    <x v="1"/>
    <x v="7"/>
    <x v="90"/>
    <x v="3"/>
    <x v="364"/>
    <x v="2"/>
    <x v="2"/>
    <x v="30"/>
    <x v="830"/>
    <x v="821"/>
    <x v="830"/>
  </r>
  <r>
    <x v="831"/>
    <x v="21"/>
    <x v="7"/>
    <x v="0"/>
    <x v="91"/>
    <x v="3"/>
    <x v="295"/>
    <x v="3"/>
    <x v="3"/>
    <x v="118"/>
    <x v="831"/>
    <x v="822"/>
    <x v="831"/>
  </r>
  <r>
    <x v="832"/>
    <x v="22"/>
    <x v="0"/>
    <x v="7"/>
    <x v="92"/>
    <x v="3"/>
    <x v="330"/>
    <x v="4"/>
    <x v="4"/>
    <x v="101"/>
    <x v="832"/>
    <x v="823"/>
    <x v="832"/>
  </r>
  <r>
    <x v="833"/>
    <x v="23"/>
    <x v="7"/>
    <x v="1"/>
    <x v="93"/>
    <x v="3"/>
    <x v="70"/>
    <x v="5"/>
    <x v="5"/>
    <x v="11"/>
    <x v="833"/>
    <x v="824"/>
    <x v="833"/>
  </r>
  <r>
    <x v="834"/>
    <x v="24"/>
    <x v="1"/>
    <x v="8"/>
    <x v="94"/>
    <x v="3"/>
    <x v="107"/>
    <x v="0"/>
    <x v="0"/>
    <x v="8"/>
    <x v="834"/>
    <x v="825"/>
    <x v="834"/>
  </r>
  <r>
    <x v="835"/>
    <x v="25"/>
    <x v="8"/>
    <x v="0"/>
    <x v="95"/>
    <x v="3"/>
    <x v="322"/>
    <x v="1"/>
    <x v="1"/>
    <x v="107"/>
    <x v="835"/>
    <x v="826"/>
    <x v="835"/>
  </r>
  <r>
    <x v="836"/>
    <x v="26"/>
    <x v="2"/>
    <x v="5"/>
    <x v="96"/>
    <x v="3"/>
    <x v="160"/>
    <x v="2"/>
    <x v="2"/>
    <x v="75"/>
    <x v="836"/>
    <x v="827"/>
    <x v="836"/>
  </r>
  <r>
    <x v="837"/>
    <x v="27"/>
    <x v="5"/>
    <x v="2"/>
    <x v="97"/>
    <x v="3"/>
    <x v="117"/>
    <x v="3"/>
    <x v="3"/>
    <x v="0"/>
    <x v="837"/>
    <x v="828"/>
    <x v="837"/>
  </r>
  <r>
    <x v="838"/>
    <x v="28"/>
    <x v="4"/>
    <x v="1"/>
    <x v="98"/>
    <x v="3"/>
    <x v="303"/>
    <x v="4"/>
    <x v="4"/>
    <x v="160"/>
    <x v="838"/>
    <x v="829"/>
    <x v="838"/>
  </r>
  <r>
    <x v="839"/>
    <x v="29"/>
    <x v="0"/>
    <x v="4"/>
    <x v="99"/>
    <x v="3"/>
    <x v="385"/>
    <x v="5"/>
    <x v="5"/>
    <x v="114"/>
    <x v="839"/>
    <x v="830"/>
    <x v="839"/>
  </r>
  <r>
    <x v="840"/>
    <x v="0"/>
    <x v="0"/>
    <x v="0"/>
    <x v="10"/>
    <x v="3"/>
    <x v="167"/>
    <x v="0"/>
    <x v="0"/>
    <x v="124"/>
    <x v="840"/>
    <x v="831"/>
    <x v="840"/>
  </r>
  <r>
    <x v="841"/>
    <x v="1"/>
    <x v="1"/>
    <x v="1"/>
    <x v="100"/>
    <x v="3"/>
    <x v="307"/>
    <x v="1"/>
    <x v="1"/>
    <x v="1"/>
    <x v="841"/>
    <x v="832"/>
    <x v="841"/>
  </r>
  <r>
    <x v="842"/>
    <x v="2"/>
    <x v="1"/>
    <x v="2"/>
    <x v="101"/>
    <x v="3"/>
    <x v="386"/>
    <x v="2"/>
    <x v="2"/>
    <x v="13"/>
    <x v="842"/>
    <x v="833"/>
    <x v="842"/>
  </r>
  <r>
    <x v="843"/>
    <x v="3"/>
    <x v="2"/>
    <x v="0"/>
    <x v="102"/>
    <x v="3"/>
    <x v="387"/>
    <x v="3"/>
    <x v="3"/>
    <x v="248"/>
    <x v="843"/>
    <x v="834"/>
    <x v="843"/>
  </r>
  <r>
    <x v="844"/>
    <x v="4"/>
    <x v="0"/>
    <x v="2"/>
    <x v="103"/>
    <x v="3"/>
    <x v="136"/>
    <x v="4"/>
    <x v="4"/>
    <x v="249"/>
    <x v="844"/>
    <x v="835"/>
    <x v="844"/>
  </r>
  <r>
    <x v="845"/>
    <x v="5"/>
    <x v="2"/>
    <x v="1"/>
    <x v="104"/>
    <x v="3"/>
    <x v="361"/>
    <x v="5"/>
    <x v="5"/>
    <x v="202"/>
    <x v="845"/>
    <x v="836"/>
    <x v="845"/>
  </r>
  <r>
    <x v="846"/>
    <x v="6"/>
    <x v="0"/>
    <x v="3"/>
    <x v="105"/>
    <x v="3"/>
    <x v="241"/>
    <x v="0"/>
    <x v="0"/>
    <x v="24"/>
    <x v="846"/>
    <x v="837"/>
    <x v="846"/>
  </r>
  <r>
    <x v="847"/>
    <x v="7"/>
    <x v="3"/>
    <x v="1"/>
    <x v="106"/>
    <x v="3"/>
    <x v="252"/>
    <x v="1"/>
    <x v="1"/>
    <x v="115"/>
    <x v="847"/>
    <x v="838"/>
    <x v="847"/>
  </r>
  <r>
    <x v="848"/>
    <x v="8"/>
    <x v="1"/>
    <x v="4"/>
    <x v="107"/>
    <x v="3"/>
    <x v="239"/>
    <x v="2"/>
    <x v="2"/>
    <x v="182"/>
    <x v="848"/>
    <x v="839"/>
    <x v="848"/>
  </r>
  <r>
    <x v="849"/>
    <x v="9"/>
    <x v="4"/>
    <x v="0"/>
    <x v="108"/>
    <x v="3"/>
    <x v="388"/>
    <x v="3"/>
    <x v="3"/>
    <x v="31"/>
    <x v="849"/>
    <x v="840"/>
    <x v="849"/>
  </r>
  <r>
    <x v="850"/>
    <x v="10"/>
    <x v="2"/>
    <x v="3"/>
    <x v="109"/>
    <x v="3"/>
    <x v="389"/>
    <x v="4"/>
    <x v="4"/>
    <x v="250"/>
    <x v="850"/>
    <x v="841"/>
    <x v="850"/>
  </r>
  <r>
    <x v="851"/>
    <x v="11"/>
    <x v="3"/>
    <x v="2"/>
    <x v="2"/>
    <x v="2"/>
    <x v="377"/>
    <x v="5"/>
    <x v="5"/>
    <x v="44"/>
    <x v="851"/>
    <x v="842"/>
    <x v="851"/>
  </r>
  <r>
    <x v="852"/>
    <x v="12"/>
    <x v="0"/>
    <x v="5"/>
    <x v="110"/>
    <x v="2"/>
    <x v="325"/>
    <x v="0"/>
    <x v="0"/>
    <x v="76"/>
    <x v="852"/>
    <x v="843"/>
    <x v="852"/>
  </r>
  <r>
    <x v="853"/>
    <x v="13"/>
    <x v="5"/>
    <x v="1"/>
    <x v="111"/>
    <x v="2"/>
    <x v="254"/>
    <x v="1"/>
    <x v="1"/>
    <x v="3"/>
    <x v="853"/>
    <x v="844"/>
    <x v="853"/>
  </r>
  <r>
    <x v="854"/>
    <x v="14"/>
    <x v="1"/>
    <x v="5"/>
    <x v="112"/>
    <x v="2"/>
    <x v="390"/>
    <x v="2"/>
    <x v="2"/>
    <x v="99"/>
    <x v="854"/>
    <x v="845"/>
    <x v="854"/>
  </r>
  <r>
    <x v="855"/>
    <x v="15"/>
    <x v="5"/>
    <x v="0"/>
    <x v="113"/>
    <x v="2"/>
    <x v="78"/>
    <x v="3"/>
    <x v="3"/>
    <x v="55"/>
    <x v="855"/>
    <x v="846"/>
    <x v="855"/>
  </r>
  <r>
    <x v="856"/>
    <x v="16"/>
    <x v="2"/>
    <x v="6"/>
    <x v="114"/>
    <x v="2"/>
    <x v="391"/>
    <x v="4"/>
    <x v="4"/>
    <x v="78"/>
    <x v="856"/>
    <x v="847"/>
    <x v="856"/>
  </r>
  <r>
    <x v="857"/>
    <x v="17"/>
    <x v="6"/>
    <x v="2"/>
    <x v="23"/>
    <x v="2"/>
    <x v="28"/>
    <x v="5"/>
    <x v="5"/>
    <x v="153"/>
    <x v="857"/>
    <x v="358"/>
    <x v="857"/>
  </r>
  <r>
    <x v="858"/>
    <x v="18"/>
    <x v="0"/>
    <x v="6"/>
    <x v="115"/>
    <x v="2"/>
    <x v="105"/>
    <x v="0"/>
    <x v="0"/>
    <x v="103"/>
    <x v="858"/>
    <x v="848"/>
    <x v="858"/>
  </r>
  <r>
    <x v="859"/>
    <x v="19"/>
    <x v="6"/>
    <x v="1"/>
    <x v="116"/>
    <x v="2"/>
    <x v="123"/>
    <x v="1"/>
    <x v="1"/>
    <x v="20"/>
    <x v="859"/>
    <x v="849"/>
    <x v="859"/>
  </r>
  <r>
    <x v="860"/>
    <x v="20"/>
    <x v="1"/>
    <x v="7"/>
    <x v="117"/>
    <x v="2"/>
    <x v="100"/>
    <x v="2"/>
    <x v="2"/>
    <x v="103"/>
    <x v="860"/>
    <x v="850"/>
    <x v="860"/>
  </r>
  <r>
    <x v="861"/>
    <x v="21"/>
    <x v="7"/>
    <x v="0"/>
    <x v="24"/>
    <x v="2"/>
    <x v="208"/>
    <x v="3"/>
    <x v="3"/>
    <x v="175"/>
    <x v="861"/>
    <x v="851"/>
    <x v="861"/>
  </r>
  <r>
    <x v="862"/>
    <x v="22"/>
    <x v="0"/>
    <x v="7"/>
    <x v="118"/>
    <x v="2"/>
    <x v="185"/>
    <x v="4"/>
    <x v="4"/>
    <x v="26"/>
    <x v="862"/>
    <x v="852"/>
    <x v="862"/>
  </r>
  <r>
    <x v="863"/>
    <x v="23"/>
    <x v="7"/>
    <x v="1"/>
    <x v="119"/>
    <x v="2"/>
    <x v="209"/>
    <x v="5"/>
    <x v="5"/>
    <x v="202"/>
    <x v="863"/>
    <x v="853"/>
    <x v="863"/>
  </r>
  <r>
    <x v="864"/>
    <x v="24"/>
    <x v="1"/>
    <x v="8"/>
    <x v="120"/>
    <x v="2"/>
    <x v="392"/>
    <x v="0"/>
    <x v="0"/>
    <x v="193"/>
    <x v="864"/>
    <x v="854"/>
    <x v="864"/>
  </r>
  <r>
    <x v="865"/>
    <x v="25"/>
    <x v="8"/>
    <x v="0"/>
    <x v="121"/>
    <x v="2"/>
    <x v="393"/>
    <x v="1"/>
    <x v="1"/>
    <x v="203"/>
    <x v="865"/>
    <x v="855"/>
    <x v="865"/>
  </r>
  <r>
    <x v="866"/>
    <x v="26"/>
    <x v="2"/>
    <x v="5"/>
    <x v="122"/>
    <x v="2"/>
    <x v="279"/>
    <x v="2"/>
    <x v="2"/>
    <x v="41"/>
    <x v="866"/>
    <x v="856"/>
    <x v="866"/>
  </r>
  <r>
    <x v="867"/>
    <x v="27"/>
    <x v="5"/>
    <x v="2"/>
    <x v="123"/>
    <x v="2"/>
    <x v="394"/>
    <x v="3"/>
    <x v="3"/>
    <x v="248"/>
    <x v="867"/>
    <x v="857"/>
    <x v="867"/>
  </r>
  <r>
    <x v="868"/>
    <x v="28"/>
    <x v="4"/>
    <x v="1"/>
    <x v="11"/>
    <x v="2"/>
    <x v="273"/>
    <x v="4"/>
    <x v="4"/>
    <x v="56"/>
    <x v="868"/>
    <x v="858"/>
    <x v="868"/>
  </r>
  <r>
    <x v="869"/>
    <x v="29"/>
    <x v="0"/>
    <x v="4"/>
    <x v="6"/>
    <x v="2"/>
    <x v="60"/>
    <x v="5"/>
    <x v="5"/>
    <x v="110"/>
    <x v="869"/>
    <x v="859"/>
    <x v="869"/>
  </r>
  <r>
    <x v="870"/>
    <x v="0"/>
    <x v="0"/>
    <x v="0"/>
    <x v="124"/>
    <x v="2"/>
    <x v="294"/>
    <x v="0"/>
    <x v="0"/>
    <x v="28"/>
    <x v="870"/>
    <x v="860"/>
    <x v="870"/>
  </r>
  <r>
    <x v="871"/>
    <x v="1"/>
    <x v="1"/>
    <x v="1"/>
    <x v="125"/>
    <x v="2"/>
    <x v="353"/>
    <x v="1"/>
    <x v="1"/>
    <x v="0"/>
    <x v="871"/>
    <x v="861"/>
    <x v="871"/>
  </r>
  <r>
    <x v="872"/>
    <x v="2"/>
    <x v="1"/>
    <x v="2"/>
    <x v="126"/>
    <x v="2"/>
    <x v="395"/>
    <x v="2"/>
    <x v="2"/>
    <x v="47"/>
    <x v="872"/>
    <x v="862"/>
    <x v="872"/>
  </r>
  <r>
    <x v="873"/>
    <x v="3"/>
    <x v="2"/>
    <x v="0"/>
    <x v="127"/>
    <x v="2"/>
    <x v="245"/>
    <x v="3"/>
    <x v="3"/>
    <x v="36"/>
    <x v="873"/>
    <x v="863"/>
    <x v="873"/>
  </r>
  <r>
    <x v="874"/>
    <x v="4"/>
    <x v="0"/>
    <x v="2"/>
    <x v="128"/>
    <x v="2"/>
    <x v="137"/>
    <x v="4"/>
    <x v="4"/>
    <x v="251"/>
    <x v="874"/>
    <x v="864"/>
    <x v="874"/>
  </r>
  <r>
    <x v="875"/>
    <x v="5"/>
    <x v="2"/>
    <x v="1"/>
    <x v="129"/>
    <x v="2"/>
    <x v="396"/>
    <x v="5"/>
    <x v="5"/>
    <x v="202"/>
    <x v="875"/>
    <x v="865"/>
    <x v="875"/>
  </r>
  <r>
    <x v="876"/>
    <x v="6"/>
    <x v="0"/>
    <x v="3"/>
    <x v="130"/>
    <x v="2"/>
    <x v="215"/>
    <x v="0"/>
    <x v="0"/>
    <x v="76"/>
    <x v="876"/>
    <x v="866"/>
    <x v="876"/>
  </r>
  <r>
    <x v="877"/>
    <x v="7"/>
    <x v="3"/>
    <x v="1"/>
    <x v="14"/>
    <x v="2"/>
    <x v="278"/>
    <x v="1"/>
    <x v="1"/>
    <x v="20"/>
    <x v="877"/>
    <x v="867"/>
    <x v="877"/>
  </r>
  <r>
    <x v="878"/>
    <x v="8"/>
    <x v="1"/>
    <x v="4"/>
    <x v="20"/>
    <x v="2"/>
    <x v="397"/>
    <x v="2"/>
    <x v="2"/>
    <x v="72"/>
    <x v="878"/>
    <x v="868"/>
    <x v="878"/>
  </r>
  <r>
    <x v="879"/>
    <x v="9"/>
    <x v="4"/>
    <x v="0"/>
    <x v="131"/>
    <x v="2"/>
    <x v="398"/>
    <x v="3"/>
    <x v="3"/>
    <x v="13"/>
    <x v="879"/>
    <x v="869"/>
    <x v="879"/>
  </r>
  <r>
    <x v="880"/>
    <x v="10"/>
    <x v="2"/>
    <x v="3"/>
    <x v="132"/>
    <x v="2"/>
    <x v="399"/>
    <x v="4"/>
    <x v="4"/>
    <x v="252"/>
    <x v="880"/>
    <x v="870"/>
    <x v="880"/>
  </r>
  <r>
    <x v="881"/>
    <x v="11"/>
    <x v="3"/>
    <x v="2"/>
    <x v="133"/>
    <x v="2"/>
    <x v="5"/>
    <x v="5"/>
    <x v="5"/>
    <x v="11"/>
    <x v="881"/>
    <x v="871"/>
    <x v="881"/>
  </r>
  <r>
    <x v="882"/>
    <x v="12"/>
    <x v="0"/>
    <x v="5"/>
    <x v="134"/>
    <x v="1"/>
    <x v="52"/>
    <x v="0"/>
    <x v="0"/>
    <x v="24"/>
    <x v="882"/>
    <x v="872"/>
    <x v="882"/>
  </r>
  <r>
    <x v="883"/>
    <x v="13"/>
    <x v="5"/>
    <x v="1"/>
    <x v="1"/>
    <x v="1"/>
    <x v="12"/>
    <x v="1"/>
    <x v="1"/>
    <x v="45"/>
    <x v="883"/>
    <x v="873"/>
    <x v="883"/>
  </r>
  <r>
    <x v="884"/>
    <x v="14"/>
    <x v="1"/>
    <x v="5"/>
    <x v="135"/>
    <x v="1"/>
    <x v="71"/>
    <x v="2"/>
    <x v="2"/>
    <x v="29"/>
    <x v="884"/>
    <x v="874"/>
    <x v="884"/>
  </r>
  <r>
    <x v="885"/>
    <x v="15"/>
    <x v="5"/>
    <x v="0"/>
    <x v="136"/>
    <x v="1"/>
    <x v="236"/>
    <x v="3"/>
    <x v="3"/>
    <x v="100"/>
    <x v="885"/>
    <x v="875"/>
    <x v="885"/>
  </r>
  <r>
    <x v="886"/>
    <x v="16"/>
    <x v="2"/>
    <x v="6"/>
    <x v="137"/>
    <x v="1"/>
    <x v="225"/>
    <x v="4"/>
    <x v="4"/>
    <x v="253"/>
    <x v="886"/>
    <x v="876"/>
    <x v="886"/>
  </r>
  <r>
    <x v="887"/>
    <x v="17"/>
    <x v="6"/>
    <x v="2"/>
    <x v="138"/>
    <x v="1"/>
    <x v="288"/>
    <x v="5"/>
    <x v="5"/>
    <x v="22"/>
    <x v="887"/>
    <x v="877"/>
    <x v="887"/>
  </r>
  <r>
    <x v="888"/>
    <x v="18"/>
    <x v="0"/>
    <x v="6"/>
    <x v="139"/>
    <x v="1"/>
    <x v="112"/>
    <x v="0"/>
    <x v="0"/>
    <x v="122"/>
    <x v="888"/>
    <x v="878"/>
    <x v="888"/>
  </r>
  <r>
    <x v="889"/>
    <x v="19"/>
    <x v="6"/>
    <x v="1"/>
    <x v="21"/>
    <x v="1"/>
    <x v="302"/>
    <x v="1"/>
    <x v="1"/>
    <x v="23"/>
    <x v="889"/>
    <x v="879"/>
    <x v="889"/>
  </r>
  <r>
    <x v="890"/>
    <x v="20"/>
    <x v="1"/>
    <x v="7"/>
    <x v="140"/>
    <x v="1"/>
    <x v="368"/>
    <x v="2"/>
    <x v="2"/>
    <x v="8"/>
    <x v="890"/>
    <x v="880"/>
    <x v="890"/>
  </r>
  <r>
    <x v="891"/>
    <x v="21"/>
    <x v="7"/>
    <x v="0"/>
    <x v="141"/>
    <x v="1"/>
    <x v="138"/>
    <x v="3"/>
    <x v="3"/>
    <x v="67"/>
    <x v="891"/>
    <x v="881"/>
    <x v="891"/>
  </r>
  <r>
    <x v="892"/>
    <x v="22"/>
    <x v="0"/>
    <x v="7"/>
    <x v="142"/>
    <x v="1"/>
    <x v="374"/>
    <x v="4"/>
    <x v="4"/>
    <x v="254"/>
    <x v="892"/>
    <x v="882"/>
    <x v="892"/>
  </r>
  <r>
    <x v="893"/>
    <x v="23"/>
    <x v="7"/>
    <x v="1"/>
    <x v="143"/>
    <x v="1"/>
    <x v="309"/>
    <x v="5"/>
    <x v="5"/>
    <x v="114"/>
    <x v="893"/>
    <x v="883"/>
    <x v="893"/>
  </r>
  <r>
    <x v="894"/>
    <x v="24"/>
    <x v="1"/>
    <x v="8"/>
    <x v="144"/>
    <x v="1"/>
    <x v="35"/>
    <x v="0"/>
    <x v="0"/>
    <x v="137"/>
    <x v="894"/>
    <x v="884"/>
    <x v="894"/>
  </r>
  <r>
    <x v="895"/>
    <x v="25"/>
    <x v="8"/>
    <x v="0"/>
    <x v="17"/>
    <x v="1"/>
    <x v="400"/>
    <x v="1"/>
    <x v="1"/>
    <x v="15"/>
    <x v="895"/>
    <x v="885"/>
    <x v="895"/>
  </r>
  <r>
    <x v="896"/>
    <x v="26"/>
    <x v="2"/>
    <x v="5"/>
    <x v="145"/>
    <x v="1"/>
    <x v="241"/>
    <x v="2"/>
    <x v="2"/>
    <x v="120"/>
    <x v="896"/>
    <x v="886"/>
    <x v="896"/>
  </r>
  <r>
    <x v="897"/>
    <x v="27"/>
    <x v="5"/>
    <x v="2"/>
    <x v="146"/>
    <x v="1"/>
    <x v="401"/>
    <x v="3"/>
    <x v="3"/>
    <x v="139"/>
    <x v="897"/>
    <x v="887"/>
    <x v="897"/>
  </r>
  <r>
    <x v="898"/>
    <x v="28"/>
    <x v="4"/>
    <x v="1"/>
    <x v="147"/>
    <x v="1"/>
    <x v="402"/>
    <x v="4"/>
    <x v="4"/>
    <x v="78"/>
    <x v="898"/>
    <x v="888"/>
    <x v="898"/>
  </r>
  <r>
    <x v="899"/>
    <x v="29"/>
    <x v="0"/>
    <x v="4"/>
    <x v="148"/>
    <x v="1"/>
    <x v="385"/>
    <x v="5"/>
    <x v="5"/>
    <x v="71"/>
    <x v="899"/>
    <x v="889"/>
    <x v="899"/>
  </r>
  <r>
    <x v="900"/>
    <x v="0"/>
    <x v="0"/>
    <x v="0"/>
    <x v="149"/>
    <x v="1"/>
    <x v="294"/>
    <x v="0"/>
    <x v="0"/>
    <x v="7"/>
    <x v="900"/>
    <x v="890"/>
    <x v="900"/>
  </r>
  <r>
    <x v="901"/>
    <x v="1"/>
    <x v="1"/>
    <x v="1"/>
    <x v="150"/>
    <x v="1"/>
    <x v="119"/>
    <x v="1"/>
    <x v="1"/>
    <x v="35"/>
    <x v="901"/>
    <x v="891"/>
    <x v="901"/>
  </r>
  <r>
    <x v="902"/>
    <x v="2"/>
    <x v="1"/>
    <x v="2"/>
    <x v="151"/>
    <x v="1"/>
    <x v="17"/>
    <x v="2"/>
    <x v="2"/>
    <x v="42"/>
    <x v="902"/>
    <x v="892"/>
    <x v="902"/>
  </r>
  <r>
    <x v="903"/>
    <x v="3"/>
    <x v="2"/>
    <x v="0"/>
    <x v="152"/>
    <x v="1"/>
    <x v="374"/>
    <x v="3"/>
    <x v="3"/>
    <x v="212"/>
    <x v="903"/>
    <x v="893"/>
    <x v="903"/>
  </r>
  <r>
    <x v="904"/>
    <x v="4"/>
    <x v="0"/>
    <x v="2"/>
    <x v="153"/>
    <x v="1"/>
    <x v="403"/>
    <x v="4"/>
    <x v="4"/>
    <x v="83"/>
    <x v="904"/>
    <x v="894"/>
    <x v="904"/>
  </r>
  <r>
    <x v="905"/>
    <x v="5"/>
    <x v="2"/>
    <x v="1"/>
    <x v="7"/>
    <x v="1"/>
    <x v="326"/>
    <x v="5"/>
    <x v="5"/>
    <x v="119"/>
    <x v="905"/>
    <x v="895"/>
    <x v="905"/>
  </r>
  <r>
    <x v="906"/>
    <x v="6"/>
    <x v="0"/>
    <x v="3"/>
    <x v="25"/>
    <x v="1"/>
    <x v="164"/>
    <x v="0"/>
    <x v="0"/>
    <x v="20"/>
    <x v="906"/>
    <x v="896"/>
    <x v="906"/>
  </r>
  <r>
    <x v="907"/>
    <x v="7"/>
    <x v="3"/>
    <x v="1"/>
    <x v="12"/>
    <x v="1"/>
    <x v="205"/>
    <x v="1"/>
    <x v="1"/>
    <x v="36"/>
    <x v="907"/>
    <x v="897"/>
    <x v="907"/>
  </r>
  <r>
    <x v="908"/>
    <x v="8"/>
    <x v="1"/>
    <x v="4"/>
    <x v="154"/>
    <x v="1"/>
    <x v="404"/>
    <x v="2"/>
    <x v="2"/>
    <x v="2"/>
    <x v="908"/>
    <x v="898"/>
    <x v="908"/>
  </r>
  <r>
    <x v="909"/>
    <x v="9"/>
    <x v="4"/>
    <x v="0"/>
    <x v="155"/>
    <x v="1"/>
    <x v="325"/>
    <x v="3"/>
    <x v="3"/>
    <x v="224"/>
    <x v="909"/>
    <x v="899"/>
    <x v="909"/>
  </r>
  <r>
    <x v="910"/>
    <x v="10"/>
    <x v="2"/>
    <x v="3"/>
    <x v="156"/>
    <x v="1"/>
    <x v="180"/>
    <x v="4"/>
    <x v="4"/>
    <x v="207"/>
    <x v="910"/>
    <x v="900"/>
    <x v="910"/>
  </r>
  <r>
    <x v="911"/>
    <x v="11"/>
    <x v="3"/>
    <x v="2"/>
    <x v="157"/>
    <x v="1"/>
    <x v="99"/>
    <x v="5"/>
    <x v="5"/>
    <x v="114"/>
    <x v="911"/>
    <x v="901"/>
    <x v="911"/>
  </r>
  <r>
    <x v="912"/>
    <x v="12"/>
    <x v="0"/>
    <x v="5"/>
    <x v="158"/>
    <x v="6"/>
    <x v="227"/>
    <x v="0"/>
    <x v="0"/>
    <x v="90"/>
    <x v="912"/>
    <x v="902"/>
    <x v="912"/>
  </r>
  <r>
    <x v="913"/>
    <x v="13"/>
    <x v="5"/>
    <x v="1"/>
    <x v="159"/>
    <x v="6"/>
    <x v="380"/>
    <x v="1"/>
    <x v="1"/>
    <x v="29"/>
    <x v="913"/>
    <x v="903"/>
    <x v="913"/>
  </r>
  <r>
    <x v="914"/>
    <x v="14"/>
    <x v="1"/>
    <x v="5"/>
    <x v="160"/>
    <x v="6"/>
    <x v="405"/>
    <x v="2"/>
    <x v="2"/>
    <x v="45"/>
    <x v="914"/>
    <x v="904"/>
    <x v="914"/>
  </r>
  <r>
    <x v="915"/>
    <x v="15"/>
    <x v="5"/>
    <x v="0"/>
    <x v="161"/>
    <x v="6"/>
    <x v="127"/>
    <x v="3"/>
    <x v="3"/>
    <x v="145"/>
    <x v="915"/>
    <x v="905"/>
    <x v="915"/>
  </r>
  <r>
    <x v="916"/>
    <x v="16"/>
    <x v="2"/>
    <x v="6"/>
    <x v="162"/>
    <x v="6"/>
    <x v="199"/>
    <x v="4"/>
    <x v="4"/>
    <x v="205"/>
    <x v="916"/>
    <x v="906"/>
    <x v="916"/>
  </r>
  <r>
    <x v="917"/>
    <x v="17"/>
    <x v="6"/>
    <x v="2"/>
    <x v="163"/>
    <x v="6"/>
    <x v="72"/>
    <x v="5"/>
    <x v="5"/>
    <x v="202"/>
    <x v="917"/>
    <x v="907"/>
    <x v="917"/>
  </r>
  <r>
    <x v="918"/>
    <x v="18"/>
    <x v="0"/>
    <x v="6"/>
    <x v="164"/>
    <x v="6"/>
    <x v="260"/>
    <x v="0"/>
    <x v="0"/>
    <x v="186"/>
    <x v="918"/>
    <x v="908"/>
    <x v="918"/>
  </r>
  <r>
    <x v="919"/>
    <x v="19"/>
    <x v="6"/>
    <x v="1"/>
    <x v="165"/>
    <x v="6"/>
    <x v="406"/>
    <x v="1"/>
    <x v="1"/>
    <x v="58"/>
    <x v="919"/>
    <x v="909"/>
    <x v="919"/>
  </r>
  <r>
    <x v="920"/>
    <x v="20"/>
    <x v="1"/>
    <x v="7"/>
    <x v="166"/>
    <x v="6"/>
    <x v="290"/>
    <x v="2"/>
    <x v="2"/>
    <x v="143"/>
    <x v="920"/>
    <x v="910"/>
    <x v="920"/>
  </r>
  <r>
    <x v="921"/>
    <x v="21"/>
    <x v="7"/>
    <x v="0"/>
    <x v="167"/>
    <x v="6"/>
    <x v="199"/>
    <x v="3"/>
    <x v="3"/>
    <x v="55"/>
    <x v="921"/>
    <x v="911"/>
    <x v="921"/>
  </r>
  <r>
    <x v="922"/>
    <x v="22"/>
    <x v="0"/>
    <x v="7"/>
    <x v="168"/>
    <x v="6"/>
    <x v="384"/>
    <x v="4"/>
    <x v="4"/>
    <x v="210"/>
    <x v="922"/>
    <x v="912"/>
    <x v="922"/>
  </r>
  <r>
    <x v="923"/>
    <x v="23"/>
    <x v="7"/>
    <x v="1"/>
    <x v="169"/>
    <x v="6"/>
    <x v="359"/>
    <x v="5"/>
    <x v="5"/>
    <x v="44"/>
    <x v="923"/>
    <x v="913"/>
    <x v="923"/>
  </r>
  <r>
    <x v="924"/>
    <x v="24"/>
    <x v="1"/>
    <x v="8"/>
    <x v="170"/>
    <x v="6"/>
    <x v="368"/>
    <x v="0"/>
    <x v="0"/>
    <x v="29"/>
    <x v="924"/>
    <x v="914"/>
    <x v="924"/>
  </r>
  <r>
    <x v="925"/>
    <x v="25"/>
    <x v="8"/>
    <x v="0"/>
    <x v="171"/>
    <x v="6"/>
    <x v="123"/>
    <x v="1"/>
    <x v="1"/>
    <x v="50"/>
    <x v="925"/>
    <x v="915"/>
    <x v="925"/>
  </r>
  <r>
    <x v="926"/>
    <x v="26"/>
    <x v="2"/>
    <x v="5"/>
    <x v="172"/>
    <x v="6"/>
    <x v="316"/>
    <x v="2"/>
    <x v="2"/>
    <x v="30"/>
    <x v="926"/>
    <x v="916"/>
    <x v="926"/>
  </r>
  <r>
    <x v="927"/>
    <x v="27"/>
    <x v="5"/>
    <x v="2"/>
    <x v="173"/>
    <x v="6"/>
    <x v="180"/>
    <x v="3"/>
    <x v="3"/>
    <x v="126"/>
    <x v="927"/>
    <x v="917"/>
    <x v="927"/>
  </r>
  <r>
    <x v="928"/>
    <x v="28"/>
    <x v="4"/>
    <x v="1"/>
    <x v="174"/>
    <x v="6"/>
    <x v="387"/>
    <x v="4"/>
    <x v="4"/>
    <x v="243"/>
    <x v="928"/>
    <x v="918"/>
    <x v="928"/>
  </r>
  <r>
    <x v="929"/>
    <x v="29"/>
    <x v="0"/>
    <x v="4"/>
    <x v="175"/>
    <x v="6"/>
    <x v="113"/>
    <x v="5"/>
    <x v="5"/>
    <x v="33"/>
    <x v="929"/>
    <x v="919"/>
    <x v="929"/>
  </r>
  <r>
    <x v="930"/>
    <x v="0"/>
    <x v="0"/>
    <x v="0"/>
    <x v="176"/>
    <x v="6"/>
    <x v="278"/>
    <x v="0"/>
    <x v="0"/>
    <x v="47"/>
    <x v="930"/>
    <x v="920"/>
    <x v="930"/>
  </r>
  <r>
    <x v="931"/>
    <x v="1"/>
    <x v="1"/>
    <x v="1"/>
    <x v="177"/>
    <x v="6"/>
    <x v="100"/>
    <x v="1"/>
    <x v="1"/>
    <x v="45"/>
    <x v="931"/>
    <x v="921"/>
    <x v="931"/>
  </r>
  <r>
    <x v="932"/>
    <x v="2"/>
    <x v="1"/>
    <x v="2"/>
    <x v="178"/>
    <x v="6"/>
    <x v="372"/>
    <x v="2"/>
    <x v="2"/>
    <x v="42"/>
    <x v="932"/>
    <x v="922"/>
    <x v="932"/>
  </r>
  <r>
    <x v="933"/>
    <x v="3"/>
    <x v="2"/>
    <x v="0"/>
    <x v="179"/>
    <x v="6"/>
    <x v="21"/>
    <x v="3"/>
    <x v="3"/>
    <x v="255"/>
    <x v="933"/>
    <x v="923"/>
    <x v="933"/>
  </r>
  <r>
    <x v="934"/>
    <x v="4"/>
    <x v="0"/>
    <x v="2"/>
    <x v="180"/>
    <x v="6"/>
    <x v="407"/>
    <x v="4"/>
    <x v="4"/>
    <x v="176"/>
    <x v="934"/>
    <x v="924"/>
    <x v="934"/>
  </r>
  <r>
    <x v="935"/>
    <x v="5"/>
    <x v="2"/>
    <x v="1"/>
    <x v="181"/>
    <x v="6"/>
    <x v="29"/>
    <x v="5"/>
    <x v="5"/>
    <x v="89"/>
    <x v="935"/>
    <x v="925"/>
    <x v="935"/>
  </r>
  <r>
    <x v="936"/>
    <x v="6"/>
    <x v="0"/>
    <x v="3"/>
    <x v="182"/>
    <x v="6"/>
    <x v="280"/>
    <x v="0"/>
    <x v="0"/>
    <x v="0"/>
    <x v="936"/>
    <x v="926"/>
    <x v="936"/>
  </r>
  <r>
    <x v="937"/>
    <x v="7"/>
    <x v="3"/>
    <x v="1"/>
    <x v="183"/>
    <x v="6"/>
    <x v="328"/>
    <x v="1"/>
    <x v="1"/>
    <x v="236"/>
    <x v="937"/>
    <x v="927"/>
    <x v="937"/>
  </r>
  <r>
    <x v="938"/>
    <x v="8"/>
    <x v="1"/>
    <x v="4"/>
    <x v="184"/>
    <x v="6"/>
    <x v="225"/>
    <x v="2"/>
    <x v="2"/>
    <x v="178"/>
    <x v="938"/>
    <x v="928"/>
    <x v="938"/>
  </r>
  <r>
    <x v="939"/>
    <x v="9"/>
    <x v="4"/>
    <x v="0"/>
    <x v="185"/>
    <x v="6"/>
    <x v="47"/>
    <x v="3"/>
    <x v="3"/>
    <x v="69"/>
    <x v="939"/>
    <x v="929"/>
    <x v="939"/>
  </r>
  <r>
    <x v="940"/>
    <x v="10"/>
    <x v="2"/>
    <x v="3"/>
    <x v="186"/>
    <x v="6"/>
    <x v="50"/>
    <x v="4"/>
    <x v="4"/>
    <x v="172"/>
    <x v="940"/>
    <x v="930"/>
    <x v="940"/>
  </r>
  <r>
    <x v="941"/>
    <x v="11"/>
    <x v="3"/>
    <x v="2"/>
    <x v="187"/>
    <x v="6"/>
    <x v="226"/>
    <x v="5"/>
    <x v="5"/>
    <x v="33"/>
    <x v="941"/>
    <x v="931"/>
    <x v="941"/>
  </r>
  <r>
    <x v="942"/>
    <x v="12"/>
    <x v="0"/>
    <x v="5"/>
    <x v="188"/>
    <x v="6"/>
    <x v="408"/>
    <x v="0"/>
    <x v="0"/>
    <x v="46"/>
    <x v="942"/>
    <x v="932"/>
    <x v="942"/>
  </r>
  <r>
    <x v="943"/>
    <x v="13"/>
    <x v="5"/>
    <x v="1"/>
    <x v="189"/>
    <x v="7"/>
    <x v="86"/>
    <x v="1"/>
    <x v="1"/>
    <x v="128"/>
    <x v="943"/>
    <x v="933"/>
    <x v="943"/>
  </r>
  <r>
    <x v="944"/>
    <x v="14"/>
    <x v="1"/>
    <x v="5"/>
    <x v="190"/>
    <x v="7"/>
    <x v="81"/>
    <x v="2"/>
    <x v="2"/>
    <x v="40"/>
    <x v="944"/>
    <x v="934"/>
    <x v="944"/>
  </r>
  <r>
    <x v="945"/>
    <x v="15"/>
    <x v="5"/>
    <x v="0"/>
    <x v="191"/>
    <x v="7"/>
    <x v="387"/>
    <x v="3"/>
    <x v="3"/>
    <x v="37"/>
    <x v="945"/>
    <x v="935"/>
    <x v="945"/>
  </r>
  <r>
    <x v="946"/>
    <x v="16"/>
    <x v="2"/>
    <x v="6"/>
    <x v="192"/>
    <x v="7"/>
    <x v="98"/>
    <x v="4"/>
    <x v="4"/>
    <x v="165"/>
    <x v="946"/>
    <x v="936"/>
    <x v="946"/>
  </r>
  <r>
    <x v="947"/>
    <x v="17"/>
    <x v="6"/>
    <x v="2"/>
    <x v="193"/>
    <x v="7"/>
    <x v="172"/>
    <x v="5"/>
    <x v="5"/>
    <x v="86"/>
    <x v="947"/>
    <x v="937"/>
    <x v="947"/>
  </r>
  <r>
    <x v="948"/>
    <x v="18"/>
    <x v="0"/>
    <x v="6"/>
    <x v="194"/>
    <x v="7"/>
    <x v="361"/>
    <x v="0"/>
    <x v="0"/>
    <x v="234"/>
    <x v="948"/>
    <x v="938"/>
    <x v="948"/>
  </r>
  <r>
    <x v="949"/>
    <x v="19"/>
    <x v="6"/>
    <x v="1"/>
    <x v="195"/>
    <x v="7"/>
    <x v="290"/>
    <x v="1"/>
    <x v="1"/>
    <x v="98"/>
    <x v="949"/>
    <x v="939"/>
    <x v="949"/>
  </r>
  <r>
    <x v="950"/>
    <x v="20"/>
    <x v="1"/>
    <x v="7"/>
    <x v="196"/>
    <x v="7"/>
    <x v="409"/>
    <x v="2"/>
    <x v="2"/>
    <x v="14"/>
    <x v="950"/>
    <x v="940"/>
    <x v="950"/>
  </r>
  <r>
    <x v="951"/>
    <x v="21"/>
    <x v="7"/>
    <x v="0"/>
    <x v="197"/>
    <x v="7"/>
    <x v="410"/>
    <x v="3"/>
    <x v="3"/>
    <x v="199"/>
    <x v="951"/>
    <x v="941"/>
    <x v="951"/>
  </r>
  <r>
    <x v="952"/>
    <x v="22"/>
    <x v="0"/>
    <x v="7"/>
    <x v="198"/>
    <x v="7"/>
    <x v="181"/>
    <x v="4"/>
    <x v="4"/>
    <x v="256"/>
    <x v="952"/>
    <x v="942"/>
    <x v="952"/>
  </r>
  <r>
    <x v="953"/>
    <x v="23"/>
    <x v="7"/>
    <x v="1"/>
    <x v="199"/>
    <x v="7"/>
    <x v="84"/>
    <x v="5"/>
    <x v="5"/>
    <x v="153"/>
    <x v="953"/>
    <x v="943"/>
    <x v="953"/>
  </r>
  <r>
    <x v="954"/>
    <x v="24"/>
    <x v="1"/>
    <x v="8"/>
    <x v="200"/>
    <x v="7"/>
    <x v="179"/>
    <x v="0"/>
    <x v="0"/>
    <x v="2"/>
    <x v="954"/>
    <x v="944"/>
    <x v="954"/>
  </r>
  <r>
    <x v="955"/>
    <x v="25"/>
    <x v="8"/>
    <x v="0"/>
    <x v="201"/>
    <x v="7"/>
    <x v="181"/>
    <x v="1"/>
    <x v="1"/>
    <x v="125"/>
    <x v="955"/>
    <x v="945"/>
    <x v="955"/>
  </r>
  <r>
    <x v="956"/>
    <x v="26"/>
    <x v="2"/>
    <x v="5"/>
    <x v="202"/>
    <x v="7"/>
    <x v="126"/>
    <x v="2"/>
    <x v="2"/>
    <x v="29"/>
    <x v="956"/>
    <x v="946"/>
    <x v="956"/>
  </r>
  <r>
    <x v="957"/>
    <x v="27"/>
    <x v="5"/>
    <x v="2"/>
    <x v="203"/>
    <x v="7"/>
    <x v="345"/>
    <x v="3"/>
    <x v="3"/>
    <x v="37"/>
    <x v="957"/>
    <x v="947"/>
    <x v="957"/>
  </r>
  <r>
    <x v="958"/>
    <x v="28"/>
    <x v="4"/>
    <x v="1"/>
    <x v="204"/>
    <x v="7"/>
    <x v="62"/>
    <x v="4"/>
    <x v="4"/>
    <x v="257"/>
    <x v="958"/>
    <x v="948"/>
    <x v="958"/>
  </r>
  <r>
    <x v="959"/>
    <x v="29"/>
    <x v="0"/>
    <x v="4"/>
    <x v="205"/>
    <x v="7"/>
    <x v="85"/>
    <x v="5"/>
    <x v="5"/>
    <x v="215"/>
    <x v="959"/>
    <x v="949"/>
    <x v="959"/>
  </r>
  <r>
    <x v="960"/>
    <x v="0"/>
    <x v="0"/>
    <x v="0"/>
    <x v="206"/>
    <x v="7"/>
    <x v="51"/>
    <x v="0"/>
    <x v="0"/>
    <x v="12"/>
    <x v="960"/>
    <x v="950"/>
    <x v="960"/>
  </r>
  <r>
    <x v="961"/>
    <x v="1"/>
    <x v="1"/>
    <x v="1"/>
    <x v="207"/>
    <x v="7"/>
    <x v="13"/>
    <x v="1"/>
    <x v="1"/>
    <x v="137"/>
    <x v="961"/>
    <x v="951"/>
    <x v="961"/>
  </r>
  <r>
    <x v="962"/>
    <x v="2"/>
    <x v="1"/>
    <x v="2"/>
    <x v="208"/>
    <x v="7"/>
    <x v="12"/>
    <x v="2"/>
    <x v="2"/>
    <x v="93"/>
    <x v="962"/>
    <x v="952"/>
    <x v="962"/>
  </r>
  <r>
    <x v="963"/>
    <x v="3"/>
    <x v="2"/>
    <x v="0"/>
    <x v="209"/>
    <x v="7"/>
    <x v="232"/>
    <x v="3"/>
    <x v="3"/>
    <x v="58"/>
    <x v="963"/>
    <x v="953"/>
    <x v="963"/>
  </r>
  <r>
    <x v="964"/>
    <x v="4"/>
    <x v="0"/>
    <x v="2"/>
    <x v="210"/>
    <x v="7"/>
    <x v="14"/>
    <x v="4"/>
    <x v="4"/>
    <x v="258"/>
    <x v="964"/>
    <x v="954"/>
    <x v="964"/>
  </r>
  <r>
    <x v="965"/>
    <x v="5"/>
    <x v="2"/>
    <x v="1"/>
    <x v="211"/>
    <x v="7"/>
    <x v="66"/>
    <x v="5"/>
    <x v="5"/>
    <x v="136"/>
    <x v="965"/>
    <x v="955"/>
    <x v="965"/>
  </r>
  <r>
    <x v="966"/>
    <x v="6"/>
    <x v="0"/>
    <x v="3"/>
    <x v="212"/>
    <x v="7"/>
    <x v="86"/>
    <x v="0"/>
    <x v="0"/>
    <x v="142"/>
    <x v="966"/>
    <x v="956"/>
    <x v="966"/>
  </r>
  <r>
    <x v="967"/>
    <x v="7"/>
    <x v="3"/>
    <x v="1"/>
    <x v="213"/>
    <x v="7"/>
    <x v="75"/>
    <x v="1"/>
    <x v="1"/>
    <x v="104"/>
    <x v="967"/>
    <x v="957"/>
    <x v="967"/>
  </r>
  <r>
    <x v="968"/>
    <x v="8"/>
    <x v="1"/>
    <x v="4"/>
    <x v="214"/>
    <x v="7"/>
    <x v="284"/>
    <x v="2"/>
    <x v="2"/>
    <x v="67"/>
    <x v="968"/>
    <x v="958"/>
    <x v="968"/>
  </r>
  <r>
    <x v="969"/>
    <x v="9"/>
    <x v="4"/>
    <x v="0"/>
    <x v="215"/>
    <x v="7"/>
    <x v="238"/>
    <x v="3"/>
    <x v="3"/>
    <x v="47"/>
    <x v="969"/>
    <x v="959"/>
    <x v="969"/>
  </r>
  <r>
    <x v="970"/>
    <x v="10"/>
    <x v="2"/>
    <x v="3"/>
    <x v="216"/>
    <x v="7"/>
    <x v="411"/>
    <x v="4"/>
    <x v="4"/>
    <x v="38"/>
    <x v="970"/>
    <x v="960"/>
    <x v="970"/>
  </r>
  <r>
    <x v="971"/>
    <x v="11"/>
    <x v="3"/>
    <x v="2"/>
    <x v="217"/>
    <x v="7"/>
    <x v="175"/>
    <x v="5"/>
    <x v="5"/>
    <x v="225"/>
    <x v="971"/>
    <x v="961"/>
    <x v="971"/>
  </r>
  <r>
    <x v="972"/>
    <x v="12"/>
    <x v="0"/>
    <x v="5"/>
    <x v="218"/>
    <x v="7"/>
    <x v="100"/>
    <x v="0"/>
    <x v="0"/>
    <x v="154"/>
    <x v="972"/>
    <x v="962"/>
    <x v="972"/>
  </r>
  <r>
    <x v="973"/>
    <x v="13"/>
    <x v="5"/>
    <x v="1"/>
    <x v="219"/>
    <x v="7"/>
    <x v="112"/>
    <x v="1"/>
    <x v="1"/>
    <x v="25"/>
    <x v="973"/>
    <x v="963"/>
    <x v="973"/>
  </r>
  <r>
    <x v="974"/>
    <x v="14"/>
    <x v="1"/>
    <x v="5"/>
    <x v="220"/>
    <x v="8"/>
    <x v="0"/>
    <x v="2"/>
    <x v="2"/>
    <x v="182"/>
    <x v="974"/>
    <x v="964"/>
    <x v="974"/>
  </r>
  <r>
    <x v="975"/>
    <x v="15"/>
    <x v="5"/>
    <x v="0"/>
    <x v="221"/>
    <x v="8"/>
    <x v="116"/>
    <x v="3"/>
    <x v="3"/>
    <x v="69"/>
    <x v="975"/>
    <x v="965"/>
    <x v="975"/>
  </r>
  <r>
    <x v="976"/>
    <x v="16"/>
    <x v="2"/>
    <x v="6"/>
    <x v="222"/>
    <x v="8"/>
    <x v="412"/>
    <x v="4"/>
    <x v="4"/>
    <x v="32"/>
    <x v="976"/>
    <x v="966"/>
    <x v="976"/>
  </r>
  <r>
    <x v="977"/>
    <x v="17"/>
    <x v="6"/>
    <x v="2"/>
    <x v="223"/>
    <x v="8"/>
    <x v="105"/>
    <x v="5"/>
    <x v="5"/>
    <x v="91"/>
    <x v="977"/>
    <x v="967"/>
    <x v="977"/>
  </r>
  <r>
    <x v="978"/>
    <x v="18"/>
    <x v="0"/>
    <x v="6"/>
    <x v="224"/>
    <x v="8"/>
    <x v="202"/>
    <x v="0"/>
    <x v="0"/>
    <x v="2"/>
    <x v="978"/>
    <x v="968"/>
    <x v="978"/>
  </r>
  <r>
    <x v="979"/>
    <x v="19"/>
    <x v="6"/>
    <x v="1"/>
    <x v="225"/>
    <x v="8"/>
    <x v="95"/>
    <x v="1"/>
    <x v="1"/>
    <x v="75"/>
    <x v="979"/>
    <x v="969"/>
    <x v="979"/>
  </r>
  <r>
    <x v="980"/>
    <x v="20"/>
    <x v="1"/>
    <x v="7"/>
    <x v="226"/>
    <x v="8"/>
    <x v="87"/>
    <x v="2"/>
    <x v="2"/>
    <x v="13"/>
    <x v="980"/>
    <x v="970"/>
    <x v="980"/>
  </r>
  <r>
    <x v="981"/>
    <x v="21"/>
    <x v="7"/>
    <x v="0"/>
    <x v="227"/>
    <x v="8"/>
    <x v="413"/>
    <x v="3"/>
    <x v="3"/>
    <x v="62"/>
    <x v="981"/>
    <x v="971"/>
    <x v="981"/>
  </r>
  <r>
    <x v="982"/>
    <x v="22"/>
    <x v="0"/>
    <x v="7"/>
    <x v="228"/>
    <x v="8"/>
    <x v="338"/>
    <x v="4"/>
    <x v="4"/>
    <x v="161"/>
    <x v="982"/>
    <x v="972"/>
    <x v="982"/>
  </r>
  <r>
    <x v="983"/>
    <x v="23"/>
    <x v="7"/>
    <x v="1"/>
    <x v="229"/>
    <x v="8"/>
    <x v="207"/>
    <x v="5"/>
    <x v="5"/>
    <x v="86"/>
    <x v="983"/>
    <x v="973"/>
    <x v="983"/>
  </r>
  <r>
    <x v="984"/>
    <x v="24"/>
    <x v="1"/>
    <x v="8"/>
    <x v="230"/>
    <x v="8"/>
    <x v="286"/>
    <x v="0"/>
    <x v="0"/>
    <x v="134"/>
    <x v="984"/>
    <x v="974"/>
    <x v="984"/>
  </r>
  <r>
    <x v="985"/>
    <x v="25"/>
    <x v="8"/>
    <x v="0"/>
    <x v="231"/>
    <x v="8"/>
    <x v="414"/>
    <x v="1"/>
    <x v="1"/>
    <x v="115"/>
    <x v="985"/>
    <x v="975"/>
    <x v="985"/>
  </r>
  <r>
    <x v="986"/>
    <x v="26"/>
    <x v="2"/>
    <x v="5"/>
    <x v="232"/>
    <x v="8"/>
    <x v="372"/>
    <x v="2"/>
    <x v="2"/>
    <x v="236"/>
    <x v="986"/>
    <x v="976"/>
    <x v="986"/>
  </r>
  <r>
    <x v="987"/>
    <x v="27"/>
    <x v="5"/>
    <x v="2"/>
    <x v="233"/>
    <x v="8"/>
    <x v="62"/>
    <x v="3"/>
    <x v="3"/>
    <x v="164"/>
    <x v="987"/>
    <x v="977"/>
    <x v="987"/>
  </r>
  <r>
    <x v="988"/>
    <x v="28"/>
    <x v="4"/>
    <x v="1"/>
    <x v="234"/>
    <x v="8"/>
    <x v="336"/>
    <x v="4"/>
    <x v="4"/>
    <x v="74"/>
    <x v="988"/>
    <x v="978"/>
    <x v="988"/>
  </r>
  <r>
    <x v="989"/>
    <x v="29"/>
    <x v="0"/>
    <x v="4"/>
    <x v="235"/>
    <x v="8"/>
    <x v="210"/>
    <x v="5"/>
    <x v="5"/>
    <x v="153"/>
    <x v="989"/>
    <x v="979"/>
    <x v="989"/>
  </r>
  <r>
    <x v="990"/>
    <x v="0"/>
    <x v="0"/>
    <x v="0"/>
    <x v="236"/>
    <x v="8"/>
    <x v="246"/>
    <x v="0"/>
    <x v="0"/>
    <x v="40"/>
    <x v="990"/>
    <x v="980"/>
    <x v="990"/>
  </r>
  <r>
    <x v="991"/>
    <x v="1"/>
    <x v="1"/>
    <x v="1"/>
    <x v="237"/>
    <x v="8"/>
    <x v="415"/>
    <x v="1"/>
    <x v="1"/>
    <x v="143"/>
    <x v="991"/>
    <x v="981"/>
    <x v="991"/>
  </r>
  <r>
    <x v="992"/>
    <x v="2"/>
    <x v="1"/>
    <x v="2"/>
    <x v="238"/>
    <x v="8"/>
    <x v="310"/>
    <x v="2"/>
    <x v="2"/>
    <x v="13"/>
    <x v="992"/>
    <x v="480"/>
    <x v="992"/>
  </r>
  <r>
    <x v="993"/>
    <x v="3"/>
    <x v="2"/>
    <x v="0"/>
    <x v="239"/>
    <x v="8"/>
    <x v="117"/>
    <x v="3"/>
    <x v="3"/>
    <x v="259"/>
    <x v="993"/>
    <x v="982"/>
    <x v="993"/>
  </r>
  <r>
    <x v="994"/>
    <x v="4"/>
    <x v="0"/>
    <x v="2"/>
    <x v="240"/>
    <x v="8"/>
    <x v="256"/>
    <x v="4"/>
    <x v="4"/>
    <x v="260"/>
    <x v="994"/>
    <x v="983"/>
    <x v="994"/>
  </r>
  <r>
    <x v="995"/>
    <x v="5"/>
    <x v="2"/>
    <x v="1"/>
    <x v="241"/>
    <x v="8"/>
    <x v="80"/>
    <x v="5"/>
    <x v="5"/>
    <x v="119"/>
    <x v="995"/>
    <x v="984"/>
    <x v="995"/>
  </r>
  <r>
    <x v="996"/>
    <x v="6"/>
    <x v="0"/>
    <x v="3"/>
    <x v="242"/>
    <x v="8"/>
    <x v="164"/>
    <x v="0"/>
    <x v="0"/>
    <x v="177"/>
    <x v="996"/>
    <x v="985"/>
    <x v="996"/>
  </r>
  <r>
    <x v="997"/>
    <x v="7"/>
    <x v="3"/>
    <x v="1"/>
    <x v="243"/>
    <x v="8"/>
    <x v="289"/>
    <x v="1"/>
    <x v="1"/>
    <x v="14"/>
    <x v="997"/>
    <x v="986"/>
    <x v="997"/>
  </r>
  <r>
    <x v="998"/>
    <x v="8"/>
    <x v="1"/>
    <x v="4"/>
    <x v="244"/>
    <x v="8"/>
    <x v="393"/>
    <x v="2"/>
    <x v="2"/>
    <x v="143"/>
    <x v="998"/>
    <x v="987"/>
    <x v="998"/>
  </r>
  <r>
    <x v="999"/>
    <x v="9"/>
    <x v="4"/>
    <x v="0"/>
    <x v="245"/>
    <x v="8"/>
    <x v="313"/>
    <x v="3"/>
    <x v="3"/>
    <x v="118"/>
    <x v="999"/>
    <x v="988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measureFilter="1" compact="0" showAll="0">
      <items count="31">
        <item x="5"/>
        <item x="10"/>
        <item x="3"/>
        <item x="26"/>
        <item x="16"/>
        <item x="4"/>
        <item x="6"/>
        <item x="0"/>
        <item x="12"/>
        <item x="29"/>
        <item x="22"/>
        <item x="18"/>
        <item x="11"/>
        <item x="7"/>
        <item x="2"/>
        <item x="1"/>
        <item x="14"/>
        <item x="8"/>
        <item x="24"/>
        <item x="20"/>
        <item x="27"/>
        <item x="13"/>
        <item x="15"/>
        <item x="28"/>
        <item x="9"/>
        <item x="25"/>
        <item x="23"/>
        <item x="21"/>
        <item x="17"/>
        <item x="19"/>
        <item t="default"/>
      </items>
    </pivotField>
    <pivotField compact="0" showAll="0">
      <items count="10">
        <item x="2"/>
        <item x="0"/>
        <item x="3"/>
        <item x="1"/>
        <item x="5"/>
        <item x="4"/>
        <item x="8"/>
        <item x="7"/>
        <item x="6"/>
        <item t="default"/>
      </items>
    </pivotField>
    <pivotField compact="0" showAll="0">
      <items count="10">
        <item x="2"/>
        <item x="1"/>
        <item x="3"/>
        <item x="0"/>
        <item x="5"/>
        <item x="4"/>
        <item x="8"/>
        <item x="7"/>
        <item x="6"/>
        <item t="default"/>
      </items>
    </pivotField>
    <pivotField compact="0" numFmtId="180" showAll="0">
      <items count="366">
        <item x="8"/>
        <item x="341"/>
        <item x="342"/>
        <item x="343"/>
        <item x="344"/>
        <item x="345"/>
        <item x="22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19"/>
        <item x="362"/>
        <item x="16"/>
        <item x="363"/>
        <item x="364"/>
        <item x="26"/>
        <item x="27"/>
        <item x="28"/>
        <item x="29"/>
        <item x="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13"/>
        <item x="43"/>
        <item x="44"/>
        <item x="45"/>
        <item x="46"/>
        <item x="47"/>
        <item x="48"/>
        <item x="49"/>
        <item x="50"/>
        <item x="18"/>
        <item x="51"/>
        <item x="52"/>
        <item x="53"/>
        <item x="54"/>
        <item x="55"/>
        <item x="56"/>
        <item x="57"/>
        <item x="4"/>
        <item x="58"/>
        <item x="59"/>
        <item x="60"/>
        <item x="0"/>
        <item x="61"/>
        <item x="62"/>
        <item x="63"/>
        <item x="64"/>
        <item x="65"/>
        <item x="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5"/>
        <item x="83"/>
        <item x="84"/>
        <item x="85"/>
        <item x="86"/>
        <item x="87"/>
        <item x="88"/>
        <item x="3"/>
        <item x="89"/>
        <item x="90"/>
        <item x="91"/>
        <item x="92"/>
        <item x="93"/>
        <item x="94"/>
        <item x="95"/>
        <item x="96"/>
        <item x="97"/>
        <item x="98"/>
        <item x="99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2"/>
        <item x="110"/>
        <item x="111"/>
        <item x="112"/>
        <item x="113"/>
        <item x="114"/>
        <item x="23"/>
        <item x="115"/>
        <item x="116"/>
        <item x="117"/>
        <item x="24"/>
        <item x="118"/>
        <item x="119"/>
        <item x="120"/>
        <item x="121"/>
        <item x="122"/>
        <item x="123"/>
        <item x="11"/>
        <item x="6"/>
        <item x="124"/>
        <item x="125"/>
        <item x="126"/>
        <item x="127"/>
        <item x="128"/>
        <item x="129"/>
        <item x="130"/>
        <item x="14"/>
        <item x="20"/>
        <item x="131"/>
        <item x="132"/>
        <item x="133"/>
        <item x="134"/>
        <item x="1"/>
        <item x="135"/>
        <item x="136"/>
        <item x="137"/>
        <item x="138"/>
        <item x="139"/>
        <item x="21"/>
        <item x="140"/>
        <item x="141"/>
        <item x="142"/>
        <item x="143"/>
        <item x="144"/>
        <item x="17"/>
        <item x="145"/>
        <item x="146"/>
        <item x="147"/>
        <item x="148"/>
        <item x="149"/>
        <item x="150"/>
        <item x="151"/>
        <item x="152"/>
        <item x="153"/>
        <item x="7"/>
        <item x="25"/>
        <item x="1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compact="0" showAll="0">
      <items count="13">
        <item x="4"/>
        <item x="5"/>
        <item x="0"/>
        <item x="3"/>
        <item x="2"/>
        <item x="1"/>
        <item x="6"/>
        <item x="7"/>
        <item x="8"/>
        <item x="9"/>
        <item x="10"/>
        <item x="11"/>
        <item t="default"/>
      </items>
    </pivotField>
    <pivotField compact="0" showAll="0">
      <items count="417">
        <item x="226"/>
        <item x="11"/>
        <item x="251"/>
        <item x="237"/>
        <item x="16"/>
        <item x="339"/>
        <item x="146"/>
        <item x="133"/>
        <item x="150"/>
        <item x="213"/>
        <item x="99"/>
        <item x="385"/>
        <item x="370"/>
        <item x="201"/>
        <item x="382"/>
        <item x="305"/>
        <item x="153"/>
        <item x="276"/>
        <item x="379"/>
        <item x="22"/>
        <item x="166"/>
        <item x="396"/>
        <item x="175"/>
        <item x="257"/>
        <item x="288"/>
        <item x="264"/>
        <item x="198"/>
        <item x="406"/>
        <item x="121"/>
        <item x="176"/>
        <item x="5"/>
        <item x="60"/>
        <item x="28"/>
        <item x="29"/>
        <item x="274"/>
        <item x="13"/>
        <item x="209"/>
        <item x="106"/>
        <item x="220"/>
        <item x="377"/>
        <item x="326"/>
        <item x="298"/>
        <item x="342"/>
        <item x="202"/>
        <item x="80"/>
        <item x="234"/>
        <item x="249"/>
        <item x="76"/>
        <item x="94"/>
        <item x="400"/>
        <item x="85"/>
        <item x="372"/>
        <item x="309"/>
        <item x="119"/>
        <item x="318"/>
        <item x="84"/>
        <item x="307"/>
        <item x="129"/>
        <item x="190"/>
        <item x="286"/>
        <item x="205"/>
        <item x="113"/>
        <item x="247"/>
        <item x="39"/>
        <item x="118"/>
        <item x="172"/>
        <item x="66"/>
        <item x="327"/>
        <item x="168"/>
        <item x="354"/>
        <item x="164"/>
        <item x="51"/>
        <item x="160"/>
        <item x="124"/>
        <item x="90"/>
        <item x="191"/>
        <item x="105"/>
        <item x="171"/>
        <item x="361"/>
        <item x="30"/>
        <item x="34"/>
        <item x="229"/>
        <item x="24"/>
        <item x="290"/>
        <item x="210"/>
        <item x="72"/>
        <item x="107"/>
        <item x="359"/>
        <item x="183"/>
        <item x="1"/>
        <item x="12"/>
        <item x="346"/>
        <item x="44"/>
        <item x="267"/>
        <item x="291"/>
        <item x="283"/>
        <item x="75"/>
        <item x="70"/>
        <item x="278"/>
        <item x="250"/>
        <item x="49"/>
        <item x="163"/>
        <item x="38"/>
        <item x="358"/>
        <item x="241"/>
        <item x="207"/>
        <item x="65"/>
        <item x="33"/>
        <item x="101"/>
        <item x="167"/>
        <item x="67"/>
        <item x="108"/>
        <item x="161"/>
        <item x="112"/>
        <item x="95"/>
        <item x="289"/>
        <item x="0"/>
        <item x="380"/>
        <item x="364"/>
        <item x="173"/>
        <item x="253"/>
        <item x="151"/>
        <item x="390"/>
        <item x="206"/>
        <item x="169"/>
        <item x="120"/>
        <item x="35"/>
        <item x="142"/>
        <item x="312"/>
        <item x="324"/>
        <item x="217"/>
        <item x="294"/>
        <item x="130"/>
        <item x="23"/>
        <item x="32"/>
        <item x="179"/>
        <item x="86"/>
        <item x="96"/>
        <item x="61"/>
        <item x="194"/>
        <item x="215"/>
        <item x="335"/>
        <item x="271"/>
        <item x="214"/>
        <item x="408"/>
        <item x="102"/>
        <item x="188"/>
        <item x="347"/>
        <item x="260"/>
        <item x="325"/>
        <item x="74"/>
        <item x="248"/>
        <item x="56"/>
        <item x="147"/>
        <item x="52"/>
        <item x="100"/>
        <item x="25"/>
        <item x="224"/>
        <item x="62"/>
        <item x="386"/>
        <item x="319"/>
        <item x="45"/>
        <item x="37"/>
        <item x="393"/>
        <item x="137"/>
        <item x="115"/>
        <item x="6"/>
        <item x="18"/>
        <item x="92"/>
        <item x="122"/>
        <item x="203"/>
        <item x="240"/>
        <item x="138"/>
        <item x="310"/>
        <item x="15"/>
        <item x="10"/>
        <item x="322"/>
        <item x="345"/>
        <item x="284"/>
        <item x="219"/>
        <item x="344"/>
        <item x="263"/>
        <item x="227"/>
        <item x="46"/>
        <item x="369"/>
        <item x="189"/>
        <item x="225"/>
        <item x="328"/>
        <item x="117"/>
        <item x="332"/>
        <item x="50"/>
        <item x="265"/>
        <item x="110"/>
        <item x="254"/>
        <item x="141"/>
        <item x="123"/>
        <item x="242"/>
        <item x="275"/>
        <item x="279"/>
        <item x="392"/>
        <item x="55"/>
        <item x="316"/>
        <item x="143"/>
        <item x="273"/>
        <item x="337"/>
        <item x="280"/>
        <item x="155"/>
        <item x="109"/>
        <item x="297"/>
        <item x="71"/>
        <item x="154"/>
        <item x="252"/>
        <item x="81"/>
        <item x="180"/>
        <item x="315"/>
        <item x="135"/>
        <item x="211"/>
        <item x="368"/>
        <item x="111"/>
        <item x="69"/>
        <item x="3"/>
        <item x="17"/>
        <item x="313"/>
        <item x="68"/>
        <item x="266"/>
        <item x="184"/>
        <item x="373"/>
        <item x="208"/>
        <item x="185"/>
        <item x="134"/>
        <item x="181"/>
        <item x="47"/>
        <item x="31"/>
        <item x="2"/>
        <item x="7"/>
        <item x="246"/>
        <item x="239"/>
        <item x="178"/>
        <item x="148"/>
        <item x="131"/>
        <item x="292"/>
        <item x="356"/>
        <item x="311"/>
        <item x="374"/>
        <item x="174"/>
        <item x="103"/>
        <item x="156"/>
        <item x="360"/>
        <item x="200"/>
        <item x="126"/>
        <item x="409"/>
        <item x="397"/>
        <item x="414"/>
        <item x="269"/>
        <item x="353"/>
        <item x="26"/>
        <item x="338"/>
        <item x="262"/>
        <item x="258"/>
        <item x="415"/>
        <item x="91"/>
        <item x="259"/>
        <item x="199"/>
        <item x="350"/>
        <item x="404"/>
        <item x="125"/>
        <item x="195"/>
        <item x="366"/>
        <item x="401"/>
        <item x="340"/>
        <item x="281"/>
        <item x="330"/>
        <item x="57"/>
        <item x="53"/>
        <item x="82"/>
        <item x="282"/>
        <item x="63"/>
        <item x="40"/>
        <item x="233"/>
        <item x="336"/>
        <item x="152"/>
        <item x="371"/>
        <item x="378"/>
        <item x="302"/>
        <item x="87"/>
        <item x="405"/>
        <item x="73"/>
        <item x="186"/>
        <item x="193"/>
        <item x="116"/>
        <item x="363"/>
        <item x="285"/>
        <item x="218"/>
        <item x="295"/>
        <item x="365"/>
        <item x="41"/>
        <item x="308"/>
        <item x="243"/>
        <item x="232"/>
        <item x="78"/>
        <item x="221"/>
        <item x="236"/>
        <item x="341"/>
        <item x="235"/>
        <item x="204"/>
        <item x="413"/>
        <item x="375"/>
        <item x="54"/>
        <item x="19"/>
        <item x="157"/>
        <item x="395"/>
        <item x="21"/>
        <item x="238"/>
        <item x="245"/>
        <item x="296"/>
        <item x="352"/>
        <item x="407"/>
        <item x="93"/>
        <item x="333"/>
        <item x="77"/>
        <item x="412"/>
        <item x="357"/>
        <item x="79"/>
        <item x="158"/>
        <item x="399"/>
        <item x="300"/>
        <item x="329"/>
        <item x="256"/>
        <item x="144"/>
        <item x="36"/>
        <item x="343"/>
        <item x="391"/>
        <item x="402"/>
        <item x="132"/>
        <item x="299"/>
        <item x="334"/>
        <item x="389"/>
        <item x="139"/>
        <item x="362"/>
        <item x="88"/>
        <item x="89"/>
        <item x="165"/>
        <item x="114"/>
        <item x="20"/>
        <item x="64"/>
        <item x="159"/>
        <item x="149"/>
        <item x="228"/>
        <item x="351"/>
        <item x="387"/>
        <item x="14"/>
        <item x="376"/>
        <item x="48"/>
        <item x="255"/>
        <item x="381"/>
        <item x="9"/>
        <item x="304"/>
        <item x="403"/>
        <item x="314"/>
        <item x="83"/>
        <item x="212"/>
        <item x="43"/>
        <item x="127"/>
        <item x="277"/>
        <item x="383"/>
        <item x="230"/>
        <item x="27"/>
        <item x="104"/>
        <item x="317"/>
        <item x="331"/>
        <item x="216"/>
        <item x="177"/>
        <item x="355"/>
        <item x="323"/>
        <item x="306"/>
        <item x="320"/>
        <item x="196"/>
        <item x="384"/>
        <item x="4"/>
        <item x="244"/>
        <item x="367"/>
        <item x="293"/>
        <item x="268"/>
        <item x="140"/>
        <item x="348"/>
        <item x="231"/>
        <item x="410"/>
        <item x="394"/>
        <item x="411"/>
        <item x="170"/>
        <item x="303"/>
        <item x="197"/>
        <item x="162"/>
        <item x="270"/>
        <item x="287"/>
        <item x="128"/>
        <item x="136"/>
        <item x="321"/>
        <item x="261"/>
        <item x="301"/>
        <item x="58"/>
        <item x="222"/>
        <item x="42"/>
        <item x="187"/>
        <item x="59"/>
        <item x="98"/>
        <item x="192"/>
        <item x="398"/>
        <item x="145"/>
        <item x="388"/>
        <item x="272"/>
        <item x="223"/>
        <item x="97"/>
        <item x="349"/>
        <item x="182"/>
        <item x="8"/>
        <item t="default"/>
      </items>
    </pivotField>
    <pivotField compact="0" showAll="0">
      <items count="7">
        <item x="0"/>
        <item x="2"/>
        <item x="4"/>
        <item x="5"/>
        <item x="1"/>
        <item x="3"/>
        <item t="default"/>
      </items>
    </pivotField>
    <pivotField compact="0" showAll="0">
      <items count="7">
        <item x="5"/>
        <item x="0"/>
        <item x="1"/>
        <item x="2"/>
        <item x="3"/>
        <item x="4"/>
        <item t="default"/>
      </items>
    </pivotField>
    <pivotField compact="0" showAll="0">
      <items count="262">
        <item x="5"/>
        <item x="33"/>
        <item x="225"/>
        <item x="49"/>
        <item x="39"/>
        <item x="17"/>
        <item x="102"/>
        <item x="44"/>
        <item x="61"/>
        <item x="22"/>
        <item x="97"/>
        <item x="215"/>
        <item x="71"/>
        <item x="119"/>
        <item x="66"/>
        <item x="114"/>
        <item x="89"/>
        <item x="91"/>
        <item x="202"/>
        <item x="110"/>
        <item x="153"/>
        <item x="11"/>
        <item x="136"/>
        <item x="27"/>
        <item x="86"/>
        <item x="149"/>
        <item x="193"/>
        <item x="34"/>
        <item x="186"/>
        <item x="142"/>
        <item x="12"/>
        <item x="111"/>
        <item x="234"/>
        <item x="7"/>
        <item x="51"/>
        <item x="173"/>
        <item x="124"/>
        <item x="98"/>
        <item x="104"/>
        <item x="107"/>
        <item x="143"/>
        <item x="8"/>
        <item x="2"/>
        <item x="23"/>
        <item x="40"/>
        <item x="6"/>
        <item x="28"/>
        <item x="68"/>
        <item x="52"/>
        <item x="203"/>
        <item x="122"/>
        <item x="24"/>
        <item x="45"/>
        <item x="29"/>
        <item x="14"/>
        <item x="134"/>
        <item x="115"/>
        <item x="103"/>
        <item x="18"/>
        <item x="76"/>
        <item x="19"/>
        <item x="154"/>
        <item x="137"/>
        <item x="125"/>
        <item x="50"/>
        <item x="81"/>
        <item x="79"/>
        <item x="236"/>
        <item x="57"/>
        <item x="177"/>
        <item x="99"/>
        <item x="1"/>
        <item x="72"/>
        <item x="233"/>
        <item x="46"/>
        <item x="90"/>
        <item x="0"/>
        <item x="15"/>
        <item x="20"/>
        <item x="47"/>
        <item x="199"/>
        <item x="84"/>
        <item x="69"/>
        <item x="62"/>
        <item x="58"/>
        <item x="13"/>
        <item x="36"/>
        <item x="3"/>
        <item x="67"/>
        <item x="87"/>
        <item x="128"/>
        <item x="35"/>
        <item x="25"/>
        <item x="139"/>
        <item x="93"/>
        <item x="150"/>
        <item x="75"/>
        <item x="59"/>
        <item x="140"/>
        <item x="41"/>
        <item x="30"/>
        <item x="182"/>
        <item x="77"/>
        <item x="63"/>
        <item x="120"/>
        <item x="42"/>
        <item x="178"/>
        <item x="248"/>
        <item x="212"/>
        <item x="132"/>
        <item x="37"/>
        <item x="228"/>
        <item x="191"/>
        <item x="108"/>
        <item x="9"/>
        <item x="116"/>
        <item x="216"/>
        <item x="169"/>
        <item x="187"/>
        <item x="55"/>
        <item x="171"/>
        <item x="118"/>
        <item x="208"/>
        <item x="53"/>
        <item x="231"/>
        <item x="112"/>
        <item x="206"/>
        <item x="156"/>
        <item x="64"/>
        <item x="239"/>
        <item x="73"/>
        <item x="189"/>
        <item x="151"/>
        <item x="82"/>
        <item x="218"/>
        <item x="164"/>
        <item x="175"/>
        <item x="144"/>
        <item x="255"/>
        <item x="162"/>
        <item x="200"/>
        <item x="130"/>
        <item x="166"/>
        <item x="94"/>
        <item x="126"/>
        <item x="158"/>
        <item x="145"/>
        <item x="100"/>
        <item x="211"/>
        <item x="259"/>
        <item x="155"/>
        <item x="157"/>
        <item x="147"/>
        <item x="105"/>
        <item x="224"/>
        <item x="31"/>
        <item x="238"/>
        <item x="174"/>
        <item x="227"/>
        <item x="131"/>
        <item x="127"/>
        <item x="242"/>
        <item x="209"/>
        <item x="192"/>
        <item x="181"/>
        <item x="56"/>
        <item x="253"/>
        <item x="237"/>
        <item x="188"/>
        <item x="205"/>
        <item x="167"/>
        <item x="190"/>
        <item x="121"/>
        <item x="146"/>
        <item x="135"/>
        <item x="232"/>
        <item x="256"/>
        <item x="159"/>
        <item x="183"/>
        <item x="88"/>
        <item x="70"/>
        <item x="48"/>
        <item x="249"/>
        <item x="258"/>
        <item x="129"/>
        <item x="247"/>
        <item x="152"/>
        <item x="245"/>
        <item x="198"/>
        <item x="213"/>
        <item x="54"/>
        <item x="10"/>
        <item x="235"/>
        <item x="185"/>
        <item x="78"/>
        <item x="80"/>
        <item x="43"/>
        <item x="101"/>
        <item x="214"/>
        <item x="226"/>
        <item x="148"/>
        <item x="196"/>
        <item x="252"/>
        <item x="74"/>
        <item x="197"/>
        <item x="106"/>
        <item x="170"/>
        <item x="204"/>
        <item x="184"/>
        <item x="201"/>
        <item x="163"/>
        <item x="83"/>
        <item x="165"/>
        <item x="32"/>
        <item x="180"/>
        <item x="123"/>
        <item x="207"/>
        <item x="168"/>
        <item x="254"/>
        <item x="229"/>
        <item x="26"/>
        <item x="250"/>
        <item x="96"/>
        <item x="85"/>
        <item x="230"/>
        <item x="194"/>
        <item x="16"/>
        <item x="260"/>
        <item x="217"/>
        <item x="223"/>
        <item x="133"/>
        <item x="109"/>
        <item x="195"/>
        <item x="176"/>
        <item x="179"/>
        <item x="172"/>
        <item x="21"/>
        <item x="241"/>
        <item x="246"/>
        <item x="243"/>
        <item x="113"/>
        <item x="117"/>
        <item x="221"/>
        <item x="240"/>
        <item x="210"/>
        <item x="251"/>
        <item x="257"/>
        <item x="138"/>
        <item x="60"/>
        <item x="220"/>
        <item x="160"/>
        <item x="219"/>
        <item x="141"/>
        <item x="92"/>
        <item x="38"/>
        <item x="95"/>
        <item x="4"/>
        <item x="65"/>
        <item x="244"/>
        <item x="222"/>
        <item x="161"/>
        <item t="default"/>
      </items>
    </pivotField>
    <pivotField compact="0" showAll="0">
      <items count="1001">
        <item x="941"/>
        <item x="317"/>
        <item x="89"/>
        <item x="389"/>
        <item x="11"/>
        <item x="173"/>
        <item x="17"/>
        <item x="341"/>
        <item x="647"/>
        <item x="263"/>
        <item x="185"/>
        <item x="293"/>
        <item x="161"/>
        <item x="215"/>
        <item x="713"/>
        <item x="899"/>
        <item x="191"/>
        <item x="911"/>
        <item x="707"/>
        <item x="821"/>
        <item x="761"/>
        <item x="113"/>
        <item x="275"/>
        <item x="839"/>
        <item x="593"/>
        <item x="527"/>
        <item x="23"/>
        <item x="815"/>
        <item x="587"/>
        <item x="641"/>
        <item x="443"/>
        <item x="101"/>
        <item x="311"/>
        <item x="197"/>
        <item x="221"/>
        <item x="569"/>
        <item x="971"/>
        <item x="875"/>
        <item x="233"/>
        <item x="479"/>
        <item x="395"/>
        <item x="269"/>
        <item x="359"/>
        <item x="743"/>
        <item x="887"/>
        <item x="665"/>
        <item x="869"/>
        <item x="419"/>
        <item x="473"/>
        <item x="689"/>
        <item x="563"/>
        <item x="59"/>
        <item x="137"/>
        <item x="881"/>
        <item x="857"/>
        <item x="143"/>
        <item x="779"/>
        <item x="539"/>
        <item x="851"/>
        <item x="905"/>
        <item x="935"/>
        <item x="305"/>
        <item x="599"/>
        <item x="5"/>
        <item x="29"/>
        <item x="65"/>
        <item x="335"/>
        <item x="431"/>
        <item x="239"/>
        <item x="503"/>
        <item x="995"/>
        <item x="659"/>
        <item x="521"/>
        <item x="803"/>
        <item x="863"/>
        <item x="581"/>
        <item x="107"/>
        <item x="773"/>
        <item x="737"/>
        <item x="401"/>
        <item x="179"/>
        <item x="95"/>
        <item x="893"/>
        <item x="125"/>
        <item x="929"/>
        <item x="755"/>
        <item x="557"/>
        <item x="767"/>
        <item x="797"/>
        <item x="281"/>
        <item x="155"/>
        <item x="203"/>
        <item x="959"/>
        <item x="947"/>
        <item x="809"/>
        <item x="455"/>
        <item x="377"/>
        <item x="605"/>
        <item x="545"/>
        <item x="257"/>
        <item x="467"/>
        <item x="407"/>
        <item x="653"/>
        <item x="953"/>
        <item x="329"/>
        <item x="425"/>
        <item x="491"/>
        <item x="977"/>
        <item x="227"/>
        <item x="617"/>
        <item x="383"/>
        <item x="299"/>
        <item x="119"/>
        <item x="623"/>
        <item x="965"/>
        <item x="167"/>
        <item x="437"/>
        <item x="323"/>
        <item x="791"/>
        <item x="695"/>
        <item x="149"/>
        <item x="845"/>
        <item x="551"/>
        <item x="209"/>
        <item x="923"/>
        <item x="497"/>
        <item x="47"/>
        <item x="635"/>
        <item x="485"/>
        <item x="683"/>
        <item x="371"/>
        <item x="671"/>
        <item x="917"/>
        <item x="701"/>
        <item x="677"/>
        <item x="515"/>
        <item x="989"/>
        <item x="251"/>
        <item x="245"/>
        <item x="827"/>
        <item x="731"/>
        <item x="725"/>
        <item x="353"/>
        <item x="287"/>
        <item x="533"/>
        <item x="347"/>
        <item x="365"/>
        <item x="749"/>
        <item x="35"/>
        <item x="131"/>
        <item x="413"/>
        <item x="833"/>
        <item x="611"/>
        <item x="71"/>
        <item x="77"/>
        <item x="509"/>
        <item x="703"/>
        <item x="983"/>
        <item x="449"/>
        <item x="763"/>
        <item x="719"/>
        <item x="30"/>
        <item x="629"/>
        <item x="575"/>
        <item x="83"/>
        <item x="461"/>
        <item x="415"/>
        <item x="690"/>
        <item x="360"/>
        <item x="53"/>
        <item x="510"/>
        <item x="41"/>
        <item x="919"/>
        <item x="785"/>
        <item x="336"/>
        <item x="276"/>
        <item x="492"/>
        <item x="120"/>
        <item x="289"/>
        <item x="961"/>
        <item x="13"/>
        <item x="438"/>
        <item x="235"/>
        <item x="180"/>
        <item x="463"/>
        <item x="439"/>
        <item x="90"/>
        <item x="373"/>
        <item x="768"/>
        <item x="84"/>
        <item x="714"/>
        <item x="421"/>
        <item x="631"/>
        <item x="534"/>
        <item x="978"/>
        <item x="96"/>
        <item x="270"/>
        <item x="132"/>
        <item x="558"/>
        <item x="984"/>
        <item x="498"/>
        <item x="661"/>
        <item x="277"/>
        <item x="895"/>
        <item x="42"/>
        <item x="673"/>
        <item x="138"/>
        <item x="228"/>
        <item x="182"/>
        <item x="379"/>
        <item x="810"/>
        <item x="528"/>
        <item x="932"/>
        <item x="488"/>
        <item x="606"/>
        <item x="319"/>
        <item x="996"/>
        <item x="780"/>
        <item x="901"/>
        <item x="828"/>
        <item x="102"/>
        <item x="450"/>
        <item x="139"/>
        <item x="710"/>
        <item x="660"/>
        <item x="906"/>
        <item x="732"/>
        <item x="372"/>
        <item x="816"/>
        <item x="632"/>
        <item x="841"/>
        <item x="230"/>
        <item x="330"/>
        <item x="72"/>
        <item x="223"/>
        <item x="986"/>
        <item x="582"/>
        <item x="960"/>
        <item x="331"/>
        <item x="907"/>
        <item x="217"/>
        <item x="300"/>
        <item x="834"/>
        <item x="511"/>
        <item x="434"/>
        <item x="354"/>
        <item x="55"/>
        <item x="259"/>
        <item x="614"/>
        <item x="858"/>
        <item x="384"/>
        <item x="792"/>
        <item x="948"/>
        <item x="260"/>
        <item x="420"/>
        <item x="427"/>
        <item x="73"/>
        <item x="612"/>
        <item x="822"/>
        <item x="128"/>
        <item x="444"/>
        <item x="218"/>
        <item x="480"/>
        <item x="170"/>
        <item x="266"/>
        <item x="601"/>
        <item x="204"/>
        <item x="37"/>
        <item x="1"/>
        <item x="36"/>
        <item x="181"/>
        <item x="25"/>
        <item x="79"/>
        <item x="589"/>
        <item x="949"/>
        <item x="571"/>
        <item x="121"/>
        <item x="799"/>
        <item x="642"/>
        <item x="31"/>
        <item x="769"/>
        <item x="12"/>
        <item x="146"/>
        <item x="967"/>
        <item x="836"/>
        <item x="738"/>
        <item x="210"/>
        <item x="762"/>
        <item x="307"/>
        <item x="476"/>
        <item x="14"/>
        <item x="452"/>
        <item x="564"/>
        <item x="930"/>
        <item x="0"/>
        <item x="193"/>
        <item x="457"/>
        <item x="222"/>
        <item x="806"/>
        <item x="636"/>
        <item x="312"/>
        <item x="367"/>
        <item x="234"/>
        <item x="524"/>
        <item x="216"/>
        <item x="883"/>
        <item x="744"/>
        <item x="846"/>
        <item x="398"/>
        <item x="290"/>
        <item x="158"/>
        <item x="716"/>
        <item x="962"/>
        <item x="877"/>
        <item x="888"/>
        <item x="541"/>
        <item x="115"/>
        <item x="920"/>
        <item x="697"/>
        <item x="408"/>
        <item x="997"/>
        <item x="192"/>
        <item x="576"/>
        <item x="840"/>
        <item x="314"/>
        <item x="954"/>
        <item x="474"/>
        <item x="679"/>
        <item x="896"/>
        <item x="391"/>
        <item x="229"/>
        <item x="487"/>
        <item x="282"/>
        <item x="122"/>
        <item x="324"/>
        <item x="366"/>
        <item x="595"/>
        <item x="344"/>
        <item x="522"/>
        <item x="264"/>
        <item x="24"/>
        <item x="786"/>
        <item x="409"/>
        <item x="876"/>
        <item x="127"/>
        <item x="894"/>
        <item x="470"/>
        <item x="211"/>
        <item x="175"/>
        <item x="668"/>
        <item x="504"/>
        <item x="607"/>
        <item x="355"/>
        <item x="559"/>
        <item x="804"/>
        <item x="150"/>
        <item x="776"/>
        <item x="830"/>
        <item x="378"/>
        <item x="224"/>
        <item x="140"/>
        <item x="91"/>
        <item x="385"/>
        <item x="974"/>
        <item x="882"/>
        <item x="342"/>
        <item x="979"/>
        <item x="109"/>
        <item x="870"/>
        <item x="818"/>
        <item x="774"/>
        <item x="294"/>
        <item x="38"/>
        <item x="74"/>
        <item x="554"/>
        <item x="913"/>
        <item x="973"/>
        <item x="966"/>
        <item x="337"/>
        <item x="349"/>
        <item x="114"/>
        <item x="66"/>
        <item x="758"/>
        <item x="823"/>
        <item x="900"/>
        <item x="361"/>
        <item x="854"/>
        <item x="156"/>
        <item x="733"/>
        <item x="240"/>
        <item x="942"/>
        <item x="750"/>
        <item x="654"/>
        <item x="48"/>
        <item x="493"/>
        <item x="548"/>
        <item x="386"/>
        <item x="110"/>
        <item x="325"/>
        <item x="764"/>
        <item x="918"/>
        <item x="402"/>
        <item x="157"/>
        <item x="168"/>
        <item x="702"/>
        <item x="462"/>
        <item x="852"/>
        <item x="416"/>
        <item x="672"/>
        <item x="637"/>
        <item x="666"/>
        <item x="943"/>
        <item x="570"/>
        <item x="254"/>
        <item x="540"/>
        <item x="61"/>
        <item x="931"/>
        <item x="284"/>
        <item x="6"/>
        <item x="972"/>
        <item x="313"/>
        <item x="26"/>
        <item x="108"/>
        <item x="865"/>
        <item x="482"/>
        <item x="529"/>
        <item x="686"/>
        <item x="97"/>
        <item x="696"/>
        <item x="678"/>
        <item x="187"/>
        <item x="720"/>
        <item x="302"/>
        <item x="174"/>
        <item x="512"/>
        <item x="116"/>
        <item x="422"/>
        <item x="296"/>
        <item x="536"/>
        <item x="624"/>
        <item x="433"/>
        <item x="842"/>
        <item x="583"/>
        <item x="757"/>
        <item x="630"/>
        <item x="144"/>
        <item x="432"/>
        <item x="662"/>
        <item x="403"/>
        <item x="824"/>
        <item x="835"/>
        <item x="577"/>
        <item x="860"/>
        <item x="546"/>
        <item x="104"/>
        <item x="56"/>
        <item x="794"/>
        <item x="306"/>
        <item x="80"/>
        <item x="67"/>
        <item x="691"/>
        <item x="54"/>
        <item x="812"/>
        <item x="912"/>
        <item x="78"/>
        <item x="133"/>
        <item x="936"/>
        <item x="151"/>
        <item x="475"/>
        <item x="618"/>
        <item x="560"/>
        <item x="318"/>
        <item x="258"/>
        <item x="680"/>
        <item x="752"/>
        <item x="326"/>
        <item x="445"/>
        <item x="625"/>
        <item x="278"/>
        <item x="414"/>
        <item x="864"/>
        <item x="745"/>
        <item x="756"/>
        <item x="552"/>
        <item x="390"/>
        <item x="685"/>
        <item x="186"/>
        <item x="252"/>
        <item x="708"/>
        <item x="392"/>
        <item x="481"/>
        <item x="726"/>
        <item x="992"/>
        <item x="751"/>
        <item x="19"/>
        <item x="998"/>
        <item x="649"/>
        <item x="468"/>
        <item x="648"/>
        <item x="60"/>
        <item x="667"/>
        <item x="176"/>
        <item x="486"/>
        <item x="990"/>
        <item x="169"/>
        <item x="440"/>
        <item x="456"/>
        <item x="684"/>
        <item x="608"/>
        <item x="721"/>
        <item x="163"/>
        <item x="655"/>
        <item x="596"/>
        <item x="924"/>
        <item x="198"/>
        <item x="968"/>
        <item x="134"/>
        <item x="200"/>
        <item x="253"/>
        <item x="553"/>
        <item x="301"/>
        <item x="350"/>
        <item x="584"/>
        <item x="246"/>
        <item x="715"/>
        <item x="588"/>
        <item x="925"/>
        <item x="866"/>
        <item x="516"/>
        <item x="798"/>
        <item x="937"/>
        <item x="247"/>
        <item x="469"/>
        <item x="288"/>
        <item x="356"/>
        <item x="126"/>
        <item x="50"/>
        <item x="18"/>
        <item x="145"/>
        <item x="241"/>
        <item x="506"/>
        <item x="499"/>
        <item x="164"/>
        <item x="938"/>
        <item x="348"/>
        <item x="853"/>
        <item x="600"/>
        <item x="594"/>
        <item x="162"/>
        <item x="92"/>
        <item x="847"/>
        <item x="926"/>
        <item x="464"/>
        <item x="426"/>
        <item x="817"/>
        <item x="535"/>
        <item x="397"/>
        <item x="955"/>
        <item x="884"/>
        <item x="859"/>
        <item x="781"/>
        <item x="295"/>
        <item x="249"/>
        <item x="734"/>
        <item x="811"/>
        <item x="451"/>
        <item x="523"/>
        <item x="709"/>
        <item x="494"/>
        <item x="787"/>
        <item x="396"/>
        <item x="902"/>
        <item x="944"/>
        <item x="8"/>
        <item x="698"/>
        <item x="188"/>
        <item x="746"/>
        <item x="775"/>
        <item x="722"/>
        <item x="613"/>
        <item x="7"/>
        <item x="380"/>
        <item x="848"/>
        <item x="956"/>
        <item x="663"/>
        <item x="602"/>
        <item x="242"/>
        <item x="338"/>
        <item x="890"/>
        <item x="271"/>
        <item x="985"/>
        <item x="32"/>
        <item x="626"/>
        <item x="829"/>
        <item x="739"/>
        <item x="633"/>
        <item x="404"/>
        <item x="517"/>
        <item x="547"/>
        <item x="368"/>
        <item x="283"/>
        <item x="49"/>
        <item x="152"/>
        <item x="793"/>
        <item x="619"/>
        <item x="43"/>
        <item x="500"/>
        <item x="205"/>
        <item x="727"/>
        <item x="578"/>
        <item x="723"/>
        <item x="871"/>
        <item x="950"/>
        <item x="704"/>
        <item x="265"/>
        <item x="565"/>
        <item x="2"/>
        <item x="446"/>
        <item x="705"/>
        <item x="428"/>
        <item x="199"/>
        <item x="411"/>
        <item x="908"/>
        <item x="878"/>
        <item x="909"/>
        <item x="991"/>
        <item x="572"/>
        <item x="627"/>
        <item x="643"/>
        <item x="891"/>
        <item x="987"/>
        <item x="103"/>
        <item x="343"/>
        <item x="889"/>
        <item x="98"/>
        <item x="800"/>
        <item x="692"/>
        <item x="650"/>
        <item x="505"/>
        <item x="656"/>
        <item x="566"/>
        <item x="770"/>
        <item x="194"/>
        <item x="248"/>
        <item x="410"/>
        <item x="805"/>
        <item x="236"/>
        <item x="272"/>
        <item x="369"/>
        <item x="590"/>
        <item x="638"/>
        <item x="518"/>
        <item x="914"/>
        <item x="872"/>
        <item x="85"/>
        <item x="62"/>
        <item x="458"/>
        <item x="351"/>
        <item x="44"/>
        <item x="782"/>
        <item x="674"/>
        <item x="417"/>
        <item x="597"/>
        <item x="308"/>
        <item x="68"/>
        <item x="453"/>
        <item x="189"/>
        <item x="993"/>
        <item x="320"/>
        <item x="759"/>
        <item x="620"/>
        <item x="740"/>
        <item x="381"/>
        <item x="807"/>
        <item x="212"/>
        <item x="980"/>
        <item x="652"/>
        <item x="669"/>
        <item x="255"/>
        <item x="957"/>
        <item x="201"/>
        <item x="123"/>
        <item x="332"/>
        <item x="513"/>
        <item x="530"/>
        <item x="20"/>
        <item x="206"/>
        <item x="747"/>
        <item x="644"/>
        <item x="837"/>
        <item x="542"/>
        <item x="86"/>
        <item x="362"/>
        <item x="75"/>
        <item x="728"/>
        <item x="184"/>
        <item x="477"/>
        <item x="717"/>
        <item x="346"/>
        <item x="34"/>
        <item x="220"/>
        <item x="585"/>
        <item x="471"/>
        <item x="525"/>
        <item x="69"/>
        <item x="939"/>
        <item x="448"/>
        <item x="374"/>
        <item x="286"/>
        <item x="788"/>
        <item x="502"/>
        <item x="466"/>
        <item x="441"/>
        <item x="141"/>
        <item x="129"/>
        <item x="711"/>
        <item x="291"/>
        <item x="51"/>
        <item x="958"/>
        <item x="177"/>
        <item x="927"/>
        <item x="999"/>
        <item x="117"/>
        <item x="3"/>
        <item x="256"/>
        <item x="202"/>
        <item x="40"/>
        <item x="243"/>
        <item x="82"/>
        <item x="16"/>
        <item x="771"/>
        <item x="789"/>
        <item x="784"/>
        <item x="903"/>
        <item x="921"/>
        <item x="33"/>
        <item x="549"/>
        <item x="874"/>
        <item x="430"/>
        <item x="699"/>
        <item x="760"/>
        <item x="861"/>
        <item x="459"/>
        <item x="736"/>
        <item x="573"/>
        <item x="598"/>
        <item x="765"/>
        <item x="616"/>
        <item x="753"/>
        <item x="93"/>
        <item x="124"/>
        <item x="304"/>
        <item x="640"/>
        <item x="591"/>
        <item x="316"/>
        <item x="159"/>
        <item x="742"/>
        <item x="214"/>
        <item x="423"/>
        <item x="681"/>
        <item x="333"/>
        <item x="778"/>
        <item x="543"/>
        <item x="27"/>
        <item x="801"/>
        <item x="544"/>
        <item x="741"/>
        <item x="568"/>
        <item x="454"/>
        <item x="442"/>
        <item x="147"/>
        <item x="357"/>
        <item x="10"/>
        <item x="495"/>
        <item x="658"/>
        <item x="196"/>
        <item x="399"/>
        <item x="57"/>
        <item x="81"/>
        <item x="87"/>
        <item x="886"/>
        <item x="303"/>
        <item x="940"/>
        <item x="136"/>
        <item x="777"/>
        <item x="76"/>
        <item x="868"/>
        <item x="855"/>
        <item x="657"/>
        <item x="339"/>
        <item x="873"/>
        <item x="238"/>
        <item x="418"/>
        <item x="897"/>
        <item x="135"/>
        <item x="862"/>
        <item x="808"/>
        <item x="382"/>
        <item x="639"/>
        <item x="436"/>
        <item x="975"/>
        <item x="820"/>
        <item x="688"/>
        <item x="892"/>
        <item x="105"/>
        <item x="315"/>
        <item x="171"/>
        <item x="232"/>
        <item x="831"/>
        <item x="345"/>
        <item x="687"/>
        <item x="982"/>
        <item x="400"/>
        <item x="465"/>
        <item x="910"/>
        <item x="729"/>
        <item x="963"/>
        <item x="945"/>
        <item x="693"/>
        <item x="981"/>
        <item x="406"/>
        <item x="885"/>
        <item x="814"/>
        <item x="99"/>
        <item x="207"/>
        <item x="969"/>
        <item x="952"/>
        <item x="21"/>
        <item x="592"/>
        <item x="142"/>
        <item x="933"/>
        <item x="621"/>
        <item x="274"/>
        <item x="363"/>
        <item x="712"/>
        <item x="490"/>
        <item x="580"/>
        <item x="832"/>
        <item x="819"/>
        <item x="610"/>
        <item x="555"/>
        <item x="39"/>
        <item x="321"/>
        <item x="645"/>
        <item x="219"/>
        <item x="484"/>
        <item x="843"/>
        <item x="579"/>
        <item x="670"/>
        <item x="916"/>
        <item x="507"/>
        <item x="795"/>
        <item x="483"/>
        <item x="237"/>
        <item x="615"/>
        <item x="334"/>
        <item x="735"/>
        <item x="609"/>
        <item x="675"/>
        <item x="634"/>
        <item x="501"/>
        <item x="531"/>
        <item x="352"/>
        <item x="646"/>
        <item x="106"/>
        <item x="387"/>
        <item x="603"/>
        <item x="561"/>
        <item x="825"/>
        <item x="285"/>
        <item x="340"/>
        <item x="9"/>
        <item x="447"/>
        <item x="15"/>
        <item x="262"/>
        <item x="327"/>
        <item x="915"/>
        <item x="58"/>
        <item x="412"/>
        <item x="393"/>
        <item x="772"/>
        <item x="567"/>
        <item x="394"/>
        <item x="489"/>
        <item x="951"/>
        <item x="988"/>
        <item x="322"/>
        <item x="748"/>
        <item x="63"/>
        <item x="309"/>
        <item x="718"/>
        <item x="867"/>
        <item x="279"/>
        <item x="225"/>
        <item x="537"/>
        <item x="231"/>
        <item x="519"/>
        <item x="856"/>
        <item x="153"/>
        <item x="651"/>
        <item x="267"/>
        <item x="88"/>
        <item x="706"/>
        <item x="280"/>
        <item x="783"/>
        <item x="22"/>
        <item x="273"/>
        <item x="849"/>
        <item x="213"/>
        <item x="730"/>
        <item x="195"/>
        <item x="898"/>
        <item x="111"/>
        <item x="405"/>
        <item x="376"/>
        <item x="100"/>
        <item x="604"/>
        <item x="879"/>
        <item x="586"/>
        <item x="934"/>
        <item x="364"/>
        <item x="261"/>
        <item x="375"/>
        <item x="183"/>
        <item x="429"/>
        <item x="165"/>
        <item x="850"/>
        <item x="508"/>
        <item x="664"/>
        <item x="478"/>
        <item x="178"/>
        <item x="297"/>
        <item x="904"/>
        <item x="45"/>
        <item x="880"/>
        <item x="796"/>
        <item x="496"/>
        <item x="130"/>
        <item x="118"/>
        <item x="976"/>
        <item x="994"/>
        <item x="813"/>
        <item x="928"/>
        <item x="298"/>
        <item x="435"/>
        <item x="964"/>
        <item x="682"/>
        <item x="370"/>
        <item x="52"/>
        <item x="292"/>
        <item x="358"/>
        <item x="160"/>
        <item x="208"/>
        <item x="532"/>
        <item x="970"/>
        <item x="460"/>
        <item x="628"/>
        <item x="70"/>
        <item x="766"/>
        <item x="148"/>
        <item x="574"/>
        <item x="190"/>
        <item x="622"/>
        <item x="154"/>
        <item x="328"/>
        <item x="694"/>
        <item x="226"/>
        <item x="550"/>
        <item x="46"/>
        <item x="94"/>
        <item x="790"/>
        <item x="922"/>
        <item x="520"/>
        <item x="826"/>
        <item x="844"/>
        <item x="514"/>
        <item x="838"/>
        <item x="28"/>
        <item x="700"/>
        <item x="538"/>
        <item x="310"/>
        <item x="526"/>
        <item x="172"/>
        <item x="4"/>
        <item x="676"/>
        <item x="472"/>
        <item x="724"/>
        <item x="802"/>
        <item x="424"/>
        <item x="244"/>
        <item x="754"/>
        <item x="562"/>
        <item x="946"/>
        <item x="556"/>
        <item x="112"/>
        <item x="268"/>
        <item x="166"/>
        <item x="250"/>
        <item x="388"/>
        <item x="64"/>
        <item t="default"/>
      </items>
    </pivotField>
    <pivotField compact="0" showAll="0">
      <items count="990">
        <item x="931"/>
        <item x="5"/>
        <item x="961"/>
        <item x="304"/>
        <item x="339"/>
        <item x="268"/>
        <item x="541"/>
        <item x="89"/>
        <item x="185"/>
        <item x="919"/>
        <item x="636"/>
        <item x="518"/>
        <item x="595"/>
        <item x="683"/>
        <item x="512"/>
        <item x="689"/>
        <item x="577"/>
        <item x="601"/>
        <item x="842"/>
        <item x="660"/>
        <item x="889"/>
        <item x="630"/>
        <item x="35"/>
        <item x="59"/>
        <item x="65"/>
        <item x="310"/>
        <item x="250"/>
        <item x="719"/>
        <item x="901"/>
        <item x="155"/>
        <item x="830"/>
        <item x="565"/>
        <item x="742"/>
        <item x="754"/>
        <item x="695"/>
        <item x="149"/>
        <item x="547"/>
        <item x="41"/>
        <item x="161"/>
        <item x="387"/>
        <item x="778"/>
        <item x="772"/>
        <item x="949"/>
        <item x="895"/>
        <item x="11"/>
        <item x="606"/>
        <item x="984"/>
        <item x="179"/>
        <item x="865"/>
        <item x="274"/>
        <item x="925"/>
        <item x="298"/>
        <item x="812"/>
        <item x="393"/>
        <item x="535"/>
        <item x="244"/>
        <item x="191"/>
        <item x="429"/>
        <item x="666"/>
        <item x="95"/>
        <item x="357"/>
        <item x="71"/>
        <item x="859"/>
        <item x="220"/>
        <item x="417"/>
        <item x="101"/>
        <item x="125"/>
        <item x="748"/>
        <item x="871"/>
        <item x="477"/>
        <item x="459"/>
        <item x="280"/>
        <item x="447"/>
        <item x="654"/>
        <item x="29"/>
        <item x="209"/>
        <item x="725"/>
        <item x="488"/>
        <item x="119"/>
        <item x="238"/>
        <item x="328"/>
        <item x="369"/>
        <item x="784"/>
        <item x="483"/>
        <item x="713"/>
        <item x="506"/>
        <item x="836"/>
        <item x="423"/>
        <item x="399"/>
        <item x="955"/>
        <item x="131"/>
        <item x="979"/>
        <item x="363"/>
        <item x="453"/>
        <item x="571"/>
        <item x="624"/>
        <item x="583"/>
        <item x="524"/>
        <item x="197"/>
        <item x="736"/>
        <item x="559"/>
        <item x="17"/>
        <item x="589"/>
        <item x="316"/>
        <item x="23"/>
        <item x="465"/>
        <item x="232"/>
        <item x="137"/>
        <item x="877"/>
        <item x="642"/>
        <item x="173"/>
        <item x="701"/>
        <item x="351"/>
        <item x="143"/>
        <item x="375"/>
        <item x="648"/>
        <item x="53"/>
        <item x="730"/>
        <item x="818"/>
        <item x="435"/>
        <item x="345"/>
        <item x="411"/>
        <item x="471"/>
        <item x="553"/>
        <item x="913"/>
        <item x="796"/>
        <item x="500"/>
        <item x="47"/>
        <item x="707"/>
        <item x="766"/>
        <item x="612"/>
        <item x="448"/>
        <item x="292"/>
        <item x="883"/>
        <item x="853"/>
        <item x="113"/>
        <item x="262"/>
        <item x="950"/>
        <item x="441"/>
        <item x="358"/>
        <item x="180"/>
        <item x="203"/>
        <item x="30"/>
        <item x="494"/>
        <item x="418"/>
        <item x="83"/>
        <item x="322"/>
        <item x="167"/>
        <item x="478"/>
        <item x="36"/>
        <item x="90"/>
        <item x="631"/>
        <item x="529"/>
        <item x="128"/>
        <item x="760"/>
        <item x="107"/>
        <item x="790"/>
        <item x="943"/>
        <item x="77"/>
        <item x="967"/>
        <item x="672"/>
        <item x="226"/>
        <item x="365"/>
        <item x="618"/>
        <item x="802"/>
        <item x="508"/>
        <item x="907"/>
        <item x="120"/>
        <item x="957"/>
        <item x="537"/>
        <item x="405"/>
        <item x="329"/>
        <item x="831"/>
        <item x="256"/>
        <item x="210"/>
        <item x="951"/>
        <item x="381"/>
        <item x="956"/>
        <item x="937"/>
        <item x="276"/>
        <item x="609"/>
        <item x="364"/>
        <item x="627"/>
        <item x="890"/>
        <item x="807"/>
        <item x="239"/>
        <item x="809"/>
        <item x="824"/>
        <item x="286"/>
        <item x="334"/>
        <item x="216"/>
        <item x="313"/>
        <item x="597"/>
        <item x="31"/>
        <item x="127"/>
        <item x="217"/>
        <item x="419"/>
        <item x="156"/>
        <item x="602"/>
        <item x="96"/>
        <item x="14"/>
        <item x="656"/>
        <item x="837"/>
        <item x="335"/>
        <item x="306"/>
        <item x="973"/>
        <item x="389"/>
        <item x="215"/>
        <item x="396"/>
        <item x="626"/>
        <item x="832"/>
        <item x="691"/>
        <item x="269"/>
        <item x="275"/>
        <item x="684"/>
        <item x="773"/>
        <item x="567"/>
        <item x="860"/>
        <item x="455"/>
        <item x="985"/>
        <item x="986"/>
        <item x="181"/>
        <item x="507"/>
        <item x="987"/>
        <item x="299"/>
        <item x="632"/>
        <item x="521"/>
        <item x="485"/>
        <item x="330"/>
        <item x="750"/>
        <item x="450"/>
        <item x="513"/>
        <item x="662"/>
        <item x="151"/>
        <item x="425"/>
        <item x="150"/>
        <item x="655"/>
        <item x="121"/>
        <item x="896"/>
        <item x="1"/>
        <item x="720"/>
        <item x="6"/>
        <item x="187"/>
        <item x="897"/>
        <item x="8"/>
        <item x="572"/>
        <item x="921"/>
        <item x="223"/>
        <item x="891"/>
        <item x="7"/>
        <item x="253"/>
        <item x="866"/>
        <item x="867"/>
        <item x="580"/>
        <item x="544"/>
        <item x="920"/>
        <item x="550"/>
        <item x="845"/>
        <item x="211"/>
        <item x="164"/>
        <item x="934"/>
        <item x="97"/>
        <item x="245"/>
        <item x="122"/>
        <item x="432"/>
        <item x="491"/>
        <item x="0"/>
        <item x="37"/>
        <item x="182"/>
        <item x="716"/>
        <item x="66"/>
        <item x="420"/>
        <item x="2"/>
        <item x="922"/>
        <item x="751"/>
        <item x="60"/>
        <item x="749"/>
        <item x="625"/>
        <item x="980"/>
        <item x="186"/>
        <item x="714"/>
        <item x="981"/>
        <item x="359"/>
        <item x="952"/>
        <item x="104"/>
        <item x="808"/>
        <item x="657"/>
        <item x="67"/>
        <item x="874"/>
        <item x="779"/>
        <item x="573"/>
        <item x="663"/>
        <item x="898"/>
        <item x="661"/>
        <item x="838"/>
        <item x="509"/>
        <item x="158"/>
        <item x="388"/>
        <item x="342"/>
        <item x="38"/>
        <item x="566"/>
        <item x="92"/>
        <item x="283"/>
        <item x="536"/>
        <item x="91"/>
        <item x="927"/>
        <item x="743"/>
        <item x="424"/>
        <item x="744"/>
        <item x="188"/>
        <item x="240"/>
        <item x="514"/>
        <item x="157"/>
        <item x="395"/>
        <item x="74"/>
        <item x="815"/>
        <item x="964"/>
        <item x="305"/>
        <item x="775"/>
        <item x="61"/>
        <item x="247"/>
        <item x="833"/>
        <item x="596"/>
        <item x="690"/>
        <item x="757"/>
        <item x="372"/>
        <item x="633"/>
        <item x="598"/>
        <item x="394"/>
        <item x="489"/>
        <item x="904"/>
        <item x="480"/>
        <item x="138"/>
        <item x="123"/>
        <item x="819"/>
        <item x="774"/>
        <item x="926"/>
        <item x="134"/>
        <item x="377"/>
        <item x="367"/>
        <item x="542"/>
        <item x="126"/>
        <item x="603"/>
        <item x="301"/>
        <item x="456"/>
        <item x="958"/>
        <item x="639"/>
        <item x="685"/>
        <item x="437"/>
        <item x="543"/>
        <item x="484"/>
        <item x="331"/>
        <item x="715"/>
        <item x="530"/>
        <item x="129"/>
        <item x="515"/>
        <item x="581"/>
        <item x="462"/>
        <item x="241"/>
        <item x="745"/>
        <item x="868"/>
        <item x="968"/>
        <item x="752"/>
        <item x="222"/>
        <item x="804"/>
        <item x="495"/>
        <item x="277"/>
        <item x="574"/>
        <item x="938"/>
        <item x="55"/>
        <item x="336"/>
        <item x="803"/>
        <item x="787"/>
        <item x="69"/>
        <item x="781"/>
        <item x="12"/>
        <item x="454"/>
        <item x="307"/>
        <item x="761"/>
        <item x="929"/>
        <item x="861"/>
        <item x="451"/>
        <item x="25"/>
        <item x="692"/>
        <item x="3"/>
        <item x="479"/>
        <item x="300"/>
        <item x="366"/>
        <item x="939"/>
        <item x="42"/>
        <item x="721"/>
        <item x="928"/>
        <item x="62"/>
        <item x="780"/>
        <item x="674"/>
        <item x="352"/>
        <item x="246"/>
        <item x="910"/>
        <item x="390"/>
        <item x="233"/>
        <item x="270"/>
        <item x="194"/>
        <item x="492"/>
        <item x="825"/>
        <item x="449"/>
        <item x="426"/>
        <item x="360"/>
        <item x="634"/>
        <item x="668"/>
        <item x="669"/>
        <item x="731"/>
        <item x="68"/>
        <item x="139"/>
        <item x="727"/>
        <item x="383"/>
        <item x="568"/>
        <item x="686"/>
        <item x="442"/>
        <item x="965"/>
        <item x="32"/>
        <item x="538"/>
        <item x="402"/>
        <item x="212"/>
        <item x="436"/>
        <item x="892"/>
        <item x="699"/>
        <item x="698"/>
        <item x="839"/>
        <item x="152"/>
        <item x="974"/>
        <item x="474"/>
        <item x="908"/>
        <item x="79"/>
        <item x="862"/>
        <item x="192"/>
        <item x="263"/>
        <item x="959"/>
        <item x="953"/>
        <item x="591"/>
        <item x="204"/>
        <item x="457"/>
        <item x="248"/>
        <item x="545"/>
        <item x="704"/>
        <item x="318"/>
        <item x="311"/>
        <item x="397"/>
        <item x="756"/>
        <item x="893"/>
        <item x="863"/>
        <item x="873"/>
        <item x="673"/>
        <item x="848"/>
        <item x="737"/>
        <item x="234"/>
        <item x="407"/>
        <item x="728"/>
        <item x="98"/>
        <item x="976"/>
        <item x="658"/>
        <item x="510"/>
        <item x="271"/>
        <item x="93"/>
        <item x="159"/>
        <item x="708"/>
        <item x="15"/>
        <item x="189"/>
        <item x="792"/>
        <item x="988"/>
        <item x="539"/>
        <item x="604"/>
        <item x="628"/>
        <item x="227"/>
        <item x="854"/>
        <item x="944"/>
        <item x="522"/>
        <item x="44"/>
        <item x="24"/>
        <item x="909"/>
        <item x="461"/>
        <item x="878"/>
        <item x="146"/>
        <item x="899"/>
        <item x="675"/>
        <item x="413"/>
        <item x="361"/>
        <item x="84"/>
        <item x="284"/>
        <item x="102"/>
        <item x="816"/>
        <item x="785"/>
        <item x="746"/>
        <item x="193"/>
        <item x="75"/>
        <item x="265"/>
        <item x="693"/>
        <item x="116"/>
        <item x="885"/>
        <item x="144"/>
        <item x="13"/>
        <item x="384"/>
        <item x="717"/>
        <item x="288"/>
        <item x="903"/>
        <item x="664"/>
        <item x="170"/>
        <item x="501"/>
        <item x="323"/>
        <item x="578"/>
        <item x="289"/>
        <item x="755"/>
        <item x="687"/>
        <item x="799"/>
        <item x="337"/>
        <item x="813"/>
        <item x="468"/>
        <item x="370"/>
        <item x="460"/>
        <item x="132"/>
        <item x="797"/>
        <item x="722"/>
        <item x="710"/>
        <item x="826"/>
        <item x="554"/>
        <item x="982"/>
        <item x="473"/>
        <item x="443"/>
        <item x="703"/>
        <item x="697"/>
        <item x="254"/>
        <item x="490"/>
        <item x="560"/>
        <item x="679"/>
        <item x="317"/>
        <item x="607"/>
        <item x="312"/>
        <item x="620"/>
        <item x="258"/>
        <item x="72"/>
        <item x="293"/>
        <item x="56"/>
        <item x="242"/>
        <item x="421"/>
        <item x="758"/>
        <item x="400"/>
        <item x="637"/>
        <item x="371"/>
        <item x="162"/>
        <item x="259"/>
        <item x="224"/>
        <item x="340"/>
        <item x="805"/>
        <item x="872"/>
        <item x="26"/>
        <item x="314"/>
        <item x="324"/>
        <item x="855"/>
        <item x="551"/>
        <item x="846"/>
        <item x="678"/>
        <item x="382"/>
        <item x="109"/>
        <item x="73"/>
        <item x="99"/>
        <item x="585"/>
        <item x="884"/>
        <item x="39"/>
        <item x="332"/>
        <item x="769"/>
        <item x="343"/>
        <item x="48"/>
        <item x="738"/>
        <item x="281"/>
        <item x="438"/>
        <item x="584"/>
        <item x="869"/>
        <item x="353"/>
        <item x="762"/>
        <item x="519"/>
        <item x="569"/>
        <item x="834"/>
        <item x="850"/>
        <item x="843"/>
        <item x="610"/>
        <item x="880"/>
        <item x="33"/>
        <item x="768"/>
        <item x="791"/>
        <item x="726"/>
        <item x="935"/>
        <item x="168"/>
        <item x="649"/>
        <item x="218"/>
        <item x="782"/>
        <item x="723"/>
        <item x="592"/>
        <item x="962"/>
        <item x="229"/>
        <item x="19"/>
        <item x="548"/>
        <item x="115"/>
        <item x="827"/>
        <item x="9"/>
        <item x="680"/>
        <item x="163"/>
        <item x="433"/>
        <item x="412"/>
        <item x="496"/>
        <item x="347"/>
        <item x="590"/>
        <item x="613"/>
        <item x="169"/>
        <item x="556"/>
        <item x="105"/>
        <item x="235"/>
        <item x="446"/>
        <item x="135"/>
        <item x="376"/>
        <item x="174"/>
        <item x="472"/>
        <item x="406"/>
        <item x="391"/>
        <item x="221"/>
        <item x="644"/>
        <item x="525"/>
        <item x="264"/>
        <item x="302"/>
        <item x="932"/>
        <item x="923"/>
        <item x="341"/>
        <item x="670"/>
        <item x="914"/>
        <item x="45"/>
        <item x="409"/>
        <item x="213"/>
        <item x="640"/>
        <item x="463"/>
        <item x="875"/>
        <item x="798"/>
        <item x="575"/>
        <item x="257"/>
        <item x="110"/>
        <item x="54"/>
        <item x="287"/>
        <item x="963"/>
        <item x="114"/>
        <item x="555"/>
        <item x="696"/>
        <item x="651"/>
        <item x="325"/>
        <item x="198"/>
        <item x="184"/>
        <item x="915"/>
        <item x="219"/>
        <item x="49"/>
        <item x="767"/>
        <item x="879"/>
        <item x="753"/>
        <item x="308"/>
        <item x="403"/>
        <item x="228"/>
        <item x="814"/>
        <item x="520"/>
        <item x="969"/>
        <item x="348"/>
        <item x="183"/>
        <item x="946"/>
        <item x="579"/>
        <item x="295"/>
        <item x="793"/>
        <item x="63"/>
        <item x="940"/>
        <item x="886"/>
        <item x="933"/>
        <item x="430"/>
        <item x="145"/>
        <item x="466"/>
        <item x="50"/>
        <item x="108"/>
        <item x="739"/>
        <item x="667"/>
        <item x="549"/>
        <item x="902"/>
        <item x="140"/>
        <item x="431"/>
        <item x="821"/>
        <item x="175"/>
        <item x="975"/>
        <item x="165"/>
        <item x="176"/>
        <item x="650"/>
        <item x="599"/>
        <item x="945"/>
        <item x="788"/>
        <item x="619"/>
        <item x="414"/>
        <item x="643"/>
        <item x="828"/>
        <item x="124"/>
        <item x="532"/>
        <item x="709"/>
        <item x="467"/>
        <item x="771"/>
        <item x="80"/>
        <item x="427"/>
        <item x="294"/>
        <item x="849"/>
        <item x="428"/>
        <item x="401"/>
        <item x="272"/>
        <item x="740"/>
        <item x="586"/>
        <item x="858"/>
        <item x="905"/>
        <item x="881"/>
        <item x="810"/>
        <item x="282"/>
        <item x="800"/>
        <item x="486"/>
        <item x="205"/>
        <item x="303"/>
        <item x="373"/>
        <item x="133"/>
        <item x="482"/>
        <item x="702"/>
        <item x="153"/>
        <item x="635"/>
        <item x="199"/>
        <item x="844"/>
        <item x="200"/>
        <item x="349"/>
        <item x="516"/>
        <item x="278"/>
        <item x="195"/>
        <item x="481"/>
        <item x="51"/>
        <item x="531"/>
        <item x="34"/>
        <item x="78"/>
        <item x="665"/>
        <item x="20"/>
        <item x="10"/>
        <item x="502"/>
        <item x="18"/>
        <item x="354"/>
        <item x="475"/>
        <item x="251"/>
        <item x="103"/>
        <item x="856"/>
        <item x="562"/>
        <item x="776"/>
        <item x="561"/>
        <item x="497"/>
        <item x="777"/>
        <item x="608"/>
        <item x="252"/>
        <item x="346"/>
        <item x="916"/>
        <item x="85"/>
        <item x="741"/>
        <item x="764"/>
        <item x="840"/>
        <item x="732"/>
        <item x="947"/>
        <item x="540"/>
        <item x="593"/>
        <item x="503"/>
        <item x="117"/>
        <item x="333"/>
        <item x="622"/>
        <item x="676"/>
        <item x="368"/>
        <item x="398"/>
        <item x="444"/>
        <item x="820"/>
        <item x="86"/>
        <item x="43"/>
        <item x="81"/>
        <item x="653"/>
        <item x="416"/>
        <item x="141"/>
        <item x="786"/>
        <item x="27"/>
        <item x="439"/>
        <item x="794"/>
        <item x="273"/>
        <item x="614"/>
        <item x="970"/>
        <item x="469"/>
        <item x="378"/>
        <item x="645"/>
        <item x="237"/>
        <item x="711"/>
        <item x="621"/>
        <item x="392"/>
        <item x="712"/>
        <item x="201"/>
        <item x="763"/>
        <item x="564"/>
        <item x="887"/>
        <item x="362"/>
        <item x="638"/>
        <item x="214"/>
        <item x="208"/>
        <item x="971"/>
        <item x="733"/>
        <item x="977"/>
        <item x="505"/>
        <item x="415"/>
        <item x="177"/>
        <item x="900"/>
        <item x="408"/>
        <item x="948"/>
        <item x="734"/>
        <item x="452"/>
        <item x="21"/>
        <item x="864"/>
        <item x="930"/>
        <item x="594"/>
        <item x="319"/>
        <item x="487"/>
        <item x="40"/>
        <item x="587"/>
        <item x="290"/>
        <item x="178"/>
        <item x="527"/>
        <item x="682"/>
        <item x="206"/>
        <item x="978"/>
        <item x="526"/>
        <item x="58"/>
        <item x="615"/>
        <item x="911"/>
        <item x="422"/>
        <item x="476"/>
        <item x="954"/>
        <item x="705"/>
        <item x="941"/>
        <item x="851"/>
        <item x="118"/>
        <item x="64"/>
        <item x="888"/>
        <item x="57"/>
        <item x="917"/>
        <item x="811"/>
        <item x="783"/>
        <item x="88"/>
        <item x="870"/>
        <item x="379"/>
        <item x="822"/>
        <item x="659"/>
        <item x="100"/>
        <item x="355"/>
        <item x="338"/>
        <item x="806"/>
        <item x="249"/>
        <item x="646"/>
        <item x="616"/>
        <item x="576"/>
        <item x="148"/>
        <item x="94"/>
        <item x="605"/>
        <item x="835"/>
        <item x="504"/>
        <item x="546"/>
        <item x="801"/>
        <item x="171"/>
        <item x="230"/>
        <item x="629"/>
        <item x="87"/>
        <item x="498"/>
        <item x="111"/>
        <item x="983"/>
        <item x="841"/>
        <item x="190"/>
        <item x="924"/>
        <item x="147"/>
        <item x="647"/>
        <item x="600"/>
        <item x="894"/>
        <item x="445"/>
        <item x="681"/>
        <item x="160"/>
        <item x="517"/>
        <item x="857"/>
        <item x="747"/>
        <item x="260"/>
        <item x="557"/>
        <item x="694"/>
        <item x="28"/>
        <item x="279"/>
        <item x="385"/>
        <item x="236"/>
        <item x="154"/>
        <item x="652"/>
        <item x="327"/>
        <item x="534"/>
        <item x="207"/>
        <item x="724"/>
        <item x="458"/>
        <item x="563"/>
        <item x="718"/>
        <item x="918"/>
        <item x="297"/>
        <item x="770"/>
        <item x="320"/>
        <item x="70"/>
        <item x="386"/>
        <item x="243"/>
        <item x="130"/>
        <item x="356"/>
        <item x="326"/>
        <item x="82"/>
        <item x="876"/>
        <item x="255"/>
        <item x="196"/>
        <item x="623"/>
        <item x="440"/>
        <item x="570"/>
        <item x="266"/>
        <item x="202"/>
        <item x="4"/>
        <item x="829"/>
        <item x="960"/>
        <item x="267"/>
        <item x="285"/>
        <item x="688"/>
        <item x="344"/>
        <item x="511"/>
        <item x="309"/>
        <item x="499"/>
        <item x="533"/>
        <item x="942"/>
        <item x="611"/>
        <item x="464"/>
        <item x="296"/>
        <item x="906"/>
        <item x="16"/>
        <item x="706"/>
        <item x="735"/>
        <item x="700"/>
        <item x="493"/>
        <item x="852"/>
        <item x="823"/>
        <item x="142"/>
        <item x="882"/>
        <item x="350"/>
        <item x="729"/>
        <item x="434"/>
        <item x="261"/>
        <item x="523"/>
        <item x="641"/>
        <item x="380"/>
        <item x="136"/>
        <item x="410"/>
        <item x="315"/>
        <item x="52"/>
        <item x="291"/>
        <item x="106"/>
        <item x="847"/>
        <item x="321"/>
        <item x="582"/>
        <item x="76"/>
        <item x="404"/>
        <item x="552"/>
        <item x="588"/>
        <item x="817"/>
        <item x="966"/>
        <item x="231"/>
        <item x="46"/>
        <item x="972"/>
        <item x="22"/>
        <item x="374"/>
        <item x="789"/>
        <item x="677"/>
        <item x="765"/>
        <item x="470"/>
        <item x="617"/>
        <item x="936"/>
        <item x="759"/>
        <item x="112"/>
        <item x="528"/>
        <item x="795"/>
        <item x="172"/>
        <item x="912"/>
        <item x="166"/>
        <item x="558"/>
        <item x="225"/>
        <item x="671"/>
        <item t="default"/>
      </items>
    </pivotField>
    <pivotField dataField="1" compact="0" showAll="0">
      <items count="1001">
        <item x="703"/>
        <item x="263"/>
        <item x="293"/>
        <item x="713"/>
        <item x="415"/>
        <item x="113"/>
        <item x="173"/>
        <item x="317"/>
        <item x="647"/>
        <item x="919"/>
        <item x="763"/>
        <item x="443"/>
        <item x="707"/>
        <item x="17"/>
        <item x="23"/>
        <item x="289"/>
        <item x="389"/>
        <item x="13"/>
        <item x="593"/>
        <item x="11"/>
        <item x="373"/>
        <item x="473"/>
        <item x="233"/>
        <item x="857"/>
        <item x="941"/>
        <item x="527"/>
        <item x="89"/>
        <item x="215"/>
        <item x="887"/>
        <item x="161"/>
        <item x="587"/>
        <item x="197"/>
        <item x="191"/>
        <item x="463"/>
        <item x="341"/>
        <item x="107"/>
        <item x="821"/>
        <item x="185"/>
        <item x="911"/>
        <item x="899"/>
        <item x="761"/>
        <item x="235"/>
        <item x="275"/>
        <item x="863"/>
        <item x="137"/>
        <item x="143"/>
        <item x="503"/>
        <item x="743"/>
        <item x="839"/>
        <item x="947"/>
        <item x="803"/>
        <item x="101"/>
        <item x="773"/>
        <item x="221"/>
        <item x="563"/>
        <item x="767"/>
        <item x="84"/>
        <item x="797"/>
        <item x="479"/>
        <item x="132"/>
        <item x="558"/>
        <item x="395"/>
        <item x="438"/>
        <item x="311"/>
        <item x="875"/>
        <item x="893"/>
        <item x="569"/>
        <item x="737"/>
        <item x="257"/>
        <item x="641"/>
        <item x="359"/>
        <item x="815"/>
        <item x="407"/>
        <item x="203"/>
        <item x="714"/>
        <item x="419"/>
        <item x="869"/>
        <item x="557"/>
        <item x="971"/>
        <item x="953"/>
        <item x="269"/>
        <item x="383"/>
        <item x="977"/>
        <item x="665"/>
        <item x="881"/>
        <item x="227"/>
        <item x="895"/>
        <item x="689"/>
        <item x="623"/>
        <item x="29"/>
        <item x="539"/>
        <item x="335"/>
        <item x="59"/>
        <item x="779"/>
        <item x="935"/>
        <item x="905"/>
        <item x="239"/>
        <item x="617"/>
        <item x="659"/>
        <item x="431"/>
        <item x="377"/>
        <item x="167"/>
        <item x="851"/>
        <item x="323"/>
        <item x="653"/>
        <item x="599"/>
        <item x="65"/>
        <item x="401"/>
        <item x="995"/>
        <item x="492"/>
        <item x="305"/>
        <item x="5"/>
        <item x="467"/>
        <item x="228"/>
        <item x="230"/>
        <item x="732"/>
        <item x="917"/>
        <item x="984"/>
        <item x="521"/>
        <item x="497"/>
        <item x="287"/>
        <item x="437"/>
        <item x="768"/>
        <item x="581"/>
        <item x="95"/>
        <item x="125"/>
        <item x="179"/>
        <item x="677"/>
        <item x="755"/>
        <item x="683"/>
        <item x="833"/>
        <item x="281"/>
        <item x="923"/>
        <item x="455"/>
        <item x="439"/>
        <item x="983"/>
        <item x="47"/>
        <item x="533"/>
        <item x="510"/>
        <item x="978"/>
        <item x="155"/>
        <item x="929"/>
        <item x="959"/>
        <item x="690"/>
        <item x="673"/>
        <item x="425"/>
        <item x="329"/>
        <item x="534"/>
        <item x="809"/>
        <item x="491"/>
        <item x="77"/>
        <item x="42"/>
        <item x="102"/>
        <item x="72"/>
        <item x="605"/>
        <item x="498"/>
        <item x="827"/>
        <item x="372"/>
        <item x="965"/>
        <item x="347"/>
        <item x="545"/>
        <item x="119"/>
        <item x="319"/>
        <item x="791"/>
        <item x="299"/>
        <item x="413"/>
        <item x="30"/>
        <item x="83"/>
        <item x="528"/>
        <item x="353"/>
        <item x="336"/>
        <item x="845"/>
        <item x="276"/>
        <item x="149"/>
        <item x="209"/>
        <item x="582"/>
        <item x="710"/>
        <item x="695"/>
        <item x="360"/>
        <item x="551"/>
        <item x="485"/>
        <item x="371"/>
        <item x="989"/>
        <item x="138"/>
        <item x="671"/>
        <item x="139"/>
        <item x="365"/>
        <item x="53"/>
        <item x="635"/>
        <item x="986"/>
        <item x="731"/>
        <item x="384"/>
        <item x="379"/>
        <item x="701"/>
        <item x="259"/>
        <item x="961"/>
        <item x="131"/>
        <item x="120"/>
        <item x="245"/>
        <item x="73"/>
        <item x="260"/>
        <item x="251"/>
        <item x="515"/>
        <item x="725"/>
        <item x="629"/>
        <item x="509"/>
        <item x="749"/>
        <item x="575"/>
        <item x="35"/>
        <item x="71"/>
        <item x="611"/>
        <item x="719"/>
        <item x="631"/>
        <item x="449"/>
        <item x="612"/>
        <item x="461"/>
        <item x="421"/>
        <item x="180"/>
        <item x="96"/>
        <item x="270"/>
        <item x="792"/>
        <item x="822"/>
        <item x="828"/>
        <item x="182"/>
        <item x="90"/>
        <item x="836"/>
        <item x="858"/>
        <item x="170"/>
        <item x="834"/>
        <item x="589"/>
        <item x="41"/>
        <item x="769"/>
        <item x="223"/>
        <item x="661"/>
        <item x="785"/>
        <item x="354"/>
        <item x="932"/>
        <item x="266"/>
        <item x="642"/>
        <item x="277"/>
        <item x="222"/>
        <item x="488"/>
        <item x="55"/>
        <item x="444"/>
        <item x="896"/>
        <item x="901"/>
        <item x="204"/>
        <item x="996"/>
        <item x="408"/>
        <item x="762"/>
        <item x="810"/>
        <item x="799"/>
        <item x="606"/>
        <item x="146"/>
        <item x="229"/>
        <item x="780"/>
        <item x="564"/>
        <item x="948"/>
        <item x="79"/>
        <item x="660"/>
        <item x="906"/>
        <item x="115"/>
        <item x="175"/>
        <item x="474"/>
        <item x="434"/>
        <item x="841"/>
        <item x="806"/>
        <item x="193"/>
        <item x="907"/>
        <item x="25"/>
        <item x="331"/>
        <item x="949"/>
        <item x="830"/>
        <item x="816"/>
        <item x="716"/>
        <item x="632"/>
        <item x="290"/>
        <item x="738"/>
        <item x="140"/>
        <item x="476"/>
        <item x="300"/>
        <item x="450"/>
        <item x="330"/>
        <item x="559"/>
        <item x="12"/>
        <item x="217"/>
        <item x="888"/>
        <item x="312"/>
        <item x="744"/>
        <item x="883"/>
        <item x="282"/>
        <item x="979"/>
        <item x="522"/>
        <item x="960"/>
        <item x="511"/>
        <item x="378"/>
        <item x="427"/>
        <item x="774"/>
        <item x="37"/>
        <item x="234"/>
        <item x="894"/>
        <item x="954"/>
        <item x="614"/>
        <item x="324"/>
        <item x="823"/>
        <item x="973"/>
        <item x="355"/>
        <item x="192"/>
        <item x="1"/>
        <item x="114"/>
        <item x="218"/>
        <item x="776"/>
        <item x="920"/>
        <item x="181"/>
        <item x="470"/>
        <item x="24"/>
        <item x="420"/>
        <item x="121"/>
        <item x="601"/>
        <item x="128"/>
        <item x="504"/>
        <item x="480"/>
        <item x="349"/>
        <item x="571"/>
        <item x="804"/>
        <item x="409"/>
        <item x="595"/>
        <item x="882"/>
        <item x="679"/>
        <item x="342"/>
        <item x="110"/>
        <item x="109"/>
        <item x="942"/>
        <item x="0"/>
        <item x="264"/>
        <item x="36"/>
        <item x="930"/>
        <item x="31"/>
        <item x="416"/>
        <item x="158"/>
        <item x="452"/>
        <item x="294"/>
        <item x="307"/>
        <item x="672"/>
        <item x="962"/>
        <item x="14"/>
        <item x="654"/>
        <item x="967"/>
        <item x="210"/>
        <item x="702"/>
        <item x="943"/>
        <item x="877"/>
        <item x="457"/>
        <item x="913"/>
        <item x="48"/>
        <item x="524"/>
        <item x="108"/>
        <item x="385"/>
        <item x="216"/>
        <item x="325"/>
        <item x="398"/>
        <item x="846"/>
        <item x="493"/>
        <item x="536"/>
        <item x="576"/>
        <item x="168"/>
        <item x="624"/>
        <item x="367"/>
        <item x="344"/>
        <item x="636"/>
        <item x="697"/>
        <item x="997"/>
        <item x="386"/>
        <item x="296"/>
        <item x="852"/>
        <item x="122"/>
        <item x="433"/>
        <item x="402"/>
        <item x="403"/>
        <item x="541"/>
        <item x="786"/>
        <item x="78"/>
        <item x="529"/>
        <item x="583"/>
        <item x="432"/>
        <item x="668"/>
        <item x="972"/>
        <item x="314"/>
        <item x="607"/>
        <item x="733"/>
        <item x="840"/>
        <item x="391"/>
        <item x="686"/>
        <item x="876"/>
        <item x="487"/>
        <item x="462"/>
        <item x="211"/>
        <item x="174"/>
        <item x="974"/>
        <item x="91"/>
        <item x="80"/>
        <item x="133"/>
        <item x="366"/>
        <item x="865"/>
        <item x="26"/>
        <item x="918"/>
        <item x="313"/>
        <item x="127"/>
        <item x="74"/>
        <item x="252"/>
        <item x="224"/>
        <item x="150"/>
        <item x="38"/>
        <item x="912"/>
        <item x="54"/>
        <item x="554"/>
        <item x="361"/>
        <item x="758"/>
        <item x="708"/>
        <item x="66"/>
        <item x="750"/>
        <item x="860"/>
        <item x="870"/>
        <item x="116"/>
        <item x="678"/>
        <item x="854"/>
        <item x="764"/>
        <item x="818"/>
        <item x="253"/>
        <item x="144"/>
        <item x="157"/>
        <item x="258"/>
        <item x="835"/>
        <item x="337"/>
        <item x="548"/>
        <item x="326"/>
        <item x="618"/>
        <item x="56"/>
        <item x="966"/>
        <item x="866"/>
        <item x="560"/>
        <item x="156"/>
        <item x="900"/>
        <item x="648"/>
        <item x="240"/>
        <item x="200"/>
        <item x="468"/>
        <item x="666"/>
        <item x="61"/>
        <item x="506"/>
        <item x="176"/>
        <item x="414"/>
        <item x="540"/>
        <item x="570"/>
        <item x="482"/>
        <item x="284"/>
        <item x="356"/>
        <item x="655"/>
        <item x="348"/>
        <item x="696"/>
        <item x="302"/>
        <item x="18"/>
        <item x="552"/>
        <item x="475"/>
        <item x="318"/>
        <item x="254"/>
        <item x="649"/>
        <item x="637"/>
        <item x="715"/>
        <item x="926"/>
        <item x="625"/>
        <item x="745"/>
        <item x="553"/>
        <item x="931"/>
        <item x="720"/>
        <item x="445"/>
        <item x="19"/>
        <item x="842"/>
        <item x="6"/>
        <item x="512"/>
        <item x="97"/>
        <item x="350"/>
        <item x="680"/>
        <item x="198"/>
        <item x="169"/>
        <item x="794"/>
        <item x="546"/>
        <item x="853"/>
        <item x="422"/>
        <item x="924"/>
        <item x="187"/>
        <item x="469"/>
        <item x="685"/>
        <item x="163"/>
        <item x="824"/>
        <item x="925"/>
        <item x="535"/>
        <item x="630"/>
        <item x="864"/>
        <item x="596"/>
        <item x="440"/>
        <item x="662"/>
        <item x="691"/>
        <item x="812"/>
        <item x="50"/>
        <item x="145"/>
        <item x="684"/>
        <item x="306"/>
        <item x="577"/>
        <item x="288"/>
        <item x="757"/>
        <item x="104"/>
        <item x="936"/>
        <item x="380"/>
        <item x="67"/>
        <item x="752"/>
        <item x="588"/>
        <item x="859"/>
        <item x="278"/>
        <item x="798"/>
        <item x="392"/>
        <item x="955"/>
        <item x="295"/>
        <item x="499"/>
        <item x="481"/>
        <item x="594"/>
        <item x="613"/>
        <item x="626"/>
        <item x="151"/>
        <item x="992"/>
        <item x="523"/>
        <item x="456"/>
        <item x="390"/>
        <item x="829"/>
        <item x="486"/>
        <item x="162"/>
        <item x="751"/>
        <item x="756"/>
        <item x="186"/>
        <item x="721"/>
        <item x="608"/>
        <item x="301"/>
        <item x="739"/>
        <item x="619"/>
        <item x="968"/>
        <item x="793"/>
        <item x="746"/>
        <item x="134"/>
        <item x="726"/>
        <item x="60"/>
        <item x="247"/>
        <item x="43"/>
        <item x="990"/>
        <item x="998"/>
        <item x="667"/>
        <item x="956"/>
        <item x="938"/>
        <item x="709"/>
        <item x="126"/>
        <item x="500"/>
        <item x="937"/>
        <item x="985"/>
        <item x="246"/>
        <item x="584"/>
        <item x="643"/>
        <item x="346"/>
        <item x="446"/>
        <item x="987"/>
        <item x="775"/>
        <item x="241"/>
        <item x="249"/>
        <item x="600"/>
        <item x="283"/>
        <item x="464"/>
        <item x="516"/>
        <item x="565"/>
        <item x="627"/>
        <item x="451"/>
        <item x="902"/>
        <item x="92"/>
        <item x="847"/>
        <item x="164"/>
        <item x="787"/>
        <item x="205"/>
        <item x="426"/>
        <item x="890"/>
        <item x="397"/>
        <item x="650"/>
        <item x="781"/>
        <item x="811"/>
        <item x="466"/>
        <item x="49"/>
        <item x="770"/>
        <item x="817"/>
        <item x="734"/>
        <item x="502"/>
        <item x="410"/>
        <item x="103"/>
        <item x="286"/>
        <item x="199"/>
        <item x="884"/>
        <item x="396"/>
        <item x="663"/>
        <item x="698"/>
        <item x="950"/>
        <item x="848"/>
        <item x="652"/>
        <item x="494"/>
        <item x="566"/>
        <item x="891"/>
        <item x="505"/>
        <item x="736"/>
        <item x="944"/>
        <item x="265"/>
        <item x="16"/>
        <item x="188"/>
        <item x="32"/>
        <item x="633"/>
        <item x="271"/>
        <item x="411"/>
        <item x="242"/>
        <item x="8"/>
        <item x="381"/>
        <item x="417"/>
        <item x="338"/>
        <item x="800"/>
        <item x="316"/>
        <item x="602"/>
        <item x="889"/>
        <item x="620"/>
        <item x="404"/>
        <item x="85"/>
        <item x="722"/>
        <item x="343"/>
        <item x="7"/>
        <item x="723"/>
        <item x="152"/>
        <item x="320"/>
        <item x="368"/>
        <item x="656"/>
        <item x="590"/>
        <item x="597"/>
        <item x="351"/>
        <item x="547"/>
        <item x="704"/>
        <item x="909"/>
        <item x="727"/>
        <item x="517"/>
        <item x="530"/>
        <item x="805"/>
        <item x="740"/>
        <item x="871"/>
        <item x="705"/>
        <item x="206"/>
        <item x="578"/>
        <item x="202"/>
        <item x="428"/>
        <item x="236"/>
        <item x="572"/>
        <item x="98"/>
        <item x="980"/>
        <item x="878"/>
        <item x="742"/>
        <item x="201"/>
        <item x="256"/>
        <item x="692"/>
        <item x="76"/>
        <item x="2"/>
        <item x="957"/>
        <item x="908"/>
        <item x="991"/>
        <item x="272"/>
        <item x="82"/>
        <item x="194"/>
        <item x="20"/>
        <item x="136"/>
        <item x="807"/>
        <item x="44"/>
        <item x="86"/>
        <item x="616"/>
        <item x="872"/>
        <item x="717"/>
        <item x="248"/>
        <item x="369"/>
        <item x="471"/>
        <item x="62"/>
        <item x="711"/>
        <item x="518"/>
        <item x="638"/>
        <item x="747"/>
        <item x="914"/>
        <item x="993"/>
        <item x="477"/>
        <item x="674"/>
        <item x="458"/>
        <item x="189"/>
        <item x="34"/>
        <item x="68"/>
        <item x="982"/>
        <item x="837"/>
        <item x="782"/>
        <item x="308"/>
        <item x="291"/>
        <item x="927"/>
        <item x="441"/>
        <item x="141"/>
        <item x="232"/>
        <item x="453"/>
        <item x="255"/>
        <item x="382"/>
        <item x="669"/>
        <item x="958"/>
        <item x="184"/>
        <item x="759"/>
        <item x="220"/>
        <item x="436"/>
        <item x="513"/>
        <item x="212"/>
        <item x="177"/>
        <item x="862"/>
        <item x="892"/>
        <item x="728"/>
        <item x="40"/>
        <item x="448"/>
        <item x="51"/>
        <item x="332"/>
        <item x="75"/>
        <item x="123"/>
        <item x="921"/>
        <item x="442"/>
        <item x="117"/>
        <item x="542"/>
        <item x="362"/>
        <item x="525"/>
        <item x="861"/>
        <item x="644"/>
        <item x="406"/>
        <item x="196"/>
        <item x="874"/>
        <item x="771"/>
        <item x="585"/>
        <item x="69"/>
        <item x="939"/>
        <item x="784"/>
        <item x="788"/>
        <item x="592"/>
        <item x="886"/>
        <item x="374"/>
        <item x="598"/>
        <item x="147"/>
        <item x="591"/>
        <item x="129"/>
        <item x="777"/>
        <item x="357"/>
        <item x="999"/>
        <item x="430"/>
        <item x="243"/>
        <item x="789"/>
        <item x="214"/>
        <item x="657"/>
        <item x="87"/>
        <item x="33"/>
        <item x="760"/>
        <item x="3"/>
        <item x="681"/>
        <item x="741"/>
        <item x="454"/>
        <item x="57"/>
        <item x="640"/>
        <item x="142"/>
        <item x="304"/>
        <item x="903"/>
        <item x="801"/>
        <item x="27"/>
        <item x="124"/>
        <item x="568"/>
        <item x="573"/>
        <item x="544"/>
        <item x="549"/>
        <item x="699"/>
        <item x="658"/>
        <item x="832"/>
        <item x="778"/>
        <item x="765"/>
        <item x="459"/>
        <item x="10"/>
        <item x="940"/>
        <item x="81"/>
        <item x="808"/>
        <item x="753"/>
        <item x="712"/>
        <item x="93"/>
        <item x="333"/>
        <item x="423"/>
        <item x="952"/>
        <item x="820"/>
        <item x="772"/>
        <item x="159"/>
        <item x="238"/>
        <item x="897"/>
        <item x="171"/>
        <item x="418"/>
        <item x="688"/>
        <item x="543"/>
        <item x="106"/>
        <item x="687"/>
        <item x="646"/>
        <item x="868"/>
        <item x="831"/>
        <item x="303"/>
        <item x="352"/>
        <item x="207"/>
        <item x="495"/>
        <item x="399"/>
        <item x="916"/>
        <item x="855"/>
        <item x="412"/>
        <item x="262"/>
        <item x="814"/>
        <item x="339"/>
        <item x="135"/>
        <item x="322"/>
        <item x="873"/>
        <item x="910"/>
        <item x="321"/>
        <item x="400"/>
        <item x="22"/>
        <item x="981"/>
        <item x="856"/>
        <item x="621"/>
        <item x="105"/>
        <item x="580"/>
        <item x="975"/>
        <item x="639"/>
        <item x="610"/>
        <item x="315"/>
        <item x="21"/>
        <item x="465"/>
        <item x="376"/>
        <item x="345"/>
        <item x="237"/>
        <item x="490"/>
        <item x="507"/>
        <item x="274"/>
        <item x="729"/>
        <item x="885"/>
        <item x="945"/>
        <item x="693"/>
        <item x="706"/>
        <item x="387"/>
        <item x="99"/>
        <item x="634"/>
        <item x="501"/>
        <item x="963"/>
        <item x="586"/>
        <item x="561"/>
        <item x="933"/>
        <item x="327"/>
        <item x="819"/>
        <item x="537"/>
        <item x="796"/>
        <item x="484"/>
        <item x="969"/>
        <item x="670"/>
        <item x="447"/>
        <item x="567"/>
        <item x="531"/>
        <item x="334"/>
        <item x="645"/>
        <item x="363"/>
        <item x="532"/>
        <item x="483"/>
        <item x="555"/>
        <item x="340"/>
        <item x="39"/>
        <item x="267"/>
        <item x="219"/>
        <item x="579"/>
        <item x="976"/>
        <item x="795"/>
        <item x="843"/>
        <item x="682"/>
        <item x="867"/>
        <item x="226"/>
        <item x="766"/>
        <item x="58"/>
        <item x="615"/>
        <item x="951"/>
        <item x="675"/>
        <item x="231"/>
        <item x="603"/>
        <item x="280"/>
        <item x="988"/>
        <item x="651"/>
        <item x="394"/>
        <item x="735"/>
        <item x="496"/>
        <item x="609"/>
        <item x="622"/>
        <item x="88"/>
        <item x="730"/>
        <item x="292"/>
        <item x="915"/>
        <item x="718"/>
        <item x="922"/>
        <item x="52"/>
        <item x="9"/>
        <item x="748"/>
        <item x="825"/>
        <item x="489"/>
        <item x="297"/>
        <item x="285"/>
        <item x="676"/>
        <item x="393"/>
        <item x="111"/>
        <item x="279"/>
        <item x="15"/>
        <item x="63"/>
        <item x="519"/>
        <item x="261"/>
        <item x="898"/>
        <item x="604"/>
        <item x="309"/>
        <item x="153"/>
        <item x="934"/>
        <item x="100"/>
        <item x="783"/>
        <item x="849"/>
        <item x="225"/>
        <item x="172"/>
        <item x="850"/>
        <item x="130"/>
        <item x="273"/>
        <item x="195"/>
        <item x="46"/>
        <item x="904"/>
        <item x="364"/>
        <item x="664"/>
        <item x="928"/>
        <item x="213"/>
        <item x="802"/>
        <item x="298"/>
        <item x="826"/>
        <item x="478"/>
        <item x="994"/>
        <item x="405"/>
        <item x="880"/>
        <item x="178"/>
        <item x="562"/>
        <item x="358"/>
        <item x="508"/>
        <item x="118"/>
        <item x="375"/>
        <item x="970"/>
        <item x="429"/>
        <item x="472"/>
        <item x="183"/>
        <item x="879"/>
        <item x="165"/>
        <item x="160"/>
        <item x="964"/>
        <item x="628"/>
        <item x="574"/>
        <item x="694"/>
        <item x="946"/>
        <item x="70"/>
        <item x="460"/>
        <item x="166"/>
        <item x="112"/>
        <item x="45"/>
        <item x="526"/>
        <item x="370"/>
        <item x="154"/>
        <item x="328"/>
        <item x="190"/>
        <item x="813"/>
        <item x="148"/>
        <item x="208"/>
        <item x="514"/>
        <item x="435"/>
        <item x="556"/>
        <item x="838"/>
        <item x="550"/>
        <item x="310"/>
        <item x="520"/>
        <item x="94"/>
        <item x="790"/>
        <item x="844"/>
        <item x="4"/>
        <item x="28"/>
        <item x="700"/>
        <item x="538"/>
        <item x="724"/>
        <item x="244"/>
        <item x="754"/>
        <item x="268"/>
        <item x="424"/>
        <item x="388"/>
        <item x="250"/>
        <item x="64"/>
        <item t="default"/>
      </items>
    </pivotField>
    <pivotField dragToCol="0" dragToPage="0" dragToRow="0" compact="0" showAll="0"/>
  </pivotFields>
  <rowFields count="1">
    <field x="1"/>
  </rowFields>
  <rowItems count="11">
    <i>
      <x v="1"/>
    </i>
    <i>
      <x v="2"/>
    </i>
    <i>
      <x v="4"/>
    </i>
    <i>
      <x v="5"/>
    </i>
    <i>
      <x v="10"/>
    </i>
    <i>
      <x v="20"/>
    </i>
    <i>
      <x v="22"/>
    </i>
    <i>
      <x v="23"/>
    </i>
    <i>
      <x v="24"/>
    </i>
    <i>
      <x v="27"/>
    </i>
    <i t="grand">
      <x/>
    </i>
  </rowItems>
  <colItems count="1">
    <i/>
  </colItems>
  <dataFields count="1">
    <dataField name="Sum of Profit" fld="12" baseField="0" baseItem="0"/>
  </dataFields>
  <pivotTableStyleInfo name="PivotStylePreset2_Accent1" showRowHeaders="1" showColHeaders="1"/>
  <filters count="1">
    <filter evalOrder="-1" fld="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0" multipleFieldFilters="0" chartFormat="4">
  <location ref="A3:B16" firstHeaderRow="1" firstDataRow="1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1">
        <item x="5"/>
        <item x="10"/>
        <item x="3"/>
        <item x="26"/>
        <item x="16"/>
        <item x="4"/>
        <item x="6"/>
        <item x="0"/>
        <item x="12"/>
        <item x="29"/>
        <item x="22"/>
        <item x="18"/>
        <item x="11"/>
        <item x="7"/>
        <item x="2"/>
        <item x="1"/>
        <item x="14"/>
        <item x="8"/>
        <item x="24"/>
        <item x="20"/>
        <item x="27"/>
        <item x="13"/>
        <item x="15"/>
        <item x="28"/>
        <item x="9"/>
        <item x="25"/>
        <item x="23"/>
        <item x="21"/>
        <item x="17"/>
        <item x="19"/>
        <item t="default"/>
      </items>
    </pivotField>
    <pivotField compact="0" showAll="0">
      <items count="10">
        <item x="2"/>
        <item x="0"/>
        <item x="3"/>
        <item x="1"/>
        <item x="5"/>
        <item x="4"/>
        <item x="8"/>
        <item x="7"/>
        <item x="6"/>
        <item t="default"/>
      </items>
    </pivotField>
    <pivotField compact="0" showAll="0">
      <items count="10">
        <item x="2"/>
        <item x="1"/>
        <item x="3"/>
        <item x="0"/>
        <item x="5"/>
        <item x="4"/>
        <item x="8"/>
        <item x="7"/>
        <item x="6"/>
        <item t="default"/>
      </items>
    </pivotField>
    <pivotField compact="0" numFmtId="180" showAll="0">
      <items count="366">
        <item x="8"/>
        <item x="341"/>
        <item x="342"/>
        <item x="343"/>
        <item x="344"/>
        <item x="345"/>
        <item x="22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19"/>
        <item x="362"/>
        <item x="16"/>
        <item x="363"/>
        <item x="364"/>
        <item x="26"/>
        <item x="27"/>
        <item x="28"/>
        <item x="29"/>
        <item x="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13"/>
        <item x="43"/>
        <item x="44"/>
        <item x="45"/>
        <item x="46"/>
        <item x="47"/>
        <item x="48"/>
        <item x="49"/>
        <item x="50"/>
        <item x="18"/>
        <item x="51"/>
        <item x="52"/>
        <item x="53"/>
        <item x="54"/>
        <item x="55"/>
        <item x="56"/>
        <item x="57"/>
        <item x="4"/>
        <item x="58"/>
        <item x="59"/>
        <item x="60"/>
        <item x="0"/>
        <item x="61"/>
        <item x="62"/>
        <item x="63"/>
        <item x="64"/>
        <item x="65"/>
        <item x="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5"/>
        <item x="83"/>
        <item x="84"/>
        <item x="85"/>
        <item x="86"/>
        <item x="87"/>
        <item x="88"/>
        <item x="3"/>
        <item x="89"/>
        <item x="90"/>
        <item x="91"/>
        <item x="92"/>
        <item x="93"/>
        <item x="94"/>
        <item x="95"/>
        <item x="96"/>
        <item x="97"/>
        <item x="98"/>
        <item x="99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2"/>
        <item x="110"/>
        <item x="111"/>
        <item x="112"/>
        <item x="113"/>
        <item x="114"/>
        <item x="23"/>
        <item x="115"/>
        <item x="116"/>
        <item x="117"/>
        <item x="24"/>
        <item x="118"/>
        <item x="119"/>
        <item x="120"/>
        <item x="121"/>
        <item x="122"/>
        <item x="123"/>
        <item x="11"/>
        <item x="6"/>
        <item x="124"/>
        <item x="125"/>
        <item x="126"/>
        <item x="127"/>
        <item x="128"/>
        <item x="129"/>
        <item x="130"/>
        <item x="14"/>
        <item x="20"/>
        <item x="131"/>
        <item x="132"/>
        <item x="133"/>
        <item x="134"/>
        <item x="1"/>
        <item x="135"/>
        <item x="136"/>
        <item x="137"/>
        <item x="138"/>
        <item x="139"/>
        <item x="21"/>
        <item x="140"/>
        <item x="141"/>
        <item x="142"/>
        <item x="143"/>
        <item x="144"/>
        <item x="17"/>
        <item x="145"/>
        <item x="146"/>
        <item x="147"/>
        <item x="148"/>
        <item x="149"/>
        <item x="150"/>
        <item x="151"/>
        <item x="152"/>
        <item x="153"/>
        <item x="7"/>
        <item x="25"/>
        <item x="1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axis="axisRow" compact="0" showAll="0">
      <items count="13">
        <item x="4"/>
        <item x="5"/>
        <item x="0"/>
        <item x="3"/>
        <item x="2"/>
        <item x="1"/>
        <item x="6"/>
        <item x="7"/>
        <item x="8"/>
        <item x="9"/>
        <item x="10"/>
        <item x="11"/>
        <item t="default"/>
      </items>
    </pivotField>
    <pivotField compact="0" showAll="0">
      <items count="417">
        <item x="226"/>
        <item x="11"/>
        <item x="251"/>
        <item x="237"/>
        <item x="16"/>
        <item x="339"/>
        <item x="146"/>
        <item x="133"/>
        <item x="150"/>
        <item x="213"/>
        <item x="99"/>
        <item x="385"/>
        <item x="370"/>
        <item x="201"/>
        <item x="382"/>
        <item x="305"/>
        <item x="153"/>
        <item x="276"/>
        <item x="379"/>
        <item x="22"/>
        <item x="166"/>
        <item x="396"/>
        <item x="175"/>
        <item x="257"/>
        <item x="288"/>
        <item x="264"/>
        <item x="198"/>
        <item x="406"/>
        <item x="121"/>
        <item x="176"/>
        <item x="5"/>
        <item x="60"/>
        <item x="28"/>
        <item x="29"/>
        <item x="274"/>
        <item x="13"/>
        <item x="209"/>
        <item x="106"/>
        <item x="220"/>
        <item x="377"/>
        <item x="326"/>
        <item x="298"/>
        <item x="342"/>
        <item x="202"/>
        <item x="80"/>
        <item x="234"/>
        <item x="249"/>
        <item x="76"/>
        <item x="94"/>
        <item x="400"/>
        <item x="85"/>
        <item x="372"/>
        <item x="309"/>
        <item x="119"/>
        <item x="318"/>
        <item x="84"/>
        <item x="307"/>
        <item x="129"/>
        <item x="190"/>
        <item x="286"/>
        <item x="205"/>
        <item x="113"/>
        <item x="247"/>
        <item x="39"/>
        <item x="118"/>
        <item x="172"/>
        <item x="66"/>
        <item x="327"/>
        <item x="168"/>
        <item x="354"/>
        <item x="164"/>
        <item x="51"/>
        <item x="160"/>
        <item x="124"/>
        <item x="90"/>
        <item x="191"/>
        <item x="105"/>
        <item x="171"/>
        <item x="361"/>
        <item x="30"/>
        <item x="34"/>
        <item x="229"/>
        <item x="24"/>
        <item x="290"/>
        <item x="210"/>
        <item x="72"/>
        <item x="107"/>
        <item x="359"/>
        <item x="183"/>
        <item x="1"/>
        <item x="12"/>
        <item x="346"/>
        <item x="44"/>
        <item x="267"/>
        <item x="291"/>
        <item x="283"/>
        <item x="75"/>
        <item x="70"/>
        <item x="278"/>
        <item x="250"/>
        <item x="49"/>
        <item x="163"/>
        <item x="38"/>
        <item x="358"/>
        <item x="241"/>
        <item x="207"/>
        <item x="65"/>
        <item x="33"/>
        <item x="101"/>
        <item x="167"/>
        <item x="67"/>
        <item x="108"/>
        <item x="161"/>
        <item x="112"/>
        <item x="95"/>
        <item x="289"/>
        <item x="0"/>
        <item x="380"/>
        <item x="364"/>
        <item x="173"/>
        <item x="253"/>
        <item x="151"/>
        <item x="390"/>
        <item x="206"/>
        <item x="169"/>
        <item x="120"/>
        <item x="35"/>
        <item x="142"/>
        <item x="312"/>
        <item x="324"/>
        <item x="217"/>
        <item x="294"/>
        <item x="130"/>
        <item x="23"/>
        <item x="32"/>
        <item x="179"/>
        <item x="86"/>
        <item x="96"/>
        <item x="61"/>
        <item x="194"/>
        <item x="215"/>
        <item x="335"/>
        <item x="271"/>
        <item x="214"/>
        <item x="408"/>
        <item x="102"/>
        <item x="188"/>
        <item x="347"/>
        <item x="260"/>
        <item x="325"/>
        <item x="74"/>
        <item x="248"/>
        <item x="56"/>
        <item x="147"/>
        <item x="52"/>
        <item x="100"/>
        <item x="25"/>
        <item x="224"/>
        <item x="62"/>
        <item x="386"/>
        <item x="319"/>
        <item x="45"/>
        <item x="37"/>
        <item x="393"/>
        <item x="137"/>
        <item x="115"/>
        <item x="6"/>
        <item x="18"/>
        <item x="92"/>
        <item x="122"/>
        <item x="203"/>
        <item x="240"/>
        <item x="138"/>
        <item x="310"/>
        <item x="15"/>
        <item x="10"/>
        <item x="322"/>
        <item x="345"/>
        <item x="284"/>
        <item x="219"/>
        <item x="344"/>
        <item x="263"/>
        <item x="227"/>
        <item x="46"/>
        <item x="369"/>
        <item x="189"/>
        <item x="225"/>
        <item x="328"/>
        <item x="117"/>
        <item x="332"/>
        <item x="50"/>
        <item x="265"/>
        <item x="110"/>
        <item x="254"/>
        <item x="141"/>
        <item x="123"/>
        <item x="242"/>
        <item x="275"/>
        <item x="279"/>
        <item x="392"/>
        <item x="55"/>
        <item x="316"/>
        <item x="143"/>
        <item x="273"/>
        <item x="337"/>
        <item x="280"/>
        <item x="155"/>
        <item x="109"/>
        <item x="297"/>
        <item x="71"/>
        <item x="154"/>
        <item x="252"/>
        <item x="81"/>
        <item x="180"/>
        <item x="315"/>
        <item x="135"/>
        <item x="211"/>
        <item x="368"/>
        <item x="111"/>
        <item x="69"/>
        <item x="3"/>
        <item x="17"/>
        <item x="313"/>
        <item x="68"/>
        <item x="266"/>
        <item x="184"/>
        <item x="373"/>
        <item x="208"/>
        <item x="185"/>
        <item x="134"/>
        <item x="181"/>
        <item x="47"/>
        <item x="31"/>
        <item x="2"/>
        <item x="7"/>
        <item x="246"/>
        <item x="239"/>
        <item x="178"/>
        <item x="148"/>
        <item x="131"/>
        <item x="292"/>
        <item x="356"/>
        <item x="311"/>
        <item x="374"/>
        <item x="174"/>
        <item x="103"/>
        <item x="156"/>
        <item x="360"/>
        <item x="200"/>
        <item x="126"/>
        <item x="409"/>
        <item x="397"/>
        <item x="414"/>
        <item x="269"/>
        <item x="353"/>
        <item x="26"/>
        <item x="338"/>
        <item x="262"/>
        <item x="258"/>
        <item x="415"/>
        <item x="91"/>
        <item x="259"/>
        <item x="199"/>
        <item x="350"/>
        <item x="404"/>
        <item x="125"/>
        <item x="195"/>
        <item x="366"/>
        <item x="401"/>
        <item x="340"/>
        <item x="281"/>
        <item x="330"/>
        <item x="57"/>
        <item x="53"/>
        <item x="82"/>
        <item x="282"/>
        <item x="63"/>
        <item x="40"/>
        <item x="233"/>
        <item x="336"/>
        <item x="152"/>
        <item x="371"/>
        <item x="378"/>
        <item x="302"/>
        <item x="87"/>
        <item x="405"/>
        <item x="73"/>
        <item x="186"/>
        <item x="193"/>
        <item x="116"/>
        <item x="363"/>
        <item x="285"/>
        <item x="218"/>
        <item x="295"/>
        <item x="365"/>
        <item x="41"/>
        <item x="308"/>
        <item x="243"/>
        <item x="232"/>
        <item x="78"/>
        <item x="221"/>
        <item x="236"/>
        <item x="341"/>
        <item x="235"/>
        <item x="204"/>
        <item x="413"/>
        <item x="375"/>
        <item x="54"/>
        <item x="19"/>
        <item x="157"/>
        <item x="395"/>
        <item x="21"/>
        <item x="238"/>
        <item x="245"/>
        <item x="296"/>
        <item x="352"/>
        <item x="407"/>
        <item x="93"/>
        <item x="333"/>
        <item x="77"/>
        <item x="412"/>
        <item x="357"/>
        <item x="79"/>
        <item x="158"/>
        <item x="399"/>
        <item x="300"/>
        <item x="329"/>
        <item x="256"/>
        <item x="144"/>
        <item x="36"/>
        <item x="343"/>
        <item x="391"/>
        <item x="402"/>
        <item x="132"/>
        <item x="299"/>
        <item x="334"/>
        <item x="389"/>
        <item x="139"/>
        <item x="362"/>
        <item x="88"/>
        <item x="89"/>
        <item x="165"/>
        <item x="114"/>
        <item x="20"/>
        <item x="64"/>
        <item x="159"/>
        <item x="149"/>
        <item x="228"/>
        <item x="351"/>
        <item x="387"/>
        <item x="14"/>
        <item x="376"/>
        <item x="48"/>
        <item x="255"/>
        <item x="381"/>
        <item x="9"/>
        <item x="304"/>
        <item x="403"/>
        <item x="314"/>
        <item x="83"/>
        <item x="212"/>
        <item x="43"/>
        <item x="127"/>
        <item x="277"/>
        <item x="383"/>
        <item x="230"/>
        <item x="27"/>
        <item x="104"/>
        <item x="317"/>
        <item x="331"/>
        <item x="216"/>
        <item x="177"/>
        <item x="355"/>
        <item x="323"/>
        <item x="306"/>
        <item x="320"/>
        <item x="196"/>
        <item x="384"/>
        <item x="4"/>
        <item x="244"/>
        <item x="367"/>
        <item x="293"/>
        <item x="268"/>
        <item x="140"/>
        <item x="348"/>
        <item x="231"/>
        <item x="410"/>
        <item x="394"/>
        <item x="411"/>
        <item x="170"/>
        <item x="303"/>
        <item x="197"/>
        <item x="162"/>
        <item x="270"/>
        <item x="287"/>
        <item x="128"/>
        <item x="136"/>
        <item x="321"/>
        <item x="261"/>
        <item x="301"/>
        <item x="58"/>
        <item x="222"/>
        <item x="42"/>
        <item x="187"/>
        <item x="59"/>
        <item x="98"/>
        <item x="192"/>
        <item x="398"/>
        <item x="145"/>
        <item x="388"/>
        <item x="272"/>
        <item x="223"/>
        <item x="97"/>
        <item x="349"/>
        <item x="182"/>
        <item x="8"/>
        <item t="default"/>
      </items>
    </pivotField>
    <pivotField compact="0" showAll="0">
      <items count="7">
        <item x="0"/>
        <item x="2"/>
        <item x="4"/>
        <item x="5"/>
        <item x="1"/>
        <item x="3"/>
        <item t="default"/>
      </items>
    </pivotField>
    <pivotField compact="0" showAll="0">
      <items count="7">
        <item x="5"/>
        <item x="0"/>
        <item x="1"/>
        <item x="2"/>
        <item x="3"/>
        <item x="4"/>
        <item t="default"/>
      </items>
    </pivotField>
    <pivotField compact="0" showAll="0">
      <items count="262">
        <item x="5"/>
        <item x="33"/>
        <item x="225"/>
        <item x="49"/>
        <item x="39"/>
        <item x="17"/>
        <item x="102"/>
        <item x="44"/>
        <item x="61"/>
        <item x="22"/>
        <item x="97"/>
        <item x="215"/>
        <item x="71"/>
        <item x="119"/>
        <item x="66"/>
        <item x="114"/>
        <item x="89"/>
        <item x="91"/>
        <item x="202"/>
        <item x="110"/>
        <item x="153"/>
        <item x="11"/>
        <item x="136"/>
        <item x="27"/>
        <item x="86"/>
        <item x="149"/>
        <item x="193"/>
        <item x="34"/>
        <item x="186"/>
        <item x="142"/>
        <item x="12"/>
        <item x="111"/>
        <item x="234"/>
        <item x="7"/>
        <item x="51"/>
        <item x="173"/>
        <item x="124"/>
        <item x="98"/>
        <item x="104"/>
        <item x="107"/>
        <item x="143"/>
        <item x="8"/>
        <item x="2"/>
        <item x="23"/>
        <item x="40"/>
        <item x="6"/>
        <item x="28"/>
        <item x="68"/>
        <item x="52"/>
        <item x="203"/>
        <item x="122"/>
        <item x="24"/>
        <item x="45"/>
        <item x="29"/>
        <item x="14"/>
        <item x="134"/>
        <item x="115"/>
        <item x="103"/>
        <item x="18"/>
        <item x="76"/>
        <item x="19"/>
        <item x="154"/>
        <item x="137"/>
        <item x="125"/>
        <item x="50"/>
        <item x="81"/>
        <item x="79"/>
        <item x="236"/>
        <item x="57"/>
        <item x="177"/>
        <item x="99"/>
        <item x="1"/>
        <item x="72"/>
        <item x="233"/>
        <item x="46"/>
        <item x="90"/>
        <item x="0"/>
        <item x="15"/>
        <item x="20"/>
        <item x="47"/>
        <item x="199"/>
        <item x="84"/>
        <item x="69"/>
        <item x="62"/>
        <item x="58"/>
        <item x="13"/>
        <item x="36"/>
        <item x="3"/>
        <item x="67"/>
        <item x="87"/>
        <item x="128"/>
        <item x="35"/>
        <item x="25"/>
        <item x="139"/>
        <item x="93"/>
        <item x="150"/>
        <item x="75"/>
        <item x="59"/>
        <item x="140"/>
        <item x="41"/>
        <item x="30"/>
        <item x="182"/>
        <item x="77"/>
        <item x="63"/>
        <item x="120"/>
        <item x="42"/>
        <item x="178"/>
        <item x="248"/>
        <item x="212"/>
        <item x="132"/>
        <item x="37"/>
        <item x="228"/>
        <item x="191"/>
        <item x="108"/>
        <item x="9"/>
        <item x="116"/>
        <item x="216"/>
        <item x="169"/>
        <item x="187"/>
        <item x="55"/>
        <item x="171"/>
        <item x="118"/>
        <item x="208"/>
        <item x="53"/>
        <item x="231"/>
        <item x="112"/>
        <item x="206"/>
        <item x="156"/>
        <item x="64"/>
        <item x="239"/>
        <item x="73"/>
        <item x="189"/>
        <item x="151"/>
        <item x="82"/>
        <item x="218"/>
        <item x="164"/>
        <item x="175"/>
        <item x="144"/>
        <item x="255"/>
        <item x="162"/>
        <item x="200"/>
        <item x="130"/>
        <item x="166"/>
        <item x="94"/>
        <item x="126"/>
        <item x="158"/>
        <item x="145"/>
        <item x="100"/>
        <item x="211"/>
        <item x="259"/>
        <item x="155"/>
        <item x="157"/>
        <item x="147"/>
        <item x="105"/>
        <item x="224"/>
        <item x="31"/>
        <item x="238"/>
        <item x="174"/>
        <item x="227"/>
        <item x="131"/>
        <item x="127"/>
        <item x="242"/>
        <item x="209"/>
        <item x="192"/>
        <item x="181"/>
        <item x="56"/>
        <item x="253"/>
        <item x="237"/>
        <item x="188"/>
        <item x="205"/>
        <item x="167"/>
        <item x="190"/>
        <item x="121"/>
        <item x="146"/>
        <item x="135"/>
        <item x="232"/>
        <item x="256"/>
        <item x="159"/>
        <item x="183"/>
        <item x="88"/>
        <item x="70"/>
        <item x="48"/>
        <item x="249"/>
        <item x="258"/>
        <item x="129"/>
        <item x="247"/>
        <item x="152"/>
        <item x="245"/>
        <item x="198"/>
        <item x="213"/>
        <item x="54"/>
        <item x="10"/>
        <item x="235"/>
        <item x="185"/>
        <item x="78"/>
        <item x="80"/>
        <item x="43"/>
        <item x="101"/>
        <item x="214"/>
        <item x="226"/>
        <item x="148"/>
        <item x="196"/>
        <item x="252"/>
        <item x="74"/>
        <item x="197"/>
        <item x="106"/>
        <item x="170"/>
        <item x="204"/>
        <item x="184"/>
        <item x="201"/>
        <item x="163"/>
        <item x="83"/>
        <item x="165"/>
        <item x="32"/>
        <item x="180"/>
        <item x="123"/>
        <item x="207"/>
        <item x="168"/>
        <item x="254"/>
        <item x="229"/>
        <item x="26"/>
        <item x="250"/>
        <item x="96"/>
        <item x="85"/>
        <item x="230"/>
        <item x="194"/>
        <item x="16"/>
        <item x="260"/>
        <item x="217"/>
        <item x="223"/>
        <item x="133"/>
        <item x="109"/>
        <item x="195"/>
        <item x="176"/>
        <item x="179"/>
        <item x="172"/>
        <item x="21"/>
        <item x="241"/>
        <item x="246"/>
        <item x="243"/>
        <item x="113"/>
        <item x="117"/>
        <item x="221"/>
        <item x="240"/>
        <item x="210"/>
        <item x="251"/>
        <item x="257"/>
        <item x="138"/>
        <item x="60"/>
        <item x="220"/>
        <item x="160"/>
        <item x="219"/>
        <item x="141"/>
        <item x="92"/>
        <item x="38"/>
        <item x="95"/>
        <item x="4"/>
        <item x="65"/>
        <item x="244"/>
        <item x="222"/>
        <item x="161"/>
        <item t="default"/>
      </items>
    </pivotField>
    <pivotField compact="0" showAll="0">
      <items count="1001">
        <item x="941"/>
        <item x="317"/>
        <item x="89"/>
        <item x="389"/>
        <item x="11"/>
        <item x="173"/>
        <item x="17"/>
        <item x="341"/>
        <item x="647"/>
        <item x="263"/>
        <item x="185"/>
        <item x="293"/>
        <item x="161"/>
        <item x="215"/>
        <item x="713"/>
        <item x="899"/>
        <item x="191"/>
        <item x="911"/>
        <item x="707"/>
        <item x="821"/>
        <item x="761"/>
        <item x="113"/>
        <item x="275"/>
        <item x="839"/>
        <item x="593"/>
        <item x="527"/>
        <item x="23"/>
        <item x="815"/>
        <item x="587"/>
        <item x="641"/>
        <item x="443"/>
        <item x="101"/>
        <item x="311"/>
        <item x="197"/>
        <item x="221"/>
        <item x="569"/>
        <item x="971"/>
        <item x="875"/>
        <item x="233"/>
        <item x="479"/>
        <item x="395"/>
        <item x="269"/>
        <item x="359"/>
        <item x="743"/>
        <item x="887"/>
        <item x="665"/>
        <item x="869"/>
        <item x="419"/>
        <item x="473"/>
        <item x="689"/>
        <item x="563"/>
        <item x="59"/>
        <item x="137"/>
        <item x="881"/>
        <item x="857"/>
        <item x="143"/>
        <item x="779"/>
        <item x="539"/>
        <item x="851"/>
        <item x="905"/>
        <item x="935"/>
        <item x="305"/>
        <item x="599"/>
        <item x="5"/>
        <item x="29"/>
        <item x="65"/>
        <item x="335"/>
        <item x="431"/>
        <item x="239"/>
        <item x="503"/>
        <item x="995"/>
        <item x="659"/>
        <item x="521"/>
        <item x="803"/>
        <item x="863"/>
        <item x="581"/>
        <item x="107"/>
        <item x="773"/>
        <item x="737"/>
        <item x="401"/>
        <item x="179"/>
        <item x="95"/>
        <item x="893"/>
        <item x="125"/>
        <item x="929"/>
        <item x="755"/>
        <item x="557"/>
        <item x="767"/>
        <item x="797"/>
        <item x="281"/>
        <item x="155"/>
        <item x="203"/>
        <item x="959"/>
        <item x="947"/>
        <item x="809"/>
        <item x="455"/>
        <item x="377"/>
        <item x="605"/>
        <item x="545"/>
        <item x="257"/>
        <item x="467"/>
        <item x="407"/>
        <item x="653"/>
        <item x="953"/>
        <item x="329"/>
        <item x="425"/>
        <item x="491"/>
        <item x="977"/>
        <item x="227"/>
        <item x="617"/>
        <item x="383"/>
        <item x="299"/>
        <item x="119"/>
        <item x="623"/>
        <item x="965"/>
        <item x="167"/>
        <item x="437"/>
        <item x="323"/>
        <item x="791"/>
        <item x="695"/>
        <item x="149"/>
        <item x="845"/>
        <item x="551"/>
        <item x="209"/>
        <item x="923"/>
        <item x="497"/>
        <item x="47"/>
        <item x="635"/>
        <item x="485"/>
        <item x="683"/>
        <item x="371"/>
        <item x="671"/>
        <item x="917"/>
        <item x="701"/>
        <item x="677"/>
        <item x="515"/>
        <item x="989"/>
        <item x="251"/>
        <item x="245"/>
        <item x="827"/>
        <item x="731"/>
        <item x="725"/>
        <item x="353"/>
        <item x="287"/>
        <item x="533"/>
        <item x="347"/>
        <item x="365"/>
        <item x="749"/>
        <item x="35"/>
        <item x="131"/>
        <item x="413"/>
        <item x="833"/>
        <item x="611"/>
        <item x="71"/>
        <item x="77"/>
        <item x="509"/>
        <item x="703"/>
        <item x="983"/>
        <item x="449"/>
        <item x="763"/>
        <item x="719"/>
        <item x="30"/>
        <item x="629"/>
        <item x="575"/>
        <item x="83"/>
        <item x="461"/>
        <item x="415"/>
        <item x="690"/>
        <item x="360"/>
        <item x="53"/>
        <item x="510"/>
        <item x="41"/>
        <item x="919"/>
        <item x="785"/>
        <item x="336"/>
        <item x="276"/>
        <item x="492"/>
        <item x="120"/>
        <item x="289"/>
        <item x="961"/>
        <item x="13"/>
        <item x="438"/>
        <item x="235"/>
        <item x="180"/>
        <item x="463"/>
        <item x="439"/>
        <item x="90"/>
        <item x="373"/>
        <item x="768"/>
        <item x="84"/>
        <item x="714"/>
        <item x="421"/>
        <item x="631"/>
        <item x="534"/>
        <item x="978"/>
        <item x="96"/>
        <item x="270"/>
        <item x="132"/>
        <item x="558"/>
        <item x="984"/>
        <item x="498"/>
        <item x="661"/>
        <item x="277"/>
        <item x="895"/>
        <item x="42"/>
        <item x="673"/>
        <item x="138"/>
        <item x="228"/>
        <item x="182"/>
        <item x="379"/>
        <item x="810"/>
        <item x="528"/>
        <item x="932"/>
        <item x="488"/>
        <item x="606"/>
        <item x="319"/>
        <item x="996"/>
        <item x="780"/>
        <item x="901"/>
        <item x="828"/>
        <item x="102"/>
        <item x="450"/>
        <item x="139"/>
        <item x="710"/>
        <item x="660"/>
        <item x="906"/>
        <item x="732"/>
        <item x="372"/>
        <item x="816"/>
        <item x="632"/>
        <item x="841"/>
        <item x="230"/>
        <item x="330"/>
        <item x="72"/>
        <item x="223"/>
        <item x="986"/>
        <item x="582"/>
        <item x="960"/>
        <item x="331"/>
        <item x="907"/>
        <item x="217"/>
        <item x="300"/>
        <item x="834"/>
        <item x="511"/>
        <item x="434"/>
        <item x="354"/>
        <item x="55"/>
        <item x="259"/>
        <item x="614"/>
        <item x="858"/>
        <item x="384"/>
        <item x="792"/>
        <item x="948"/>
        <item x="260"/>
        <item x="420"/>
        <item x="427"/>
        <item x="73"/>
        <item x="612"/>
        <item x="822"/>
        <item x="128"/>
        <item x="444"/>
        <item x="218"/>
        <item x="480"/>
        <item x="170"/>
        <item x="266"/>
        <item x="601"/>
        <item x="204"/>
        <item x="37"/>
        <item x="1"/>
        <item x="36"/>
        <item x="181"/>
        <item x="25"/>
        <item x="79"/>
        <item x="589"/>
        <item x="949"/>
        <item x="571"/>
        <item x="121"/>
        <item x="799"/>
        <item x="642"/>
        <item x="31"/>
        <item x="769"/>
        <item x="12"/>
        <item x="146"/>
        <item x="967"/>
        <item x="836"/>
        <item x="738"/>
        <item x="210"/>
        <item x="762"/>
        <item x="307"/>
        <item x="476"/>
        <item x="14"/>
        <item x="452"/>
        <item x="564"/>
        <item x="930"/>
        <item x="0"/>
        <item x="193"/>
        <item x="457"/>
        <item x="222"/>
        <item x="806"/>
        <item x="636"/>
        <item x="312"/>
        <item x="367"/>
        <item x="234"/>
        <item x="524"/>
        <item x="216"/>
        <item x="883"/>
        <item x="744"/>
        <item x="846"/>
        <item x="398"/>
        <item x="290"/>
        <item x="158"/>
        <item x="716"/>
        <item x="962"/>
        <item x="877"/>
        <item x="888"/>
        <item x="541"/>
        <item x="115"/>
        <item x="920"/>
        <item x="697"/>
        <item x="408"/>
        <item x="997"/>
        <item x="192"/>
        <item x="576"/>
        <item x="840"/>
        <item x="314"/>
        <item x="954"/>
        <item x="474"/>
        <item x="679"/>
        <item x="896"/>
        <item x="391"/>
        <item x="229"/>
        <item x="487"/>
        <item x="282"/>
        <item x="122"/>
        <item x="324"/>
        <item x="366"/>
        <item x="595"/>
        <item x="344"/>
        <item x="522"/>
        <item x="264"/>
        <item x="24"/>
        <item x="786"/>
        <item x="409"/>
        <item x="876"/>
        <item x="127"/>
        <item x="894"/>
        <item x="470"/>
        <item x="211"/>
        <item x="175"/>
        <item x="668"/>
        <item x="504"/>
        <item x="607"/>
        <item x="355"/>
        <item x="559"/>
        <item x="804"/>
        <item x="150"/>
        <item x="776"/>
        <item x="830"/>
        <item x="378"/>
        <item x="224"/>
        <item x="140"/>
        <item x="91"/>
        <item x="385"/>
        <item x="974"/>
        <item x="882"/>
        <item x="342"/>
        <item x="979"/>
        <item x="109"/>
        <item x="870"/>
        <item x="818"/>
        <item x="774"/>
        <item x="294"/>
        <item x="38"/>
        <item x="74"/>
        <item x="554"/>
        <item x="913"/>
        <item x="973"/>
        <item x="966"/>
        <item x="337"/>
        <item x="349"/>
        <item x="114"/>
        <item x="66"/>
        <item x="758"/>
        <item x="823"/>
        <item x="900"/>
        <item x="361"/>
        <item x="854"/>
        <item x="156"/>
        <item x="733"/>
        <item x="240"/>
        <item x="942"/>
        <item x="750"/>
        <item x="654"/>
        <item x="48"/>
        <item x="493"/>
        <item x="548"/>
        <item x="386"/>
        <item x="110"/>
        <item x="325"/>
        <item x="764"/>
        <item x="918"/>
        <item x="402"/>
        <item x="157"/>
        <item x="168"/>
        <item x="702"/>
        <item x="462"/>
        <item x="852"/>
        <item x="416"/>
        <item x="672"/>
        <item x="637"/>
        <item x="666"/>
        <item x="943"/>
        <item x="570"/>
        <item x="254"/>
        <item x="540"/>
        <item x="61"/>
        <item x="931"/>
        <item x="284"/>
        <item x="6"/>
        <item x="972"/>
        <item x="313"/>
        <item x="26"/>
        <item x="108"/>
        <item x="865"/>
        <item x="482"/>
        <item x="529"/>
        <item x="686"/>
        <item x="97"/>
        <item x="696"/>
        <item x="678"/>
        <item x="187"/>
        <item x="720"/>
        <item x="302"/>
        <item x="174"/>
        <item x="512"/>
        <item x="116"/>
        <item x="422"/>
        <item x="296"/>
        <item x="536"/>
        <item x="624"/>
        <item x="433"/>
        <item x="842"/>
        <item x="583"/>
        <item x="757"/>
        <item x="630"/>
        <item x="144"/>
        <item x="432"/>
        <item x="662"/>
        <item x="403"/>
        <item x="824"/>
        <item x="835"/>
        <item x="577"/>
        <item x="860"/>
        <item x="546"/>
        <item x="104"/>
        <item x="56"/>
        <item x="794"/>
        <item x="306"/>
        <item x="80"/>
        <item x="67"/>
        <item x="691"/>
        <item x="54"/>
        <item x="812"/>
        <item x="912"/>
        <item x="78"/>
        <item x="133"/>
        <item x="936"/>
        <item x="151"/>
        <item x="475"/>
        <item x="618"/>
        <item x="560"/>
        <item x="318"/>
        <item x="258"/>
        <item x="680"/>
        <item x="752"/>
        <item x="326"/>
        <item x="445"/>
        <item x="625"/>
        <item x="278"/>
        <item x="414"/>
        <item x="864"/>
        <item x="745"/>
        <item x="756"/>
        <item x="552"/>
        <item x="390"/>
        <item x="685"/>
        <item x="186"/>
        <item x="252"/>
        <item x="708"/>
        <item x="392"/>
        <item x="481"/>
        <item x="726"/>
        <item x="992"/>
        <item x="751"/>
        <item x="19"/>
        <item x="998"/>
        <item x="649"/>
        <item x="468"/>
        <item x="648"/>
        <item x="60"/>
        <item x="667"/>
        <item x="176"/>
        <item x="486"/>
        <item x="990"/>
        <item x="169"/>
        <item x="440"/>
        <item x="456"/>
        <item x="684"/>
        <item x="608"/>
        <item x="721"/>
        <item x="163"/>
        <item x="655"/>
        <item x="596"/>
        <item x="924"/>
        <item x="198"/>
        <item x="968"/>
        <item x="134"/>
        <item x="200"/>
        <item x="253"/>
        <item x="553"/>
        <item x="301"/>
        <item x="350"/>
        <item x="584"/>
        <item x="246"/>
        <item x="715"/>
        <item x="588"/>
        <item x="925"/>
        <item x="866"/>
        <item x="516"/>
        <item x="798"/>
        <item x="937"/>
        <item x="247"/>
        <item x="469"/>
        <item x="288"/>
        <item x="356"/>
        <item x="126"/>
        <item x="50"/>
        <item x="18"/>
        <item x="145"/>
        <item x="241"/>
        <item x="506"/>
        <item x="499"/>
        <item x="164"/>
        <item x="938"/>
        <item x="348"/>
        <item x="853"/>
        <item x="600"/>
        <item x="594"/>
        <item x="162"/>
        <item x="92"/>
        <item x="847"/>
        <item x="926"/>
        <item x="464"/>
        <item x="426"/>
        <item x="817"/>
        <item x="535"/>
        <item x="397"/>
        <item x="955"/>
        <item x="884"/>
        <item x="859"/>
        <item x="781"/>
        <item x="295"/>
        <item x="249"/>
        <item x="734"/>
        <item x="811"/>
        <item x="451"/>
        <item x="523"/>
        <item x="709"/>
        <item x="494"/>
        <item x="787"/>
        <item x="396"/>
        <item x="902"/>
        <item x="944"/>
        <item x="8"/>
        <item x="698"/>
        <item x="188"/>
        <item x="746"/>
        <item x="775"/>
        <item x="722"/>
        <item x="613"/>
        <item x="7"/>
        <item x="380"/>
        <item x="848"/>
        <item x="956"/>
        <item x="663"/>
        <item x="602"/>
        <item x="242"/>
        <item x="338"/>
        <item x="890"/>
        <item x="271"/>
        <item x="985"/>
        <item x="32"/>
        <item x="626"/>
        <item x="829"/>
        <item x="739"/>
        <item x="633"/>
        <item x="404"/>
        <item x="517"/>
        <item x="547"/>
        <item x="368"/>
        <item x="283"/>
        <item x="49"/>
        <item x="152"/>
        <item x="793"/>
        <item x="619"/>
        <item x="43"/>
        <item x="500"/>
        <item x="205"/>
        <item x="727"/>
        <item x="578"/>
        <item x="723"/>
        <item x="871"/>
        <item x="950"/>
        <item x="704"/>
        <item x="265"/>
        <item x="565"/>
        <item x="2"/>
        <item x="446"/>
        <item x="705"/>
        <item x="428"/>
        <item x="199"/>
        <item x="411"/>
        <item x="908"/>
        <item x="878"/>
        <item x="909"/>
        <item x="991"/>
        <item x="572"/>
        <item x="627"/>
        <item x="643"/>
        <item x="891"/>
        <item x="987"/>
        <item x="103"/>
        <item x="343"/>
        <item x="889"/>
        <item x="98"/>
        <item x="800"/>
        <item x="692"/>
        <item x="650"/>
        <item x="505"/>
        <item x="656"/>
        <item x="566"/>
        <item x="770"/>
        <item x="194"/>
        <item x="248"/>
        <item x="410"/>
        <item x="805"/>
        <item x="236"/>
        <item x="272"/>
        <item x="369"/>
        <item x="590"/>
        <item x="638"/>
        <item x="518"/>
        <item x="914"/>
        <item x="872"/>
        <item x="85"/>
        <item x="62"/>
        <item x="458"/>
        <item x="351"/>
        <item x="44"/>
        <item x="782"/>
        <item x="674"/>
        <item x="417"/>
        <item x="597"/>
        <item x="308"/>
        <item x="68"/>
        <item x="453"/>
        <item x="189"/>
        <item x="993"/>
        <item x="320"/>
        <item x="759"/>
        <item x="620"/>
        <item x="740"/>
        <item x="381"/>
        <item x="807"/>
        <item x="212"/>
        <item x="980"/>
        <item x="652"/>
        <item x="669"/>
        <item x="255"/>
        <item x="957"/>
        <item x="201"/>
        <item x="123"/>
        <item x="332"/>
        <item x="513"/>
        <item x="530"/>
        <item x="20"/>
        <item x="206"/>
        <item x="747"/>
        <item x="644"/>
        <item x="837"/>
        <item x="542"/>
        <item x="86"/>
        <item x="362"/>
        <item x="75"/>
        <item x="728"/>
        <item x="184"/>
        <item x="477"/>
        <item x="717"/>
        <item x="346"/>
        <item x="34"/>
        <item x="220"/>
        <item x="585"/>
        <item x="471"/>
        <item x="525"/>
        <item x="69"/>
        <item x="939"/>
        <item x="448"/>
        <item x="374"/>
        <item x="286"/>
        <item x="788"/>
        <item x="502"/>
        <item x="466"/>
        <item x="441"/>
        <item x="141"/>
        <item x="129"/>
        <item x="711"/>
        <item x="291"/>
        <item x="51"/>
        <item x="958"/>
        <item x="177"/>
        <item x="927"/>
        <item x="999"/>
        <item x="117"/>
        <item x="3"/>
        <item x="256"/>
        <item x="202"/>
        <item x="40"/>
        <item x="243"/>
        <item x="82"/>
        <item x="16"/>
        <item x="771"/>
        <item x="789"/>
        <item x="784"/>
        <item x="903"/>
        <item x="921"/>
        <item x="33"/>
        <item x="549"/>
        <item x="874"/>
        <item x="430"/>
        <item x="699"/>
        <item x="760"/>
        <item x="861"/>
        <item x="459"/>
        <item x="736"/>
        <item x="573"/>
        <item x="598"/>
        <item x="765"/>
        <item x="616"/>
        <item x="753"/>
        <item x="93"/>
        <item x="124"/>
        <item x="304"/>
        <item x="640"/>
        <item x="591"/>
        <item x="316"/>
        <item x="159"/>
        <item x="742"/>
        <item x="214"/>
        <item x="423"/>
        <item x="681"/>
        <item x="333"/>
        <item x="778"/>
        <item x="543"/>
        <item x="27"/>
        <item x="801"/>
        <item x="544"/>
        <item x="741"/>
        <item x="568"/>
        <item x="454"/>
        <item x="442"/>
        <item x="147"/>
        <item x="357"/>
        <item x="10"/>
        <item x="495"/>
        <item x="658"/>
        <item x="196"/>
        <item x="399"/>
        <item x="57"/>
        <item x="81"/>
        <item x="87"/>
        <item x="886"/>
        <item x="303"/>
        <item x="940"/>
        <item x="136"/>
        <item x="777"/>
        <item x="76"/>
        <item x="868"/>
        <item x="855"/>
        <item x="657"/>
        <item x="339"/>
        <item x="873"/>
        <item x="238"/>
        <item x="418"/>
        <item x="897"/>
        <item x="135"/>
        <item x="862"/>
        <item x="808"/>
        <item x="382"/>
        <item x="639"/>
        <item x="436"/>
        <item x="975"/>
        <item x="820"/>
        <item x="688"/>
        <item x="892"/>
        <item x="105"/>
        <item x="315"/>
        <item x="171"/>
        <item x="232"/>
        <item x="831"/>
        <item x="345"/>
        <item x="687"/>
        <item x="982"/>
        <item x="400"/>
        <item x="465"/>
        <item x="910"/>
        <item x="729"/>
        <item x="963"/>
        <item x="945"/>
        <item x="693"/>
        <item x="981"/>
        <item x="406"/>
        <item x="885"/>
        <item x="814"/>
        <item x="99"/>
        <item x="207"/>
        <item x="969"/>
        <item x="952"/>
        <item x="21"/>
        <item x="592"/>
        <item x="142"/>
        <item x="933"/>
        <item x="621"/>
        <item x="274"/>
        <item x="363"/>
        <item x="712"/>
        <item x="490"/>
        <item x="580"/>
        <item x="832"/>
        <item x="819"/>
        <item x="610"/>
        <item x="555"/>
        <item x="39"/>
        <item x="321"/>
        <item x="645"/>
        <item x="219"/>
        <item x="484"/>
        <item x="843"/>
        <item x="579"/>
        <item x="670"/>
        <item x="916"/>
        <item x="507"/>
        <item x="795"/>
        <item x="483"/>
        <item x="237"/>
        <item x="615"/>
        <item x="334"/>
        <item x="735"/>
        <item x="609"/>
        <item x="675"/>
        <item x="634"/>
        <item x="501"/>
        <item x="531"/>
        <item x="352"/>
        <item x="646"/>
        <item x="106"/>
        <item x="387"/>
        <item x="603"/>
        <item x="561"/>
        <item x="825"/>
        <item x="285"/>
        <item x="340"/>
        <item x="9"/>
        <item x="447"/>
        <item x="15"/>
        <item x="262"/>
        <item x="327"/>
        <item x="915"/>
        <item x="58"/>
        <item x="412"/>
        <item x="393"/>
        <item x="772"/>
        <item x="567"/>
        <item x="394"/>
        <item x="489"/>
        <item x="951"/>
        <item x="988"/>
        <item x="322"/>
        <item x="748"/>
        <item x="63"/>
        <item x="309"/>
        <item x="718"/>
        <item x="867"/>
        <item x="279"/>
        <item x="225"/>
        <item x="537"/>
        <item x="231"/>
        <item x="519"/>
        <item x="856"/>
        <item x="153"/>
        <item x="651"/>
        <item x="267"/>
        <item x="88"/>
        <item x="706"/>
        <item x="280"/>
        <item x="783"/>
        <item x="22"/>
        <item x="273"/>
        <item x="849"/>
        <item x="213"/>
        <item x="730"/>
        <item x="195"/>
        <item x="898"/>
        <item x="111"/>
        <item x="405"/>
        <item x="376"/>
        <item x="100"/>
        <item x="604"/>
        <item x="879"/>
        <item x="586"/>
        <item x="934"/>
        <item x="364"/>
        <item x="261"/>
        <item x="375"/>
        <item x="183"/>
        <item x="429"/>
        <item x="165"/>
        <item x="850"/>
        <item x="508"/>
        <item x="664"/>
        <item x="478"/>
        <item x="178"/>
        <item x="297"/>
        <item x="904"/>
        <item x="45"/>
        <item x="880"/>
        <item x="796"/>
        <item x="496"/>
        <item x="130"/>
        <item x="118"/>
        <item x="976"/>
        <item x="994"/>
        <item x="813"/>
        <item x="928"/>
        <item x="298"/>
        <item x="435"/>
        <item x="964"/>
        <item x="682"/>
        <item x="370"/>
        <item x="52"/>
        <item x="292"/>
        <item x="358"/>
        <item x="160"/>
        <item x="208"/>
        <item x="532"/>
        <item x="970"/>
        <item x="460"/>
        <item x="628"/>
        <item x="70"/>
        <item x="766"/>
        <item x="148"/>
        <item x="574"/>
        <item x="190"/>
        <item x="622"/>
        <item x="154"/>
        <item x="328"/>
        <item x="694"/>
        <item x="226"/>
        <item x="550"/>
        <item x="46"/>
        <item x="94"/>
        <item x="790"/>
        <item x="922"/>
        <item x="520"/>
        <item x="826"/>
        <item x="844"/>
        <item x="514"/>
        <item x="838"/>
        <item x="28"/>
        <item x="700"/>
        <item x="538"/>
        <item x="310"/>
        <item x="526"/>
        <item x="172"/>
        <item x="4"/>
        <item x="676"/>
        <item x="472"/>
        <item x="724"/>
        <item x="802"/>
        <item x="424"/>
        <item x="244"/>
        <item x="754"/>
        <item x="562"/>
        <item x="946"/>
        <item x="556"/>
        <item x="112"/>
        <item x="268"/>
        <item x="166"/>
        <item x="250"/>
        <item x="388"/>
        <item x="64"/>
        <item t="default"/>
      </items>
    </pivotField>
    <pivotField compact="0" showAll="0">
      <items count="990">
        <item x="931"/>
        <item x="5"/>
        <item x="961"/>
        <item x="304"/>
        <item x="339"/>
        <item x="268"/>
        <item x="541"/>
        <item x="89"/>
        <item x="185"/>
        <item x="919"/>
        <item x="636"/>
        <item x="518"/>
        <item x="595"/>
        <item x="683"/>
        <item x="512"/>
        <item x="689"/>
        <item x="577"/>
        <item x="601"/>
        <item x="842"/>
        <item x="660"/>
        <item x="889"/>
        <item x="630"/>
        <item x="35"/>
        <item x="59"/>
        <item x="65"/>
        <item x="310"/>
        <item x="250"/>
        <item x="719"/>
        <item x="901"/>
        <item x="155"/>
        <item x="830"/>
        <item x="565"/>
        <item x="742"/>
        <item x="754"/>
        <item x="695"/>
        <item x="149"/>
        <item x="547"/>
        <item x="41"/>
        <item x="161"/>
        <item x="387"/>
        <item x="778"/>
        <item x="772"/>
        <item x="949"/>
        <item x="895"/>
        <item x="11"/>
        <item x="606"/>
        <item x="984"/>
        <item x="179"/>
        <item x="865"/>
        <item x="274"/>
        <item x="925"/>
        <item x="298"/>
        <item x="812"/>
        <item x="393"/>
        <item x="535"/>
        <item x="244"/>
        <item x="191"/>
        <item x="429"/>
        <item x="666"/>
        <item x="95"/>
        <item x="357"/>
        <item x="71"/>
        <item x="859"/>
        <item x="220"/>
        <item x="417"/>
        <item x="101"/>
        <item x="125"/>
        <item x="748"/>
        <item x="871"/>
        <item x="477"/>
        <item x="459"/>
        <item x="280"/>
        <item x="447"/>
        <item x="654"/>
        <item x="29"/>
        <item x="209"/>
        <item x="725"/>
        <item x="488"/>
        <item x="119"/>
        <item x="238"/>
        <item x="328"/>
        <item x="369"/>
        <item x="784"/>
        <item x="483"/>
        <item x="713"/>
        <item x="506"/>
        <item x="836"/>
        <item x="423"/>
        <item x="399"/>
        <item x="955"/>
        <item x="131"/>
        <item x="979"/>
        <item x="363"/>
        <item x="453"/>
        <item x="571"/>
        <item x="624"/>
        <item x="583"/>
        <item x="524"/>
        <item x="197"/>
        <item x="736"/>
        <item x="559"/>
        <item x="17"/>
        <item x="589"/>
        <item x="316"/>
        <item x="23"/>
        <item x="465"/>
        <item x="232"/>
        <item x="137"/>
        <item x="877"/>
        <item x="642"/>
        <item x="173"/>
        <item x="701"/>
        <item x="351"/>
        <item x="143"/>
        <item x="375"/>
        <item x="648"/>
        <item x="53"/>
        <item x="730"/>
        <item x="818"/>
        <item x="435"/>
        <item x="345"/>
        <item x="411"/>
        <item x="471"/>
        <item x="553"/>
        <item x="913"/>
        <item x="796"/>
        <item x="500"/>
        <item x="47"/>
        <item x="707"/>
        <item x="766"/>
        <item x="612"/>
        <item x="448"/>
        <item x="292"/>
        <item x="883"/>
        <item x="853"/>
        <item x="113"/>
        <item x="262"/>
        <item x="950"/>
        <item x="441"/>
        <item x="358"/>
        <item x="180"/>
        <item x="203"/>
        <item x="30"/>
        <item x="494"/>
        <item x="418"/>
        <item x="83"/>
        <item x="322"/>
        <item x="167"/>
        <item x="478"/>
        <item x="36"/>
        <item x="90"/>
        <item x="631"/>
        <item x="529"/>
        <item x="128"/>
        <item x="760"/>
        <item x="107"/>
        <item x="790"/>
        <item x="943"/>
        <item x="77"/>
        <item x="967"/>
        <item x="672"/>
        <item x="226"/>
        <item x="365"/>
        <item x="618"/>
        <item x="802"/>
        <item x="508"/>
        <item x="907"/>
        <item x="120"/>
        <item x="957"/>
        <item x="537"/>
        <item x="405"/>
        <item x="329"/>
        <item x="831"/>
        <item x="256"/>
        <item x="210"/>
        <item x="951"/>
        <item x="381"/>
        <item x="956"/>
        <item x="937"/>
        <item x="276"/>
        <item x="609"/>
        <item x="364"/>
        <item x="627"/>
        <item x="890"/>
        <item x="807"/>
        <item x="239"/>
        <item x="809"/>
        <item x="824"/>
        <item x="286"/>
        <item x="334"/>
        <item x="216"/>
        <item x="313"/>
        <item x="597"/>
        <item x="31"/>
        <item x="127"/>
        <item x="217"/>
        <item x="419"/>
        <item x="156"/>
        <item x="602"/>
        <item x="96"/>
        <item x="14"/>
        <item x="656"/>
        <item x="837"/>
        <item x="335"/>
        <item x="306"/>
        <item x="973"/>
        <item x="389"/>
        <item x="215"/>
        <item x="396"/>
        <item x="626"/>
        <item x="832"/>
        <item x="691"/>
        <item x="269"/>
        <item x="275"/>
        <item x="684"/>
        <item x="773"/>
        <item x="567"/>
        <item x="860"/>
        <item x="455"/>
        <item x="985"/>
        <item x="986"/>
        <item x="181"/>
        <item x="507"/>
        <item x="987"/>
        <item x="299"/>
        <item x="632"/>
        <item x="521"/>
        <item x="485"/>
        <item x="330"/>
        <item x="750"/>
        <item x="450"/>
        <item x="513"/>
        <item x="662"/>
        <item x="151"/>
        <item x="425"/>
        <item x="150"/>
        <item x="655"/>
        <item x="121"/>
        <item x="896"/>
        <item x="1"/>
        <item x="720"/>
        <item x="6"/>
        <item x="187"/>
        <item x="897"/>
        <item x="8"/>
        <item x="572"/>
        <item x="921"/>
        <item x="223"/>
        <item x="891"/>
        <item x="7"/>
        <item x="253"/>
        <item x="866"/>
        <item x="867"/>
        <item x="580"/>
        <item x="544"/>
        <item x="920"/>
        <item x="550"/>
        <item x="845"/>
        <item x="211"/>
        <item x="164"/>
        <item x="934"/>
        <item x="97"/>
        <item x="245"/>
        <item x="122"/>
        <item x="432"/>
        <item x="491"/>
        <item x="0"/>
        <item x="37"/>
        <item x="182"/>
        <item x="716"/>
        <item x="66"/>
        <item x="420"/>
        <item x="2"/>
        <item x="922"/>
        <item x="751"/>
        <item x="60"/>
        <item x="749"/>
        <item x="625"/>
        <item x="980"/>
        <item x="186"/>
        <item x="714"/>
        <item x="981"/>
        <item x="359"/>
        <item x="952"/>
        <item x="104"/>
        <item x="808"/>
        <item x="657"/>
        <item x="67"/>
        <item x="874"/>
        <item x="779"/>
        <item x="573"/>
        <item x="663"/>
        <item x="898"/>
        <item x="661"/>
        <item x="838"/>
        <item x="509"/>
        <item x="158"/>
        <item x="388"/>
        <item x="342"/>
        <item x="38"/>
        <item x="566"/>
        <item x="92"/>
        <item x="283"/>
        <item x="536"/>
        <item x="91"/>
        <item x="927"/>
        <item x="743"/>
        <item x="424"/>
        <item x="744"/>
        <item x="188"/>
        <item x="240"/>
        <item x="514"/>
        <item x="157"/>
        <item x="395"/>
        <item x="74"/>
        <item x="815"/>
        <item x="964"/>
        <item x="305"/>
        <item x="775"/>
        <item x="61"/>
        <item x="247"/>
        <item x="833"/>
        <item x="596"/>
        <item x="690"/>
        <item x="757"/>
        <item x="372"/>
        <item x="633"/>
        <item x="598"/>
        <item x="394"/>
        <item x="489"/>
        <item x="904"/>
        <item x="480"/>
        <item x="138"/>
        <item x="123"/>
        <item x="819"/>
        <item x="774"/>
        <item x="926"/>
        <item x="134"/>
        <item x="377"/>
        <item x="367"/>
        <item x="542"/>
        <item x="126"/>
        <item x="603"/>
        <item x="301"/>
        <item x="456"/>
        <item x="958"/>
        <item x="639"/>
        <item x="685"/>
        <item x="437"/>
        <item x="543"/>
        <item x="484"/>
        <item x="331"/>
        <item x="715"/>
        <item x="530"/>
        <item x="129"/>
        <item x="515"/>
        <item x="581"/>
        <item x="462"/>
        <item x="241"/>
        <item x="745"/>
        <item x="868"/>
        <item x="968"/>
        <item x="752"/>
        <item x="222"/>
        <item x="804"/>
        <item x="495"/>
        <item x="277"/>
        <item x="574"/>
        <item x="938"/>
        <item x="55"/>
        <item x="336"/>
        <item x="803"/>
        <item x="787"/>
        <item x="69"/>
        <item x="781"/>
        <item x="12"/>
        <item x="454"/>
        <item x="307"/>
        <item x="761"/>
        <item x="929"/>
        <item x="861"/>
        <item x="451"/>
        <item x="25"/>
        <item x="692"/>
        <item x="3"/>
        <item x="479"/>
        <item x="300"/>
        <item x="366"/>
        <item x="939"/>
        <item x="42"/>
        <item x="721"/>
        <item x="928"/>
        <item x="62"/>
        <item x="780"/>
        <item x="674"/>
        <item x="352"/>
        <item x="246"/>
        <item x="910"/>
        <item x="390"/>
        <item x="233"/>
        <item x="270"/>
        <item x="194"/>
        <item x="492"/>
        <item x="825"/>
        <item x="449"/>
        <item x="426"/>
        <item x="360"/>
        <item x="634"/>
        <item x="668"/>
        <item x="669"/>
        <item x="731"/>
        <item x="68"/>
        <item x="139"/>
        <item x="727"/>
        <item x="383"/>
        <item x="568"/>
        <item x="686"/>
        <item x="442"/>
        <item x="965"/>
        <item x="32"/>
        <item x="538"/>
        <item x="402"/>
        <item x="212"/>
        <item x="436"/>
        <item x="892"/>
        <item x="699"/>
        <item x="698"/>
        <item x="839"/>
        <item x="152"/>
        <item x="974"/>
        <item x="474"/>
        <item x="908"/>
        <item x="79"/>
        <item x="862"/>
        <item x="192"/>
        <item x="263"/>
        <item x="959"/>
        <item x="953"/>
        <item x="591"/>
        <item x="204"/>
        <item x="457"/>
        <item x="248"/>
        <item x="545"/>
        <item x="704"/>
        <item x="318"/>
        <item x="311"/>
        <item x="397"/>
        <item x="756"/>
        <item x="893"/>
        <item x="863"/>
        <item x="873"/>
        <item x="673"/>
        <item x="848"/>
        <item x="737"/>
        <item x="234"/>
        <item x="407"/>
        <item x="728"/>
        <item x="98"/>
        <item x="976"/>
        <item x="658"/>
        <item x="510"/>
        <item x="271"/>
        <item x="93"/>
        <item x="159"/>
        <item x="708"/>
        <item x="15"/>
        <item x="189"/>
        <item x="792"/>
        <item x="988"/>
        <item x="539"/>
        <item x="604"/>
        <item x="628"/>
        <item x="227"/>
        <item x="854"/>
        <item x="944"/>
        <item x="522"/>
        <item x="44"/>
        <item x="24"/>
        <item x="909"/>
        <item x="461"/>
        <item x="878"/>
        <item x="146"/>
        <item x="899"/>
        <item x="675"/>
        <item x="413"/>
        <item x="361"/>
        <item x="84"/>
        <item x="284"/>
        <item x="102"/>
        <item x="816"/>
        <item x="785"/>
        <item x="746"/>
        <item x="193"/>
        <item x="75"/>
        <item x="265"/>
        <item x="693"/>
        <item x="116"/>
        <item x="885"/>
        <item x="144"/>
        <item x="13"/>
        <item x="384"/>
        <item x="717"/>
        <item x="288"/>
        <item x="903"/>
        <item x="664"/>
        <item x="170"/>
        <item x="501"/>
        <item x="323"/>
        <item x="578"/>
        <item x="289"/>
        <item x="755"/>
        <item x="687"/>
        <item x="799"/>
        <item x="337"/>
        <item x="813"/>
        <item x="468"/>
        <item x="370"/>
        <item x="460"/>
        <item x="132"/>
        <item x="797"/>
        <item x="722"/>
        <item x="710"/>
        <item x="826"/>
        <item x="554"/>
        <item x="982"/>
        <item x="473"/>
        <item x="443"/>
        <item x="703"/>
        <item x="697"/>
        <item x="254"/>
        <item x="490"/>
        <item x="560"/>
        <item x="679"/>
        <item x="317"/>
        <item x="607"/>
        <item x="312"/>
        <item x="620"/>
        <item x="258"/>
        <item x="72"/>
        <item x="293"/>
        <item x="56"/>
        <item x="242"/>
        <item x="421"/>
        <item x="758"/>
        <item x="400"/>
        <item x="637"/>
        <item x="371"/>
        <item x="162"/>
        <item x="259"/>
        <item x="224"/>
        <item x="340"/>
        <item x="805"/>
        <item x="872"/>
        <item x="26"/>
        <item x="314"/>
        <item x="324"/>
        <item x="855"/>
        <item x="551"/>
        <item x="846"/>
        <item x="678"/>
        <item x="382"/>
        <item x="109"/>
        <item x="73"/>
        <item x="99"/>
        <item x="585"/>
        <item x="884"/>
        <item x="39"/>
        <item x="332"/>
        <item x="769"/>
        <item x="343"/>
        <item x="48"/>
        <item x="738"/>
        <item x="281"/>
        <item x="438"/>
        <item x="584"/>
        <item x="869"/>
        <item x="353"/>
        <item x="762"/>
        <item x="519"/>
        <item x="569"/>
        <item x="834"/>
        <item x="850"/>
        <item x="843"/>
        <item x="610"/>
        <item x="880"/>
        <item x="33"/>
        <item x="768"/>
        <item x="791"/>
        <item x="726"/>
        <item x="935"/>
        <item x="168"/>
        <item x="649"/>
        <item x="218"/>
        <item x="782"/>
        <item x="723"/>
        <item x="592"/>
        <item x="962"/>
        <item x="229"/>
        <item x="19"/>
        <item x="548"/>
        <item x="115"/>
        <item x="827"/>
        <item x="9"/>
        <item x="680"/>
        <item x="163"/>
        <item x="433"/>
        <item x="412"/>
        <item x="496"/>
        <item x="347"/>
        <item x="590"/>
        <item x="613"/>
        <item x="169"/>
        <item x="556"/>
        <item x="105"/>
        <item x="235"/>
        <item x="446"/>
        <item x="135"/>
        <item x="376"/>
        <item x="174"/>
        <item x="472"/>
        <item x="406"/>
        <item x="391"/>
        <item x="221"/>
        <item x="644"/>
        <item x="525"/>
        <item x="264"/>
        <item x="302"/>
        <item x="932"/>
        <item x="923"/>
        <item x="341"/>
        <item x="670"/>
        <item x="914"/>
        <item x="45"/>
        <item x="409"/>
        <item x="213"/>
        <item x="640"/>
        <item x="463"/>
        <item x="875"/>
        <item x="798"/>
        <item x="575"/>
        <item x="257"/>
        <item x="110"/>
        <item x="54"/>
        <item x="287"/>
        <item x="963"/>
        <item x="114"/>
        <item x="555"/>
        <item x="696"/>
        <item x="651"/>
        <item x="325"/>
        <item x="198"/>
        <item x="184"/>
        <item x="915"/>
        <item x="219"/>
        <item x="49"/>
        <item x="767"/>
        <item x="879"/>
        <item x="753"/>
        <item x="308"/>
        <item x="403"/>
        <item x="228"/>
        <item x="814"/>
        <item x="520"/>
        <item x="969"/>
        <item x="348"/>
        <item x="183"/>
        <item x="946"/>
        <item x="579"/>
        <item x="295"/>
        <item x="793"/>
        <item x="63"/>
        <item x="940"/>
        <item x="886"/>
        <item x="933"/>
        <item x="430"/>
        <item x="145"/>
        <item x="466"/>
        <item x="50"/>
        <item x="108"/>
        <item x="739"/>
        <item x="667"/>
        <item x="549"/>
        <item x="902"/>
        <item x="140"/>
        <item x="431"/>
        <item x="821"/>
        <item x="175"/>
        <item x="975"/>
        <item x="165"/>
        <item x="176"/>
        <item x="650"/>
        <item x="599"/>
        <item x="945"/>
        <item x="788"/>
        <item x="619"/>
        <item x="414"/>
        <item x="643"/>
        <item x="828"/>
        <item x="124"/>
        <item x="532"/>
        <item x="709"/>
        <item x="467"/>
        <item x="771"/>
        <item x="80"/>
        <item x="427"/>
        <item x="294"/>
        <item x="849"/>
        <item x="428"/>
        <item x="401"/>
        <item x="272"/>
        <item x="740"/>
        <item x="586"/>
        <item x="858"/>
        <item x="905"/>
        <item x="881"/>
        <item x="810"/>
        <item x="282"/>
        <item x="800"/>
        <item x="486"/>
        <item x="205"/>
        <item x="303"/>
        <item x="373"/>
        <item x="133"/>
        <item x="482"/>
        <item x="702"/>
        <item x="153"/>
        <item x="635"/>
        <item x="199"/>
        <item x="844"/>
        <item x="200"/>
        <item x="349"/>
        <item x="516"/>
        <item x="278"/>
        <item x="195"/>
        <item x="481"/>
        <item x="51"/>
        <item x="531"/>
        <item x="34"/>
        <item x="78"/>
        <item x="665"/>
        <item x="20"/>
        <item x="10"/>
        <item x="502"/>
        <item x="18"/>
        <item x="354"/>
        <item x="475"/>
        <item x="251"/>
        <item x="103"/>
        <item x="856"/>
        <item x="562"/>
        <item x="776"/>
        <item x="561"/>
        <item x="497"/>
        <item x="777"/>
        <item x="608"/>
        <item x="252"/>
        <item x="346"/>
        <item x="916"/>
        <item x="85"/>
        <item x="741"/>
        <item x="764"/>
        <item x="840"/>
        <item x="732"/>
        <item x="947"/>
        <item x="540"/>
        <item x="593"/>
        <item x="503"/>
        <item x="117"/>
        <item x="333"/>
        <item x="622"/>
        <item x="676"/>
        <item x="368"/>
        <item x="398"/>
        <item x="444"/>
        <item x="820"/>
        <item x="86"/>
        <item x="43"/>
        <item x="81"/>
        <item x="653"/>
        <item x="416"/>
        <item x="141"/>
        <item x="786"/>
        <item x="27"/>
        <item x="439"/>
        <item x="794"/>
        <item x="273"/>
        <item x="614"/>
        <item x="970"/>
        <item x="469"/>
        <item x="378"/>
        <item x="645"/>
        <item x="237"/>
        <item x="711"/>
        <item x="621"/>
        <item x="392"/>
        <item x="712"/>
        <item x="201"/>
        <item x="763"/>
        <item x="564"/>
        <item x="887"/>
        <item x="362"/>
        <item x="638"/>
        <item x="214"/>
        <item x="208"/>
        <item x="971"/>
        <item x="733"/>
        <item x="977"/>
        <item x="505"/>
        <item x="415"/>
        <item x="177"/>
        <item x="900"/>
        <item x="408"/>
        <item x="948"/>
        <item x="734"/>
        <item x="452"/>
        <item x="21"/>
        <item x="864"/>
        <item x="930"/>
        <item x="594"/>
        <item x="319"/>
        <item x="487"/>
        <item x="40"/>
        <item x="587"/>
        <item x="290"/>
        <item x="178"/>
        <item x="527"/>
        <item x="682"/>
        <item x="206"/>
        <item x="978"/>
        <item x="526"/>
        <item x="58"/>
        <item x="615"/>
        <item x="911"/>
        <item x="422"/>
        <item x="476"/>
        <item x="954"/>
        <item x="705"/>
        <item x="941"/>
        <item x="851"/>
        <item x="118"/>
        <item x="64"/>
        <item x="888"/>
        <item x="57"/>
        <item x="917"/>
        <item x="811"/>
        <item x="783"/>
        <item x="88"/>
        <item x="870"/>
        <item x="379"/>
        <item x="822"/>
        <item x="659"/>
        <item x="100"/>
        <item x="355"/>
        <item x="338"/>
        <item x="806"/>
        <item x="249"/>
        <item x="646"/>
        <item x="616"/>
        <item x="576"/>
        <item x="148"/>
        <item x="94"/>
        <item x="605"/>
        <item x="835"/>
        <item x="504"/>
        <item x="546"/>
        <item x="801"/>
        <item x="171"/>
        <item x="230"/>
        <item x="629"/>
        <item x="87"/>
        <item x="498"/>
        <item x="111"/>
        <item x="983"/>
        <item x="841"/>
        <item x="190"/>
        <item x="924"/>
        <item x="147"/>
        <item x="647"/>
        <item x="600"/>
        <item x="894"/>
        <item x="445"/>
        <item x="681"/>
        <item x="160"/>
        <item x="517"/>
        <item x="857"/>
        <item x="747"/>
        <item x="260"/>
        <item x="557"/>
        <item x="694"/>
        <item x="28"/>
        <item x="279"/>
        <item x="385"/>
        <item x="236"/>
        <item x="154"/>
        <item x="652"/>
        <item x="327"/>
        <item x="534"/>
        <item x="207"/>
        <item x="724"/>
        <item x="458"/>
        <item x="563"/>
        <item x="718"/>
        <item x="918"/>
        <item x="297"/>
        <item x="770"/>
        <item x="320"/>
        <item x="70"/>
        <item x="386"/>
        <item x="243"/>
        <item x="130"/>
        <item x="356"/>
        <item x="326"/>
        <item x="82"/>
        <item x="876"/>
        <item x="255"/>
        <item x="196"/>
        <item x="623"/>
        <item x="440"/>
        <item x="570"/>
        <item x="266"/>
        <item x="202"/>
        <item x="4"/>
        <item x="829"/>
        <item x="960"/>
        <item x="267"/>
        <item x="285"/>
        <item x="688"/>
        <item x="344"/>
        <item x="511"/>
        <item x="309"/>
        <item x="499"/>
        <item x="533"/>
        <item x="942"/>
        <item x="611"/>
        <item x="464"/>
        <item x="296"/>
        <item x="906"/>
        <item x="16"/>
        <item x="706"/>
        <item x="735"/>
        <item x="700"/>
        <item x="493"/>
        <item x="852"/>
        <item x="823"/>
        <item x="142"/>
        <item x="882"/>
        <item x="350"/>
        <item x="729"/>
        <item x="434"/>
        <item x="261"/>
        <item x="523"/>
        <item x="641"/>
        <item x="380"/>
        <item x="136"/>
        <item x="410"/>
        <item x="315"/>
        <item x="52"/>
        <item x="291"/>
        <item x="106"/>
        <item x="847"/>
        <item x="321"/>
        <item x="582"/>
        <item x="76"/>
        <item x="404"/>
        <item x="552"/>
        <item x="588"/>
        <item x="817"/>
        <item x="966"/>
        <item x="231"/>
        <item x="46"/>
        <item x="972"/>
        <item x="22"/>
        <item x="374"/>
        <item x="789"/>
        <item x="677"/>
        <item x="765"/>
        <item x="470"/>
        <item x="617"/>
        <item x="936"/>
        <item x="759"/>
        <item x="112"/>
        <item x="528"/>
        <item x="795"/>
        <item x="172"/>
        <item x="912"/>
        <item x="166"/>
        <item x="558"/>
        <item x="225"/>
        <item x="671"/>
        <item t="default"/>
      </items>
    </pivotField>
    <pivotField dataField="1" compact="0" showAll="0">
      <items count="1001">
        <item x="703"/>
        <item x="263"/>
        <item x="293"/>
        <item x="713"/>
        <item x="415"/>
        <item x="113"/>
        <item x="173"/>
        <item x="317"/>
        <item x="647"/>
        <item x="919"/>
        <item x="763"/>
        <item x="443"/>
        <item x="707"/>
        <item x="17"/>
        <item x="23"/>
        <item x="289"/>
        <item x="389"/>
        <item x="13"/>
        <item x="593"/>
        <item x="11"/>
        <item x="373"/>
        <item x="473"/>
        <item x="233"/>
        <item x="857"/>
        <item x="941"/>
        <item x="527"/>
        <item x="89"/>
        <item x="215"/>
        <item x="887"/>
        <item x="161"/>
        <item x="587"/>
        <item x="197"/>
        <item x="191"/>
        <item x="463"/>
        <item x="341"/>
        <item x="107"/>
        <item x="821"/>
        <item x="185"/>
        <item x="911"/>
        <item x="899"/>
        <item x="761"/>
        <item x="235"/>
        <item x="275"/>
        <item x="863"/>
        <item x="137"/>
        <item x="143"/>
        <item x="503"/>
        <item x="743"/>
        <item x="839"/>
        <item x="947"/>
        <item x="803"/>
        <item x="101"/>
        <item x="773"/>
        <item x="221"/>
        <item x="563"/>
        <item x="767"/>
        <item x="84"/>
        <item x="797"/>
        <item x="479"/>
        <item x="132"/>
        <item x="558"/>
        <item x="395"/>
        <item x="438"/>
        <item x="311"/>
        <item x="875"/>
        <item x="893"/>
        <item x="569"/>
        <item x="737"/>
        <item x="257"/>
        <item x="641"/>
        <item x="359"/>
        <item x="815"/>
        <item x="407"/>
        <item x="203"/>
        <item x="714"/>
        <item x="419"/>
        <item x="869"/>
        <item x="557"/>
        <item x="971"/>
        <item x="953"/>
        <item x="269"/>
        <item x="383"/>
        <item x="977"/>
        <item x="665"/>
        <item x="881"/>
        <item x="227"/>
        <item x="895"/>
        <item x="689"/>
        <item x="623"/>
        <item x="29"/>
        <item x="539"/>
        <item x="335"/>
        <item x="59"/>
        <item x="779"/>
        <item x="935"/>
        <item x="905"/>
        <item x="239"/>
        <item x="617"/>
        <item x="659"/>
        <item x="431"/>
        <item x="377"/>
        <item x="167"/>
        <item x="851"/>
        <item x="323"/>
        <item x="653"/>
        <item x="599"/>
        <item x="65"/>
        <item x="401"/>
        <item x="995"/>
        <item x="492"/>
        <item x="305"/>
        <item x="5"/>
        <item x="467"/>
        <item x="228"/>
        <item x="230"/>
        <item x="732"/>
        <item x="917"/>
        <item x="984"/>
        <item x="521"/>
        <item x="497"/>
        <item x="287"/>
        <item x="437"/>
        <item x="768"/>
        <item x="581"/>
        <item x="95"/>
        <item x="125"/>
        <item x="179"/>
        <item x="677"/>
        <item x="755"/>
        <item x="683"/>
        <item x="833"/>
        <item x="281"/>
        <item x="923"/>
        <item x="455"/>
        <item x="439"/>
        <item x="983"/>
        <item x="47"/>
        <item x="533"/>
        <item x="510"/>
        <item x="978"/>
        <item x="155"/>
        <item x="929"/>
        <item x="959"/>
        <item x="690"/>
        <item x="673"/>
        <item x="425"/>
        <item x="329"/>
        <item x="534"/>
        <item x="809"/>
        <item x="491"/>
        <item x="77"/>
        <item x="42"/>
        <item x="102"/>
        <item x="72"/>
        <item x="605"/>
        <item x="498"/>
        <item x="827"/>
        <item x="372"/>
        <item x="965"/>
        <item x="347"/>
        <item x="545"/>
        <item x="119"/>
        <item x="319"/>
        <item x="791"/>
        <item x="299"/>
        <item x="413"/>
        <item x="30"/>
        <item x="83"/>
        <item x="528"/>
        <item x="353"/>
        <item x="336"/>
        <item x="845"/>
        <item x="276"/>
        <item x="149"/>
        <item x="209"/>
        <item x="582"/>
        <item x="710"/>
        <item x="695"/>
        <item x="360"/>
        <item x="551"/>
        <item x="485"/>
        <item x="371"/>
        <item x="989"/>
        <item x="138"/>
        <item x="671"/>
        <item x="139"/>
        <item x="365"/>
        <item x="53"/>
        <item x="635"/>
        <item x="986"/>
        <item x="731"/>
        <item x="384"/>
        <item x="379"/>
        <item x="701"/>
        <item x="259"/>
        <item x="961"/>
        <item x="131"/>
        <item x="120"/>
        <item x="245"/>
        <item x="73"/>
        <item x="260"/>
        <item x="251"/>
        <item x="515"/>
        <item x="725"/>
        <item x="629"/>
        <item x="509"/>
        <item x="749"/>
        <item x="575"/>
        <item x="35"/>
        <item x="71"/>
        <item x="611"/>
        <item x="719"/>
        <item x="631"/>
        <item x="449"/>
        <item x="612"/>
        <item x="461"/>
        <item x="421"/>
        <item x="180"/>
        <item x="96"/>
        <item x="270"/>
        <item x="792"/>
        <item x="822"/>
        <item x="828"/>
        <item x="182"/>
        <item x="90"/>
        <item x="836"/>
        <item x="858"/>
        <item x="170"/>
        <item x="834"/>
        <item x="589"/>
        <item x="41"/>
        <item x="769"/>
        <item x="223"/>
        <item x="661"/>
        <item x="785"/>
        <item x="354"/>
        <item x="932"/>
        <item x="266"/>
        <item x="642"/>
        <item x="277"/>
        <item x="222"/>
        <item x="488"/>
        <item x="55"/>
        <item x="444"/>
        <item x="896"/>
        <item x="901"/>
        <item x="204"/>
        <item x="996"/>
        <item x="408"/>
        <item x="762"/>
        <item x="810"/>
        <item x="799"/>
        <item x="606"/>
        <item x="146"/>
        <item x="229"/>
        <item x="780"/>
        <item x="564"/>
        <item x="948"/>
        <item x="79"/>
        <item x="660"/>
        <item x="906"/>
        <item x="115"/>
        <item x="175"/>
        <item x="474"/>
        <item x="434"/>
        <item x="841"/>
        <item x="806"/>
        <item x="193"/>
        <item x="907"/>
        <item x="25"/>
        <item x="331"/>
        <item x="949"/>
        <item x="830"/>
        <item x="816"/>
        <item x="716"/>
        <item x="632"/>
        <item x="290"/>
        <item x="738"/>
        <item x="140"/>
        <item x="476"/>
        <item x="300"/>
        <item x="450"/>
        <item x="330"/>
        <item x="559"/>
        <item x="12"/>
        <item x="217"/>
        <item x="888"/>
        <item x="312"/>
        <item x="744"/>
        <item x="883"/>
        <item x="282"/>
        <item x="979"/>
        <item x="522"/>
        <item x="960"/>
        <item x="511"/>
        <item x="378"/>
        <item x="427"/>
        <item x="774"/>
        <item x="37"/>
        <item x="234"/>
        <item x="894"/>
        <item x="954"/>
        <item x="614"/>
        <item x="324"/>
        <item x="823"/>
        <item x="973"/>
        <item x="355"/>
        <item x="192"/>
        <item x="1"/>
        <item x="114"/>
        <item x="218"/>
        <item x="776"/>
        <item x="920"/>
        <item x="181"/>
        <item x="470"/>
        <item x="24"/>
        <item x="420"/>
        <item x="121"/>
        <item x="601"/>
        <item x="128"/>
        <item x="504"/>
        <item x="480"/>
        <item x="349"/>
        <item x="571"/>
        <item x="804"/>
        <item x="409"/>
        <item x="595"/>
        <item x="882"/>
        <item x="679"/>
        <item x="342"/>
        <item x="110"/>
        <item x="109"/>
        <item x="942"/>
        <item x="0"/>
        <item x="264"/>
        <item x="36"/>
        <item x="930"/>
        <item x="31"/>
        <item x="416"/>
        <item x="158"/>
        <item x="452"/>
        <item x="294"/>
        <item x="307"/>
        <item x="672"/>
        <item x="962"/>
        <item x="14"/>
        <item x="654"/>
        <item x="967"/>
        <item x="210"/>
        <item x="702"/>
        <item x="943"/>
        <item x="877"/>
        <item x="457"/>
        <item x="913"/>
        <item x="48"/>
        <item x="524"/>
        <item x="108"/>
        <item x="385"/>
        <item x="216"/>
        <item x="325"/>
        <item x="398"/>
        <item x="846"/>
        <item x="493"/>
        <item x="536"/>
        <item x="576"/>
        <item x="168"/>
        <item x="624"/>
        <item x="367"/>
        <item x="344"/>
        <item x="636"/>
        <item x="697"/>
        <item x="997"/>
        <item x="386"/>
        <item x="296"/>
        <item x="852"/>
        <item x="122"/>
        <item x="433"/>
        <item x="402"/>
        <item x="403"/>
        <item x="541"/>
        <item x="786"/>
        <item x="78"/>
        <item x="529"/>
        <item x="583"/>
        <item x="432"/>
        <item x="668"/>
        <item x="972"/>
        <item x="314"/>
        <item x="607"/>
        <item x="733"/>
        <item x="840"/>
        <item x="391"/>
        <item x="686"/>
        <item x="876"/>
        <item x="487"/>
        <item x="462"/>
        <item x="211"/>
        <item x="174"/>
        <item x="974"/>
        <item x="91"/>
        <item x="80"/>
        <item x="133"/>
        <item x="366"/>
        <item x="865"/>
        <item x="26"/>
        <item x="918"/>
        <item x="313"/>
        <item x="127"/>
        <item x="74"/>
        <item x="252"/>
        <item x="224"/>
        <item x="150"/>
        <item x="38"/>
        <item x="912"/>
        <item x="54"/>
        <item x="554"/>
        <item x="361"/>
        <item x="758"/>
        <item x="708"/>
        <item x="66"/>
        <item x="750"/>
        <item x="860"/>
        <item x="870"/>
        <item x="116"/>
        <item x="678"/>
        <item x="854"/>
        <item x="764"/>
        <item x="818"/>
        <item x="253"/>
        <item x="144"/>
        <item x="157"/>
        <item x="258"/>
        <item x="835"/>
        <item x="337"/>
        <item x="548"/>
        <item x="326"/>
        <item x="618"/>
        <item x="56"/>
        <item x="966"/>
        <item x="866"/>
        <item x="560"/>
        <item x="156"/>
        <item x="900"/>
        <item x="648"/>
        <item x="240"/>
        <item x="200"/>
        <item x="468"/>
        <item x="666"/>
        <item x="61"/>
        <item x="506"/>
        <item x="176"/>
        <item x="414"/>
        <item x="540"/>
        <item x="570"/>
        <item x="482"/>
        <item x="284"/>
        <item x="356"/>
        <item x="655"/>
        <item x="348"/>
        <item x="696"/>
        <item x="302"/>
        <item x="18"/>
        <item x="552"/>
        <item x="475"/>
        <item x="318"/>
        <item x="254"/>
        <item x="649"/>
        <item x="637"/>
        <item x="715"/>
        <item x="926"/>
        <item x="625"/>
        <item x="745"/>
        <item x="553"/>
        <item x="931"/>
        <item x="720"/>
        <item x="445"/>
        <item x="19"/>
        <item x="842"/>
        <item x="6"/>
        <item x="512"/>
        <item x="97"/>
        <item x="350"/>
        <item x="680"/>
        <item x="198"/>
        <item x="169"/>
        <item x="794"/>
        <item x="546"/>
        <item x="853"/>
        <item x="422"/>
        <item x="924"/>
        <item x="187"/>
        <item x="469"/>
        <item x="685"/>
        <item x="163"/>
        <item x="824"/>
        <item x="925"/>
        <item x="535"/>
        <item x="630"/>
        <item x="864"/>
        <item x="596"/>
        <item x="440"/>
        <item x="662"/>
        <item x="691"/>
        <item x="812"/>
        <item x="50"/>
        <item x="145"/>
        <item x="684"/>
        <item x="306"/>
        <item x="577"/>
        <item x="288"/>
        <item x="757"/>
        <item x="104"/>
        <item x="936"/>
        <item x="380"/>
        <item x="67"/>
        <item x="752"/>
        <item x="588"/>
        <item x="859"/>
        <item x="278"/>
        <item x="798"/>
        <item x="392"/>
        <item x="955"/>
        <item x="295"/>
        <item x="499"/>
        <item x="481"/>
        <item x="594"/>
        <item x="613"/>
        <item x="626"/>
        <item x="151"/>
        <item x="992"/>
        <item x="523"/>
        <item x="456"/>
        <item x="390"/>
        <item x="829"/>
        <item x="486"/>
        <item x="162"/>
        <item x="751"/>
        <item x="756"/>
        <item x="186"/>
        <item x="721"/>
        <item x="608"/>
        <item x="301"/>
        <item x="739"/>
        <item x="619"/>
        <item x="968"/>
        <item x="793"/>
        <item x="746"/>
        <item x="134"/>
        <item x="726"/>
        <item x="60"/>
        <item x="247"/>
        <item x="43"/>
        <item x="990"/>
        <item x="998"/>
        <item x="667"/>
        <item x="956"/>
        <item x="938"/>
        <item x="709"/>
        <item x="126"/>
        <item x="500"/>
        <item x="937"/>
        <item x="985"/>
        <item x="246"/>
        <item x="584"/>
        <item x="643"/>
        <item x="346"/>
        <item x="446"/>
        <item x="987"/>
        <item x="775"/>
        <item x="241"/>
        <item x="249"/>
        <item x="600"/>
        <item x="283"/>
        <item x="464"/>
        <item x="516"/>
        <item x="565"/>
        <item x="627"/>
        <item x="451"/>
        <item x="902"/>
        <item x="92"/>
        <item x="847"/>
        <item x="164"/>
        <item x="787"/>
        <item x="205"/>
        <item x="426"/>
        <item x="890"/>
        <item x="397"/>
        <item x="650"/>
        <item x="781"/>
        <item x="811"/>
        <item x="466"/>
        <item x="49"/>
        <item x="770"/>
        <item x="817"/>
        <item x="734"/>
        <item x="502"/>
        <item x="410"/>
        <item x="103"/>
        <item x="286"/>
        <item x="199"/>
        <item x="884"/>
        <item x="396"/>
        <item x="663"/>
        <item x="698"/>
        <item x="950"/>
        <item x="848"/>
        <item x="652"/>
        <item x="494"/>
        <item x="566"/>
        <item x="891"/>
        <item x="505"/>
        <item x="736"/>
        <item x="944"/>
        <item x="265"/>
        <item x="16"/>
        <item x="188"/>
        <item x="32"/>
        <item x="633"/>
        <item x="271"/>
        <item x="411"/>
        <item x="242"/>
        <item x="8"/>
        <item x="381"/>
        <item x="417"/>
        <item x="338"/>
        <item x="800"/>
        <item x="316"/>
        <item x="602"/>
        <item x="889"/>
        <item x="620"/>
        <item x="404"/>
        <item x="85"/>
        <item x="722"/>
        <item x="343"/>
        <item x="7"/>
        <item x="723"/>
        <item x="152"/>
        <item x="320"/>
        <item x="368"/>
        <item x="656"/>
        <item x="590"/>
        <item x="597"/>
        <item x="351"/>
        <item x="547"/>
        <item x="704"/>
        <item x="909"/>
        <item x="727"/>
        <item x="517"/>
        <item x="530"/>
        <item x="805"/>
        <item x="740"/>
        <item x="871"/>
        <item x="705"/>
        <item x="206"/>
        <item x="578"/>
        <item x="202"/>
        <item x="428"/>
        <item x="236"/>
        <item x="572"/>
        <item x="98"/>
        <item x="980"/>
        <item x="878"/>
        <item x="742"/>
        <item x="201"/>
        <item x="256"/>
        <item x="692"/>
        <item x="76"/>
        <item x="2"/>
        <item x="957"/>
        <item x="908"/>
        <item x="991"/>
        <item x="272"/>
        <item x="82"/>
        <item x="194"/>
        <item x="20"/>
        <item x="136"/>
        <item x="807"/>
        <item x="44"/>
        <item x="86"/>
        <item x="616"/>
        <item x="872"/>
        <item x="717"/>
        <item x="248"/>
        <item x="369"/>
        <item x="471"/>
        <item x="62"/>
        <item x="711"/>
        <item x="518"/>
        <item x="638"/>
        <item x="747"/>
        <item x="914"/>
        <item x="993"/>
        <item x="477"/>
        <item x="674"/>
        <item x="458"/>
        <item x="189"/>
        <item x="34"/>
        <item x="68"/>
        <item x="982"/>
        <item x="837"/>
        <item x="782"/>
        <item x="308"/>
        <item x="291"/>
        <item x="927"/>
        <item x="441"/>
        <item x="141"/>
        <item x="232"/>
        <item x="453"/>
        <item x="255"/>
        <item x="382"/>
        <item x="669"/>
        <item x="958"/>
        <item x="184"/>
        <item x="759"/>
        <item x="220"/>
        <item x="436"/>
        <item x="513"/>
        <item x="212"/>
        <item x="177"/>
        <item x="862"/>
        <item x="892"/>
        <item x="728"/>
        <item x="40"/>
        <item x="448"/>
        <item x="51"/>
        <item x="332"/>
        <item x="75"/>
        <item x="123"/>
        <item x="921"/>
        <item x="442"/>
        <item x="117"/>
        <item x="542"/>
        <item x="362"/>
        <item x="525"/>
        <item x="861"/>
        <item x="644"/>
        <item x="406"/>
        <item x="196"/>
        <item x="874"/>
        <item x="771"/>
        <item x="585"/>
        <item x="69"/>
        <item x="939"/>
        <item x="784"/>
        <item x="788"/>
        <item x="592"/>
        <item x="886"/>
        <item x="374"/>
        <item x="598"/>
        <item x="147"/>
        <item x="591"/>
        <item x="129"/>
        <item x="777"/>
        <item x="357"/>
        <item x="999"/>
        <item x="430"/>
        <item x="243"/>
        <item x="789"/>
        <item x="214"/>
        <item x="657"/>
        <item x="87"/>
        <item x="33"/>
        <item x="760"/>
        <item x="3"/>
        <item x="681"/>
        <item x="741"/>
        <item x="454"/>
        <item x="57"/>
        <item x="640"/>
        <item x="142"/>
        <item x="304"/>
        <item x="903"/>
        <item x="801"/>
        <item x="27"/>
        <item x="124"/>
        <item x="568"/>
        <item x="573"/>
        <item x="544"/>
        <item x="549"/>
        <item x="699"/>
        <item x="658"/>
        <item x="832"/>
        <item x="778"/>
        <item x="765"/>
        <item x="459"/>
        <item x="10"/>
        <item x="940"/>
        <item x="81"/>
        <item x="808"/>
        <item x="753"/>
        <item x="712"/>
        <item x="93"/>
        <item x="333"/>
        <item x="423"/>
        <item x="952"/>
        <item x="820"/>
        <item x="772"/>
        <item x="159"/>
        <item x="238"/>
        <item x="897"/>
        <item x="171"/>
        <item x="418"/>
        <item x="688"/>
        <item x="543"/>
        <item x="106"/>
        <item x="687"/>
        <item x="646"/>
        <item x="868"/>
        <item x="831"/>
        <item x="303"/>
        <item x="352"/>
        <item x="207"/>
        <item x="495"/>
        <item x="399"/>
        <item x="916"/>
        <item x="855"/>
        <item x="412"/>
        <item x="262"/>
        <item x="814"/>
        <item x="339"/>
        <item x="135"/>
        <item x="322"/>
        <item x="873"/>
        <item x="910"/>
        <item x="321"/>
        <item x="400"/>
        <item x="22"/>
        <item x="981"/>
        <item x="856"/>
        <item x="621"/>
        <item x="105"/>
        <item x="580"/>
        <item x="975"/>
        <item x="639"/>
        <item x="610"/>
        <item x="315"/>
        <item x="21"/>
        <item x="465"/>
        <item x="376"/>
        <item x="345"/>
        <item x="237"/>
        <item x="490"/>
        <item x="507"/>
        <item x="274"/>
        <item x="729"/>
        <item x="885"/>
        <item x="945"/>
        <item x="693"/>
        <item x="706"/>
        <item x="387"/>
        <item x="99"/>
        <item x="634"/>
        <item x="501"/>
        <item x="963"/>
        <item x="586"/>
        <item x="561"/>
        <item x="933"/>
        <item x="327"/>
        <item x="819"/>
        <item x="537"/>
        <item x="796"/>
        <item x="484"/>
        <item x="969"/>
        <item x="670"/>
        <item x="447"/>
        <item x="567"/>
        <item x="531"/>
        <item x="334"/>
        <item x="645"/>
        <item x="363"/>
        <item x="532"/>
        <item x="483"/>
        <item x="555"/>
        <item x="340"/>
        <item x="39"/>
        <item x="267"/>
        <item x="219"/>
        <item x="579"/>
        <item x="976"/>
        <item x="795"/>
        <item x="843"/>
        <item x="682"/>
        <item x="867"/>
        <item x="226"/>
        <item x="766"/>
        <item x="58"/>
        <item x="615"/>
        <item x="951"/>
        <item x="675"/>
        <item x="231"/>
        <item x="603"/>
        <item x="280"/>
        <item x="988"/>
        <item x="651"/>
        <item x="394"/>
        <item x="735"/>
        <item x="496"/>
        <item x="609"/>
        <item x="622"/>
        <item x="88"/>
        <item x="730"/>
        <item x="292"/>
        <item x="915"/>
        <item x="718"/>
        <item x="922"/>
        <item x="52"/>
        <item x="9"/>
        <item x="748"/>
        <item x="825"/>
        <item x="489"/>
        <item x="297"/>
        <item x="285"/>
        <item x="676"/>
        <item x="393"/>
        <item x="111"/>
        <item x="279"/>
        <item x="15"/>
        <item x="63"/>
        <item x="519"/>
        <item x="261"/>
        <item x="898"/>
        <item x="604"/>
        <item x="309"/>
        <item x="153"/>
        <item x="934"/>
        <item x="100"/>
        <item x="783"/>
        <item x="849"/>
        <item x="225"/>
        <item x="172"/>
        <item x="850"/>
        <item x="130"/>
        <item x="273"/>
        <item x="195"/>
        <item x="46"/>
        <item x="904"/>
        <item x="364"/>
        <item x="664"/>
        <item x="928"/>
        <item x="213"/>
        <item x="802"/>
        <item x="298"/>
        <item x="826"/>
        <item x="478"/>
        <item x="994"/>
        <item x="405"/>
        <item x="880"/>
        <item x="178"/>
        <item x="562"/>
        <item x="358"/>
        <item x="508"/>
        <item x="118"/>
        <item x="375"/>
        <item x="970"/>
        <item x="429"/>
        <item x="472"/>
        <item x="183"/>
        <item x="879"/>
        <item x="165"/>
        <item x="160"/>
        <item x="964"/>
        <item x="628"/>
        <item x="574"/>
        <item x="694"/>
        <item x="946"/>
        <item x="70"/>
        <item x="460"/>
        <item x="166"/>
        <item x="112"/>
        <item x="45"/>
        <item x="526"/>
        <item x="370"/>
        <item x="154"/>
        <item x="328"/>
        <item x="190"/>
        <item x="813"/>
        <item x="148"/>
        <item x="208"/>
        <item x="514"/>
        <item x="435"/>
        <item x="556"/>
        <item x="838"/>
        <item x="550"/>
        <item x="310"/>
        <item x="520"/>
        <item x="94"/>
        <item x="790"/>
        <item x="844"/>
        <item x="4"/>
        <item x="28"/>
        <item x="700"/>
        <item x="538"/>
        <item x="724"/>
        <item x="244"/>
        <item x="754"/>
        <item x="268"/>
        <item x="424"/>
        <item x="388"/>
        <item x="250"/>
        <item x="64"/>
        <item t="default"/>
      </items>
    </pivotField>
    <pivotField dragToCol="0" dragToPage="0" dragToRow="0" compact="0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1">
        <item x="5"/>
        <item x="10"/>
        <item x="3"/>
        <item x="26"/>
        <item x="16"/>
        <item x="4"/>
        <item x="6"/>
        <item x="0"/>
        <item x="12"/>
        <item x="29"/>
        <item x="22"/>
        <item x="18"/>
        <item x="11"/>
        <item x="7"/>
        <item x="2"/>
        <item x="1"/>
        <item x="14"/>
        <item x="8"/>
        <item x="24"/>
        <item x="20"/>
        <item x="27"/>
        <item x="13"/>
        <item x="15"/>
        <item x="28"/>
        <item x="9"/>
        <item x="25"/>
        <item x="23"/>
        <item x="21"/>
        <item x="17"/>
        <item x="19"/>
        <item t="default"/>
      </items>
    </pivotField>
    <pivotField compact="0" showAll="0">
      <items count="10">
        <item x="2"/>
        <item x="0"/>
        <item x="3"/>
        <item x="1"/>
        <item x="5"/>
        <item x="4"/>
        <item x="8"/>
        <item x="7"/>
        <item x="6"/>
        <item t="default"/>
      </items>
    </pivotField>
    <pivotField compact="0" showAll="0">
      <items count="10">
        <item x="2"/>
        <item x="1"/>
        <item x="3"/>
        <item x="0"/>
        <item x="5"/>
        <item x="4"/>
        <item x="8"/>
        <item x="7"/>
        <item x="6"/>
        <item t="default"/>
      </items>
    </pivotField>
    <pivotField compact="0" numFmtId="180" showAll="0">
      <items count="366">
        <item x="8"/>
        <item x="341"/>
        <item x="342"/>
        <item x="343"/>
        <item x="344"/>
        <item x="345"/>
        <item x="22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19"/>
        <item x="362"/>
        <item x="16"/>
        <item x="363"/>
        <item x="364"/>
        <item x="26"/>
        <item x="27"/>
        <item x="28"/>
        <item x="29"/>
        <item x="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13"/>
        <item x="43"/>
        <item x="44"/>
        <item x="45"/>
        <item x="46"/>
        <item x="47"/>
        <item x="48"/>
        <item x="49"/>
        <item x="50"/>
        <item x="18"/>
        <item x="51"/>
        <item x="52"/>
        <item x="53"/>
        <item x="54"/>
        <item x="55"/>
        <item x="56"/>
        <item x="57"/>
        <item x="4"/>
        <item x="58"/>
        <item x="59"/>
        <item x="60"/>
        <item x="0"/>
        <item x="61"/>
        <item x="62"/>
        <item x="63"/>
        <item x="64"/>
        <item x="65"/>
        <item x="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5"/>
        <item x="83"/>
        <item x="84"/>
        <item x="85"/>
        <item x="86"/>
        <item x="87"/>
        <item x="88"/>
        <item x="3"/>
        <item x="89"/>
        <item x="90"/>
        <item x="91"/>
        <item x="92"/>
        <item x="93"/>
        <item x="94"/>
        <item x="95"/>
        <item x="96"/>
        <item x="97"/>
        <item x="98"/>
        <item x="99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2"/>
        <item x="110"/>
        <item x="111"/>
        <item x="112"/>
        <item x="113"/>
        <item x="114"/>
        <item x="23"/>
        <item x="115"/>
        <item x="116"/>
        <item x="117"/>
        <item x="24"/>
        <item x="118"/>
        <item x="119"/>
        <item x="120"/>
        <item x="121"/>
        <item x="122"/>
        <item x="123"/>
        <item x="11"/>
        <item x="6"/>
        <item x="124"/>
        <item x="125"/>
        <item x="126"/>
        <item x="127"/>
        <item x="128"/>
        <item x="129"/>
        <item x="130"/>
        <item x="14"/>
        <item x="20"/>
        <item x="131"/>
        <item x="132"/>
        <item x="133"/>
        <item x="134"/>
        <item x="1"/>
        <item x="135"/>
        <item x="136"/>
        <item x="137"/>
        <item x="138"/>
        <item x="139"/>
        <item x="21"/>
        <item x="140"/>
        <item x="141"/>
        <item x="142"/>
        <item x="143"/>
        <item x="144"/>
        <item x="17"/>
        <item x="145"/>
        <item x="146"/>
        <item x="147"/>
        <item x="148"/>
        <item x="149"/>
        <item x="150"/>
        <item x="151"/>
        <item x="152"/>
        <item x="153"/>
        <item x="7"/>
        <item x="25"/>
        <item x="1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compact="0" showAll="0">
      <items count="13">
        <item x="4"/>
        <item x="5"/>
        <item x="0"/>
        <item x="3"/>
        <item x="2"/>
        <item x="1"/>
        <item x="6"/>
        <item x="7"/>
        <item x="8"/>
        <item x="9"/>
        <item x="10"/>
        <item x="11"/>
        <item t="default"/>
      </items>
    </pivotField>
    <pivotField compact="0" showAll="0">
      <items count="417">
        <item x="226"/>
        <item x="11"/>
        <item x="251"/>
        <item x="237"/>
        <item x="16"/>
        <item x="339"/>
        <item x="146"/>
        <item x="133"/>
        <item x="150"/>
        <item x="213"/>
        <item x="99"/>
        <item x="385"/>
        <item x="370"/>
        <item x="201"/>
        <item x="382"/>
        <item x="305"/>
        <item x="153"/>
        <item x="276"/>
        <item x="379"/>
        <item x="22"/>
        <item x="166"/>
        <item x="396"/>
        <item x="175"/>
        <item x="257"/>
        <item x="288"/>
        <item x="264"/>
        <item x="198"/>
        <item x="406"/>
        <item x="121"/>
        <item x="176"/>
        <item x="5"/>
        <item x="60"/>
        <item x="28"/>
        <item x="29"/>
        <item x="274"/>
        <item x="13"/>
        <item x="209"/>
        <item x="106"/>
        <item x="220"/>
        <item x="377"/>
        <item x="326"/>
        <item x="298"/>
        <item x="342"/>
        <item x="202"/>
        <item x="80"/>
        <item x="234"/>
        <item x="249"/>
        <item x="76"/>
        <item x="94"/>
        <item x="400"/>
        <item x="85"/>
        <item x="372"/>
        <item x="309"/>
        <item x="119"/>
        <item x="318"/>
        <item x="84"/>
        <item x="307"/>
        <item x="129"/>
        <item x="190"/>
        <item x="286"/>
        <item x="205"/>
        <item x="113"/>
        <item x="247"/>
        <item x="39"/>
        <item x="118"/>
        <item x="172"/>
        <item x="66"/>
        <item x="327"/>
        <item x="168"/>
        <item x="354"/>
        <item x="164"/>
        <item x="51"/>
        <item x="160"/>
        <item x="124"/>
        <item x="90"/>
        <item x="191"/>
        <item x="105"/>
        <item x="171"/>
        <item x="361"/>
        <item x="30"/>
        <item x="34"/>
        <item x="229"/>
        <item x="24"/>
        <item x="290"/>
        <item x="210"/>
        <item x="72"/>
        <item x="107"/>
        <item x="359"/>
        <item x="183"/>
        <item x="1"/>
        <item x="12"/>
        <item x="346"/>
        <item x="44"/>
        <item x="267"/>
        <item x="291"/>
        <item x="283"/>
        <item x="75"/>
        <item x="70"/>
        <item x="278"/>
        <item x="250"/>
        <item x="49"/>
        <item x="163"/>
        <item x="38"/>
        <item x="358"/>
        <item x="241"/>
        <item x="207"/>
        <item x="65"/>
        <item x="33"/>
        <item x="101"/>
        <item x="167"/>
        <item x="67"/>
        <item x="108"/>
        <item x="161"/>
        <item x="112"/>
        <item x="95"/>
        <item x="289"/>
        <item x="0"/>
        <item x="380"/>
        <item x="364"/>
        <item x="173"/>
        <item x="253"/>
        <item x="151"/>
        <item x="390"/>
        <item x="206"/>
        <item x="169"/>
        <item x="120"/>
        <item x="35"/>
        <item x="142"/>
        <item x="312"/>
        <item x="324"/>
        <item x="217"/>
        <item x="294"/>
        <item x="130"/>
        <item x="23"/>
        <item x="32"/>
        <item x="179"/>
        <item x="86"/>
        <item x="96"/>
        <item x="61"/>
        <item x="194"/>
        <item x="215"/>
        <item x="335"/>
        <item x="271"/>
        <item x="214"/>
        <item x="408"/>
        <item x="102"/>
        <item x="188"/>
        <item x="347"/>
        <item x="260"/>
        <item x="325"/>
        <item x="74"/>
        <item x="248"/>
        <item x="56"/>
        <item x="147"/>
        <item x="52"/>
        <item x="100"/>
        <item x="25"/>
        <item x="224"/>
        <item x="62"/>
        <item x="386"/>
        <item x="319"/>
        <item x="45"/>
        <item x="37"/>
        <item x="393"/>
        <item x="137"/>
        <item x="115"/>
        <item x="6"/>
        <item x="18"/>
        <item x="92"/>
        <item x="122"/>
        <item x="203"/>
        <item x="240"/>
        <item x="138"/>
        <item x="310"/>
        <item x="15"/>
        <item x="10"/>
        <item x="322"/>
        <item x="345"/>
        <item x="284"/>
        <item x="219"/>
        <item x="344"/>
        <item x="263"/>
        <item x="227"/>
        <item x="46"/>
        <item x="369"/>
        <item x="189"/>
        <item x="225"/>
        <item x="328"/>
        <item x="117"/>
        <item x="332"/>
        <item x="50"/>
        <item x="265"/>
        <item x="110"/>
        <item x="254"/>
        <item x="141"/>
        <item x="123"/>
        <item x="242"/>
        <item x="275"/>
        <item x="279"/>
        <item x="392"/>
        <item x="55"/>
        <item x="316"/>
        <item x="143"/>
        <item x="273"/>
        <item x="337"/>
        <item x="280"/>
        <item x="155"/>
        <item x="109"/>
        <item x="297"/>
        <item x="71"/>
        <item x="154"/>
        <item x="252"/>
        <item x="81"/>
        <item x="180"/>
        <item x="315"/>
        <item x="135"/>
        <item x="211"/>
        <item x="368"/>
        <item x="111"/>
        <item x="69"/>
        <item x="3"/>
        <item x="17"/>
        <item x="313"/>
        <item x="68"/>
        <item x="266"/>
        <item x="184"/>
        <item x="373"/>
        <item x="208"/>
        <item x="185"/>
        <item x="134"/>
        <item x="181"/>
        <item x="47"/>
        <item x="31"/>
        <item x="2"/>
        <item x="7"/>
        <item x="246"/>
        <item x="239"/>
        <item x="178"/>
        <item x="148"/>
        <item x="131"/>
        <item x="292"/>
        <item x="356"/>
        <item x="311"/>
        <item x="374"/>
        <item x="174"/>
        <item x="103"/>
        <item x="156"/>
        <item x="360"/>
        <item x="200"/>
        <item x="126"/>
        <item x="409"/>
        <item x="397"/>
        <item x="414"/>
        <item x="269"/>
        <item x="353"/>
        <item x="26"/>
        <item x="338"/>
        <item x="262"/>
        <item x="258"/>
        <item x="415"/>
        <item x="91"/>
        <item x="259"/>
        <item x="199"/>
        <item x="350"/>
        <item x="404"/>
        <item x="125"/>
        <item x="195"/>
        <item x="366"/>
        <item x="401"/>
        <item x="340"/>
        <item x="281"/>
        <item x="330"/>
        <item x="57"/>
        <item x="53"/>
        <item x="82"/>
        <item x="282"/>
        <item x="63"/>
        <item x="40"/>
        <item x="233"/>
        <item x="336"/>
        <item x="152"/>
        <item x="371"/>
        <item x="378"/>
        <item x="302"/>
        <item x="87"/>
        <item x="405"/>
        <item x="73"/>
        <item x="186"/>
        <item x="193"/>
        <item x="116"/>
        <item x="363"/>
        <item x="285"/>
        <item x="218"/>
        <item x="295"/>
        <item x="365"/>
        <item x="41"/>
        <item x="308"/>
        <item x="243"/>
        <item x="232"/>
        <item x="78"/>
        <item x="221"/>
        <item x="236"/>
        <item x="341"/>
        <item x="235"/>
        <item x="204"/>
        <item x="413"/>
        <item x="375"/>
        <item x="54"/>
        <item x="19"/>
        <item x="157"/>
        <item x="395"/>
        <item x="21"/>
        <item x="238"/>
        <item x="245"/>
        <item x="296"/>
        <item x="352"/>
        <item x="407"/>
        <item x="93"/>
        <item x="333"/>
        <item x="77"/>
        <item x="412"/>
        <item x="357"/>
        <item x="79"/>
        <item x="158"/>
        <item x="399"/>
        <item x="300"/>
        <item x="329"/>
        <item x="256"/>
        <item x="144"/>
        <item x="36"/>
        <item x="343"/>
        <item x="391"/>
        <item x="402"/>
        <item x="132"/>
        <item x="299"/>
        <item x="334"/>
        <item x="389"/>
        <item x="139"/>
        <item x="362"/>
        <item x="88"/>
        <item x="89"/>
        <item x="165"/>
        <item x="114"/>
        <item x="20"/>
        <item x="64"/>
        <item x="159"/>
        <item x="149"/>
        <item x="228"/>
        <item x="351"/>
        <item x="387"/>
        <item x="14"/>
        <item x="376"/>
        <item x="48"/>
        <item x="255"/>
        <item x="381"/>
        <item x="9"/>
        <item x="304"/>
        <item x="403"/>
        <item x="314"/>
        <item x="83"/>
        <item x="212"/>
        <item x="43"/>
        <item x="127"/>
        <item x="277"/>
        <item x="383"/>
        <item x="230"/>
        <item x="27"/>
        <item x="104"/>
        <item x="317"/>
        <item x="331"/>
        <item x="216"/>
        <item x="177"/>
        <item x="355"/>
        <item x="323"/>
        <item x="306"/>
        <item x="320"/>
        <item x="196"/>
        <item x="384"/>
        <item x="4"/>
        <item x="244"/>
        <item x="367"/>
        <item x="293"/>
        <item x="268"/>
        <item x="140"/>
        <item x="348"/>
        <item x="231"/>
        <item x="410"/>
        <item x="394"/>
        <item x="411"/>
        <item x="170"/>
        <item x="303"/>
        <item x="197"/>
        <item x="162"/>
        <item x="270"/>
        <item x="287"/>
        <item x="128"/>
        <item x="136"/>
        <item x="321"/>
        <item x="261"/>
        <item x="301"/>
        <item x="58"/>
        <item x="222"/>
        <item x="42"/>
        <item x="187"/>
        <item x="59"/>
        <item x="98"/>
        <item x="192"/>
        <item x="398"/>
        <item x="145"/>
        <item x="388"/>
        <item x="272"/>
        <item x="223"/>
        <item x="97"/>
        <item x="349"/>
        <item x="182"/>
        <item x="8"/>
        <item t="default"/>
      </items>
    </pivotField>
    <pivotField axis="axisRow" compact="0" showAll="0">
      <items count="7">
        <item x="0"/>
        <item x="2"/>
        <item x="4"/>
        <item x="5"/>
        <item x="1"/>
        <item x="3"/>
        <item t="default"/>
      </items>
    </pivotField>
    <pivotField dataField="1" compact="0" showAll="0">
      <items count="7">
        <item x="5"/>
        <item x="0"/>
        <item x="1"/>
        <item x="2"/>
        <item x="3"/>
        <item x="4"/>
        <item t="default"/>
      </items>
    </pivotField>
    <pivotField compact="0" showAll="0">
      <items count="262">
        <item x="5"/>
        <item x="33"/>
        <item x="225"/>
        <item x="49"/>
        <item x="39"/>
        <item x="17"/>
        <item x="102"/>
        <item x="44"/>
        <item x="61"/>
        <item x="22"/>
        <item x="97"/>
        <item x="215"/>
        <item x="71"/>
        <item x="119"/>
        <item x="66"/>
        <item x="114"/>
        <item x="89"/>
        <item x="91"/>
        <item x="202"/>
        <item x="110"/>
        <item x="153"/>
        <item x="11"/>
        <item x="136"/>
        <item x="27"/>
        <item x="86"/>
        <item x="149"/>
        <item x="193"/>
        <item x="34"/>
        <item x="186"/>
        <item x="142"/>
        <item x="12"/>
        <item x="111"/>
        <item x="234"/>
        <item x="7"/>
        <item x="51"/>
        <item x="173"/>
        <item x="124"/>
        <item x="98"/>
        <item x="104"/>
        <item x="107"/>
        <item x="143"/>
        <item x="8"/>
        <item x="2"/>
        <item x="23"/>
        <item x="40"/>
        <item x="6"/>
        <item x="28"/>
        <item x="68"/>
        <item x="52"/>
        <item x="203"/>
        <item x="122"/>
        <item x="24"/>
        <item x="45"/>
        <item x="29"/>
        <item x="14"/>
        <item x="134"/>
        <item x="115"/>
        <item x="103"/>
        <item x="18"/>
        <item x="76"/>
        <item x="19"/>
        <item x="154"/>
        <item x="137"/>
        <item x="125"/>
        <item x="50"/>
        <item x="81"/>
        <item x="79"/>
        <item x="236"/>
        <item x="57"/>
        <item x="177"/>
        <item x="99"/>
        <item x="1"/>
        <item x="72"/>
        <item x="233"/>
        <item x="46"/>
        <item x="90"/>
        <item x="0"/>
        <item x="15"/>
        <item x="20"/>
        <item x="47"/>
        <item x="199"/>
        <item x="84"/>
        <item x="69"/>
        <item x="62"/>
        <item x="58"/>
        <item x="13"/>
        <item x="36"/>
        <item x="3"/>
        <item x="67"/>
        <item x="87"/>
        <item x="128"/>
        <item x="35"/>
        <item x="25"/>
        <item x="139"/>
        <item x="93"/>
        <item x="150"/>
        <item x="75"/>
        <item x="59"/>
        <item x="140"/>
        <item x="41"/>
        <item x="30"/>
        <item x="182"/>
        <item x="77"/>
        <item x="63"/>
        <item x="120"/>
        <item x="42"/>
        <item x="178"/>
        <item x="248"/>
        <item x="212"/>
        <item x="132"/>
        <item x="37"/>
        <item x="228"/>
        <item x="191"/>
        <item x="108"/>
        <item x="9"/>
        <item x="116"/>
        <item x="216"/>
        <item x="169"/>
        <item x="187"/>
        <item x="55"/>
        <item x="171"/>
        <item x="118"/>
        <item x="208"/>
        <item x="53"/>
        <item x="231"/>
        <item x="112"/>
        <item x="206"/>
        <item x="156"/>
        <item x="64"/>
        <item x="239"/>
        <item x="73"/>
        <item x="189"/>
        <item x="151"/>
        <item x="82"/>
        <item x="218"/>
        <item x="164"/>
        <item x="175"/>
        <item x="144"/>
        <item x="255"/>
        <item x="162"/>
        <item x="200"/>
        <item x="130"/>
        <item x="166"/>
        <item x="94"/>
        <item x="126"/>
        <item x="158"/>
        <item x="145"/>
        <item x="100"/>
        <item x="211"/>
        <item x="259"/>
        <item x="155"/>
        <item x="157"/>
        <item x="147"/>
        <item x="105"/>
        <item x="224"/>
        <item x="31"/>
        <item x="238"/>
        <item x="174"/>
        <item x="227"/>
        <item x="131"/>
        <item x="127"/>
        <item x="242"/>
        <item x="209"/>
        <item x="192"/>
        <item x="181"/>
        <item x="56"/>
        <item x="253"/>
        <item x="237"/>
        <item x="188"/>
        <item x="205"/>
        <item x="167"/>
        <item x="190"/>
        <item x="121"/>
        <item x="146"/>
        <item x="135"/>
        <item x="232"/>
        <item x="256"/>
        <item x="159"/>
        <item x="183"/>
        <item x="88"/>
        <item x="70"/>
        <item x="48"/>
        <item x="249"/>
        <item x="258"/>
        <item x="129"/>
        <item x="247"/>
        <item x="152"/>
        <item x="245"/>
        <item x="198"/>
        <item x="213"/>
        <item x="54"/>
        <item x="10"/>
        <item x="235"/>
        <item x="185"/>
        <item x="78"/>
        <item x="80"/>
        <item x="43"/>
        <item x="101"/>
        <item x="214"/>
        <item x="226"/>
        <item x="148"/>
        <item x="196"/>
        <item x="252"/>
        <item x="74"/>
        <item x="197"/>
        <item x="106"/>
        <item x="170"/>
        <item x="204"/>
        <item x="184"/>
        <item x="201"/>
        <item x="163"/>
        <item x="83"/>
        <item x="165"/>
        <item x="32"/>
        <item x="180"/>
        <item x="123"/>
        <item x="207"/>
        <item x="168"/>
        <item x="254"/>
        <item x="229"/>
        <item x="26"/>
        <item x="250"/>
        <item x="96"/>
        <item x="85"/>
        <item x="230"/>
        <item x="194"/>
        <item x="16"/>
        <item x="260"/>
        <item x="217"/>
        <item x="223"/>
        <item x="133"/>
        <item x="109"/>
        <item x="195"/>
        <item x="176"/>
        <item x="179"/>
        <item x="172"/>
        <item x="21"/>
        <item x="241"/>
        <item x="246"/>
        <item x="243"/>
        <item x="113"/>
        <item x="117"/>
        <item x="221"/>
        <item x="240"/>
        <item x="210"/>
        <item x="251"/>
        <item x="257"/>
        <item x="138"/>
        <item x="60"/>
        <item x="220"/>
        <item x="160"/>
        <item x="219"/>
        <item x="141"/>
        <item x="92"/>
        <item x="38"/>
        <item x="95"/>
        <item x="4"/>
        <item x="65"/>
        <item x="244"/>
        <item x="222"/>
        <item x="161"/>
        <item t="default"/>
      </items>
    </pivotField>
    <pivotField compact="0" showAll="0">
      <items count="1001">
        <item x="941"/>
        <item x="317"/>
        <item x="89"/>
        <item x="389"/>
        <item x="11"/>
        <item x="173"/>
        <item x="17"/>
        <item x="341"/>
        <item x="647"/>
        <item x="263"/>
        <item x="185"/>
        <item x="293"/>
        <item x="161"/>
        <item x="215"/>
        <item x="713"/>
        <item x="899"/>
        <item x="191"/>
        <item x="911"/>
        <item x="707"/>
        <item x="821"/>
        <item x="761"/>
        <item x="113"/>
        <item x="275"/>
        <item x="839"/>
        <item x="593"/>
        <item x="527"/>
        <item x="23"/>
        <item x="815"/>
        <item x="587"/>
        <item x="641"/>
        <item x="443"/>
        <item x="101"/>
        <item x="311"/>
        <item x="197"/>
        <item x="221"/>
        <item x="569"/>
        <item x="971"/>
        <item x="875"/>
        <item x="233"/>
        <item x="479"/>
        <item x="395"/>
        <item x="269"/>
        <item x="359"/>
        <item x="743"/>
        <item x="887"/>
        <item x="665"/>
        <item x="869"/>
        <item x="419"/>
        <item x="473"/>
        <item x="689"/>
        <item x="563"/>
        <item x="59"/>
        <item x="137"/>
        <item x="881"/>
        <item x="857"/>
        <item x="143"/>
        <item x="779"/>
        <item x="539"/>
        <item x="851"/>
        <item x="905"/>
        <item x="935"/>
        <item x="305"/>
        <item x="599"/>
        <item x="5"/>
        <item x="29"/>
        <item x="65"/>
        <item x="335"/>
        <item x="431"/>
        <item x="239"/>
        <item x="503"/>
        <item x="995"/>
        <item x="659"/>
        <item x="521"/>
        <item x="803"/>
        <item x="863"/>
        <item x="581"/>
        <item x="107"/>
        <item x="773"/>
        <item x="737"/>
        <item x="401"/>
        <item x="179"/>
        <item x="95"/>
        <item x="893"/>
        <item x="125"/>
        <item x="929"/>
        <item x="755"/>
        <item x="557"/>
        <item x="767"/>
        <item x="797"/>
        <item x="281"/>
        <item x="155"/>
        <item x="203"/>
        <item x="959"/>
        <item x="947"/>
        <item x="809"/>
        <item x="455"/>
        <item x="377"/>
        <item x="605"/>
        <item x="545"/>
        <item x="257"/>
        <item x="467"/>
        <item x="407"/>
        <item x="653"/>
        <item x="953"/>
        <item x="329"/>
        <item x="425"/>
        <item x="491"/>
        <item x="977"/>
        <item x="227"/>
        <item x="617"/>
        <item x="383"/>
        <item x="299"/>
        <item x="119"/>
        <item x="623"/>
        <item x="965"/>
        <item x="167"/>
        <item x="437"/>
        <item x="323"/>
        <item x="791"/>
        <item x="695"/>
        <item x="149"/>
        <item x="845"/>
        <item x="551"/>
        <item x="209"/>
        <item x="923"/>
        <item x="497"/>
        <item x="47"/>
        <item x="635"/>
        <item x="485"/>
        <item x="683"/>
        <item x="371"/>
        <item x="671"/>
        <item x="917"/>
        <item x="701"/>
        <item x="677"/>
        <item x="515"/>
        <item x="989"/>
        <item x="251"/>
        <item x="245"/>
        <item x="827"/>
        <item x="731"/>
        <item x="725"/>
        <item x="353"/>
        <item x="287"/>
        <item x="533"/>
        <item x="347"/>
        <item x="365"/>
        <item x="749"/>
        <item x="35"/>
        <item x="131"/>
        <item x="413"/>
        <item x="833"/>
        <item x="611"/>
        <item x="71"/>
        <item x="77"/>
        <item x="509"/>
        <item x="703"/>
        <item x="983"/>
        <item x="449"/>
        <item x="763"/>
        <item x="719"/>
        <item x="30"/>
        <item x="629"/>
        <item x="575"/>
        <item x="83"/>
        <item x="461"/>
        <item x="415"/>
        <item x="690"/>
        <item x="360"/>
        <item x="53"/>
        <item x="510"/>
        <item x="41"/>
        <item x="919"/>
        <item x="785"/>
        <item x="336"/>
        <item x="276"/>
        <item x="492"/>
        <item x="120"/>
        <item x="289"/>
        <item x="961"/>
        <item x="13"/>
        <item x="438"/>
        <item x="235"/>
        <item x="180"/>
        <item x="463"/>
        <item x="439"/>
        <item x="90"/>
        <item x="373"/>
        <item x="768"/>
        <item x="84"/>
        <item x="714"/>
        <item x="421"/>
        <item x="631"/>
        <item x="534"/>
        <item x="978"/>
        <item x="96"/>
        <item x="270"/>
        <item x="132"/>
        <item x="558"/>
        <item x="984"/>
        <item x="498"/>
        <item x="661"/>
        <item x="277"/>
        <item x="895"/>
        <item x="42"/>
        <item x="673"/>
        <item x="138"/>
        <item x="228"/>
        <item x="182"/>
        <item x="379"/>
        <item x="810"/>
        <item x="528"/>
        <item x="932"/>
        <item x="488"/>
        <item x="606"/>
        <item x="319"/>
        <item x="996"/>
        <item x="780"/>
        <item x="901"/>
        <item x="828"/>
        <item x="102"/>
        <item x="450"/>
        <item x="139"/>
        <item x="710"/>
        <item x="660"/>
        <item x="906"/>
        <item x="732"/>
        <item x="372"/>
        <item x="816"/>
        <item x="632"/>
        <item x="841"/>
        <item x="230"/>
        <item x="330"/>
        <item x="72"/>
        <item x="223"/>
        <item x="986"/>
        <item x="582"/>
        <item x="960"/>
        <item x="331"/>
        <item x="907"/>
        <item x="217"/>
        <item x="300"/>
        <item x="834"/>
        <item x="511"/>
        <item x="434"/>
        <item x="354"/>
        <item x="55"/>
        <item x="259"/>
        <item x="614"/>
        <item x="858"/>
        <item x="384"/>
        <item x="792"/>
        <item x="948"/>
        <item x="260"/>
        <item x="420"/>
        <item x="427"/>
        <item x="73"/>
        <item x="612"/>
        <item x="822"/>
        <item x="128"/>
        <item x="444"/>
        <item x="218"/>
        <item x="480"/>
        <item x="170"/>
        <item x="266"/>
        <item x="601"/>
        <item x="204"/>
        <item x="37"/>
        <item x="1"/>
        <item x="36"/>
        <item x="181"/>
        <item x="25"/>
        <item x="79"/>
        <item x="589"/>
        <item x="949"/>
        <item x="571"/>
        <item x="121"/>
        <item x="799"/>
        <item x="642"/>
        <item x="31"/>
        <item x="769"/>
        <item x="12"/>
        <item x="146"/>
        <item x="967"/>
        <item x="836"/>
        <item x="738"/>
        <item x="210"/>
        <item x="762"/>
        <item x="307"/>
        <item x="476"/>
        <item x="14"/>
        <item x="452"/>
        <item x="564"/>
        <item x="930"/>
        <item x="0"/>
        <item x="193"/>
        <item x="457"/>
        <item x="222"/>
        <item x="806"/>
        <item x="636"/>
        <item x="312"/>
        <item x="367"/>
        <item x="234"/>
        <item x="524"/>
        <item x="216"/>
        <item x="883"/>
        <item x="744"/>
        <item x="846"/>
        <item x="398"/>
        <item x="290"/>
        <item x="158"/>
        <item x="716"/>
        <item x="962"/>
        <item x="877"/>
        <item x="888"/>
        <item x="541"/>
        <item x="115"/>
        <item x="920"/>
        <item x="697"/>
        <item x="408"/>
        <item x="997"/>
        <item x="192"/>
        <item x="576"/>
        <item x="840"/>
        <item x="314"/>
        <item x="954"/>
        <item x="474"/>
        <item x="679"/>
        <item x="896"/>
        <item x="391"/>
        <item x="229"/>
        <item x="487"/>
        <item x="282"/>
        <item x="122"/>
        <item x="324"/>
        <item x="366"/>
        <item x="595"/>
        <item x="344"/>
        <item x="522"/>
        <item x="264"/>
        <item x="24"/>
        <item x="786"/>
        <item x="409"/>
        <item x="876"/>
        <item x="127"/>
        <item x="894"/>
        <item x="470"/>
        <item x="211"/>
        <item x="175"/>
        <item x="668"/>
        <item x="504"/>
        <item x="607"/>
        <item x="355"/>
        <item x="559"/>
        <item x="804"/>
        <item x="150"/>
        <item x="776"/>
        <item x="830"/>
        <item x="378"/>
        <item x="224"/>
        <item x="140"/>
        <item x="91"/>
        <item x="385"/>
        <item x="974"/>
        <item x="882"/>
        <item x="342"/>
        <item x="979"/>
        <item x="109"/>
        <item x="870"/>
        <item x="818"/>
        <item x="774"/>
        <item x="294"/>
        <item x="38"/>
        <item x="74"/>
        <item x="554"/>
        <item x="913"/>
        <item x="973"/>
        <item x="966"/>
        <item x="337"/>
        <item x="349"/>
        <item x="114"/>
        <item x="66"/>
        <item x="758"/>
        <item x="823"/>
        <item x="900"/>
        <item x="361"/>
        <item x="854"/>
        <item x="156"/>
        <item x="733"/>
        <item x="240"/>
        <item x="942"/>
        <item x="750"/>
        <item x="654"/>
        <item x="48"/>
        <item x="493"/>
        <item x="548"/>
        <item x="386"/>
        <item x="110"/>
        <item x="325"/>
        <item x="764"/>
        <item x="918"/>
        <item x="402"/>
        <item x="157"/>
        <item x="168"/>
        <item x="702"/>
        <item x="462"/>
        <item x="852"/>
        <item x="416"/>
        <item x="672"/>
        <item x="637"/>
        <item x="666"/>
        <item x="943"/>
        <item x="570"/>
        <item x="254"/>
        <item x="540"/>
        <item x="61"/>
        <item x="931"/>
        <item x="284"/>
        <item x="6"/>
        <item x="972"/>
        <item x="313"/>
        <item x="26"/>
        <item x="108"/>
        <item x="865"/>
        <item x="482"/>
        <item x="529"/>
        <item x="686"/>
        <item x="97"/>
        <item x="696"/>
        <item x="678"/>
        <item x="187"/>
        <item x="720"/>
        <item x="302"/>
        <item x="174"/>
        <item x="512"/>
        <item x="116"/>
        <item x="422"/>
        <item x="296"/>
        <item x="536"/>
        <item x="624"/>
        <item x="433"/>
        <item x="842"/>
        <item x="583"/>
        <item x="757"/>
        <item x="630"/>
        <item x="144"/>
        <item x="432"/>
        <item x="662"/>
        <item x="403"/>
        <item x="824"/>
        <item x="835"/>
        <item x="577"/>
        <item x="860"/>
        <item x="546"/>
        <item x="104"/>
        <item x="56"/>
        <item x="794"/>
        <item x="306"/>
        <item x="80"/>
        <item x="67"/>
        <item x="691"/>
        <item x="54"/>
        <item x="812"/>
        <item x="912"/>
        <item x="78"/>
        <item x="133"/>
        <item x="936"/>
        <item x="151"/>
        <item x="475"/>
        <item x="618"/>
        <item x="560"/>
        <item x="318"/>
        <item x="258"/>
        <item x="680"/>
        <item x="752"/>
        <item x="326"/>
        <item x="445"/>
        <item x="625"/>
        <item x="278"/>
        <item x="414"/>
        <item x="864"/>
        <item x="745"/>
        <item x="756"/>
        <item x="552"/>
        <item x="390"/>
        <item x="685"/>
        <item x="186"/>
        <item x="252"/>
        <item x="708"/>
        <item x="392"/>
        <item x="481"/>
        <item x="726"/>
        <item x="992"/>
        <item x="751"/>
        <item x="19"/>
        <item x="998"/>
        <item x="649"/>
        <item x="468"/>
        <item x="648"/>
        <item x="60"/>
        <item x="667"/>
        <item x="176"/>
        <item x="486"/>
        <item x="990"/>
        <item x="169"/>
        <item x="440"/>
        <item x="456"/>
        <item x="684"/>
        <item x="608"/>
        <item x="721"/>
        <item x="163"/>
        <item x="655"/>
        <item x="596"/>
        <item x="924"/>
        <item x="198"/>
        <item x="968"/>
        <item x="134"/>
        <item x="200"/>
        <item x="253"/>
        <item x="553"/>
        <item x="301"/>
        <item x="350"/>
        <item x="584"/>
        <item x="246"/>
        <item x="715"/>
        <item x="588"/>
        <item x="925"/>
        <item x="866"/>
        <item x="516"/>
        <item x="798"/>
        <item x="937"/>
        <item x="247"/>
        <item x="469"/>
        <item x="288"/>
        <item x="356"/>
        <item x="126"/>
        <item x="50"/>
        <item x="18"/>
        <item x="145"/>
        <item x="241"/>
        <item x="506"/>
        <item x="499"/>
        <item x="164"/>
        <item x="938"/>
        <item x="348"/>
        <item x="853"/>
        <item x="600"/>
        <item x="594"/>
        <item x="162"/>
        <item x="92"/>
        <item x="847"/>
        <item x="926"/>
        <item x="464"/>
        <item x="426"/>
        <item x="817"/>
        <item x="535"/>
        <item x="397"/>
        <item x="955"/>
        <item x="884"/>
        <item x="859"/>
        <item x="781"/>
        <item x="295"/>
        <item x="249"/>
        <item x="734"/>
        <item x="811"/>
        <item x="451"/>
        <item x="523"/>
        <item x="709"/>
        <item x="494"/>
        <item x="787"/>
        <item x="396"/>
        <item x="902"/>
        <item x="944"/>
        <item x="8"/>
        <item x="698"/>
        <item x="188"/>
        <item x="746"/>
        <item x="775"/>
        <item x="722"/>
        <item x="613"/>
        <item x="7"/>
        <item x="380"/>
        <item x="848"/>
        <item x="956"/>
        <item x="663"/>
        <item x="602"/>
        <item x="242"/>
        <item x="338"/>
        <item x="890"/>
        <item x="271"/>
        <item x="985"/>
        <item x="32"/>
        <item x="626"/>
        <item x="829"/>
        <item x="739"/>
        <item x="633"/>
        <item x="404"/>
        <item x="517"/>
        <item x="547"/>
        <item x="368"/>
        <item x="283"/>
        <item x="49"/>
        <item x="152"/>
        <item x="793"/>
        <item x="619"/>
        <item x="43"/>
        <item x="500"/>
        <item x="205"/>
        <item x="727"/>
        <item x="578"/>
        <item x="723"/>
        <item x="871"/>
        <item x="950"/>
        <item x="704"/>
        <item x="265"/>
        <item x="565"/>
        <item x="2"/>
        <item x="446"/>
        <item x="705"/>
        <item x="428"/>
        <item x="199"/>
        <item x="411"/>
        <item x="908"/>
        <item x="878"/>
        <item x="909"/>
        <item x="991"/>
        <item x="572"/>
        <item x="627"/>
        <item x="643"/>
        <item x="891"/>
        <item x="987"/>
        <item x="103"/>
        <item x="343"/>
        <item x="889"/>
        <item x="98"/>
        <item x="800"/>
        <item x="692"/>
        <item x="650"/>
        <item x="505"/>
        <item x="656"/>
        <item x="566"/>
        <item x="770"/>
        <item x="194"/>
        <item x="248"/>
        <item x="410"/>
        <item x="805"/>
        <item x="236"/>
        <item x="272"/>
        <item x="369"/>
        <item x="590"/>
        <item x="638"/>
        <item x="518"/>
        <item x="914"/>
        <item x="872"/>
        <item x="85"/>
        <item x="62"/>
        <item x="458"/>
        <item x="351"/>
        <item x="44"/>
        <item x="782"/>
        <item x="674"/>
        <item x="417"/>
        <item x="597"/>
        <item x="308"/>
        <item x="68"/>
        <item x="453"/>
        <item x="189"/>
        <item x="993"/>
        <item x="320"/>
        <item x="759"/>
        <item x="620"/>
        <item x="740"/>
        <item x="381"/>
        <item x="807"/>
        <item x="212"/>
        <item x="980"/>
        <item x="652"/>
        <item x="669"/>
        <item x="255"/>
        <item x="957"/>
        <item x="201"/>
        <item x="123"/>
        <item x="332"/>
        <item x="513"/>
        <item x="530"/>
        <item x="20"/>
        <item x="206"/>
        <item x="747"/>
        <item x="644"/>
        <item x="837"/>
        <item x="542"/>
        <item x="86"/>
        <item x="362"/>
        <item x="75"/>
        <item x="728"/>
        <item x="184"/>
        <item x="477"/>
        <item x="717"/>
        <item x="346"/>
        <item x="34"/>
        <item x="220"/>
        <item x="585"/>
        <item x="471"/>
        <item x="525"/>
        <item x="69"/>
        <item x="939"/>
        <item x="448"/>
        <item x="374"/>
        <item x="286"/>
        <item x="788"/>
        <item x="502"/>
        <item x="466"/>
        <item x="441"/>
        <item x="141"/>
        <item x="129"/>
        <item x="711"/>
        <item x="291"/>
        <item x="51"/>
        <item x="958"/>
        <item x="177"/>
        <item x="927"/>
        <item x="999"/>
        <item x="117"/>
        <item x="3"/>
        <item x="256"/>
        <item x="202"/>
        <item x="40"/>
        <item x="243"/>
        <item x="82"/>
        <item x="16"/>
        <item x="771"/>
        <item x="789"/>
        <item x="784"/>
        <item x="903"/>
        <item x="921"/>
        <item x="33"/>
        <item x="549"/>
        <item x="874"/>
        <item x="430"/>
        <item x="699"/>
        <item x="760"/>
        <item x="861"/>
        <item x="459"/>
        <item x="736"/>
        <item x="573"/>
        <item x="598"/>
        <item x="765"/>
        <item x="616"/>
        <item x="753"/>
        <item x="93"/>
        <item x="124"/>
        <item x="304"/>
        <item x="640"/>
        <item x="591"/>
        <item x="316"/>
        <item x="159"/>
        <item x="742"/>
        <item x="214"/>
        <item x="423"/>
        <item x="681"/>
        <item x="333"/>
        <item x="778"/>
        <item x="543"/>
        <item x="27"/>
        <item x="801"/>
        <item x="544"/>
        <item x="741"/>
        <item x="568"/>
        <item x="454"/>
        <item x="442"/>
        <item x="147"/>
        <item x="357"/>
        <item x="10"/>
        <item x="495"/>
        <item x="658"/>
        <item x="196"/>
        <item x="399"/>
        <item x="57"/>
        <item x="81"/>
        <item x="87"/>
        <item x="886"/>
        <item x="303"/>
        <item x="940"/>
        <item x="136"/>
        <item x="777"/>
        <item x="76"/>
        <item x="868"/>
        <item x="855"/>
        <item x="657"/>
        <item x="339"/>
        <item x="873"/>
        <item x="238"/>
        <item x="418"/>
        <item x="897"/>
        <item x="135"/>
        <item x="862"/>
        <item x="808"/>
        <item x="382"/>
        <item x="639"/>
        <item x="436"/>
        <item x="975"/>
        <item x="820"/>
        <item x="688"/>
        <item x="892"/>
        <item x="105"/>
        <item x="315"/>
        <item x="171"/>
        <item x="232"/>
        <item x="831"/>
        <item x="345"/>
        <item x="687"/>
        <item x="982"/>
        <item x="400"/>
        <item x="465"/>
        <item x="910"/>
        <item x="729"/>
        <item x="963"/>
        <item x="945"/>
        <item x="693"/>
        <item x="981"/>
        <item x="406"/>
        <item x="885"/>
        <item x="814"/>
        <item x="99"/>
        <item x="207"/>
        <item x="969"/>
        <item x="952"/>
        <item x="21"/>
        <item x="592"/>
        <item x="142"/>
        <item x="933"/>
        <item x="621"/>
        <item x="274"/>
        <item x="363"/>
        <item x="712"/>
        <item x="490"/>
        <item x="580"/>
        <item x="832"/>
        <item x="819"/>
        <item x="610"/>
        <item x="555"/>
        <item x="39"/>
        <item x="321"/>
        <item x="645"/>
        <item x="219"/>
        <item x="484"/>
        <item x="843"/>
        <item x="579"/>
        <item x="670"/>
        <item x="916"/>
        <item x="507"/>
        <item x="795"/>
        <item x="483"/>
        <item x="237"/>
        <item x="615"/>
        <item x="334"/>
        <item x="735"/>
        <item x="609"/>
        <item x="675"/>
        <item x="634"/>
        <item x="501"/>
        <item x="531"/>
        <item x="352"/>
        <item x="646"/>
        <item x="106"/>
        <item x="387"/>
        <item x="603"/>
        <item x="561"/>
        <item x="825"/>
        <item x="285"/>
        <item x="340"/>
        <item x="9"/>
        <item x="447"/>
        <item x="15"/>
        <item x="262"/>
        <item x="327"/>
        <item x="915"/>
        <item x="58"/>
        <item x="412"/>
        <item x="393"/>
        <item x="772"/>
        <item x="567"/>
        <item x="394"/>
        <item x="489"/>
        <item x="951"/>
        <item x="988"/>
        <item x="322"/>
        <item x="748"/>
        <item x="63"/>
        <item x="309"/>
        <item x="718"/>
        <item x="867"/>
        <item x="279"/>
        <item x="225"/>
        <item x="537"/>
        <item x="231"/>
        <item x="519"/>
        <item x="856"/>
        <item x="153"/>
        <item x="651"/>
        <item x="267"/>
        <item x="88"/>
        <item x="706"/>
        <item x="280"/>
        <item x="783"/>
        <item x="22"/>
        <item x="273"/>
        <item x="849"/>
        <item x="213"/>
        <item x="730"/>
        <item x="195"/>
        <item x="898"/>
        <item x="111"/>
        <item x="405"/>
        <item x="376"/>
        <item x="100"/>
        <item x="604"/>
        <item x="879"/>
        <item x="586"/>
        <item x="934"/>
        <item x="364"/>
        <item x="261"/>
        <item x="375"/>
        <item x="183"/>
        <item x="429"/>
        <item x="165"/>
        <item x="850"/>
        <item x="508"/>
        <item x="664"/>
        <item x="478"/>
        <item x="178"/>
        <item x="297"/>
        <item x="904"/>
        <item x="45"/>
        <item x="880"/>
        <item x="796"/>
        <item x="496"/>
        <item x="130"/>
        <item x="118"/>
        <item x="976"/>
        <item x="994"/>
        <item x="813"/>
        <item x="928"/>
        <item x="298"/>
        <item x="435"/>
        <item x="964"/>
        <item x="682"/>
        <item x="370"/>
        <item x="52"/>
        <item x="292"/>
        <item x="358"/>
        <item x="160"/>
        <item x="208"/>
        <item x="532"/>
        <item x="970"/>
        <item x="460"/>
        <item x="628"/>
        <item x="70"/>
        <item x="766"/>
        <item x="148"/>
        <item x="574"/>
        <item x="190"/>
        <item x="622"/>
        <item x="154"/>
        <item x="328"/>
        <item x="694"/>
        <item x="226"/>
        <item x="550"/>
        <item x="46"/>
        <item x="94"/>
        <item x="790"/>
        <item x="922"/>
        <item x="520"/>
        <item x="826"/>
        <item x="844"/>
        <item x="514"/>
        <item x="838"/>
        <item x="28"/>
        <item x="700"/>
        <item x="538"/>
        <item x="310"/>
        <item x="526"/>
        <item x="172"/>
        <item x="4"/>
        <item x="676"/>
        <item x="472"/>
        <item x="724"/>
        <item x="802"/>
        <item x="424"/>
        <item x="244"/>
        <item x="754"/>
        <item x="562"/>
        <item x="946"/>
        <item x="556"/>
        <item x="112"/>
        <item x="268"/>
        <item x="166"/>
        <item x="250"/>
        <item x="388"/>
        <item x="64"/>
        <item t="default"/>
      </items>
    </pivotField>
    <pivotField compact="0" showAll="0">
      <items count="990">
        <item x="931"/>
        <item x="5"/>
        <item x="961"/>
        <item x="304"/>
        <item x="339"/>
        <item x="268"/>
        <item x="541"/>
        <item x="89"/>
        <item x="185"/>
        <item x="919"/>
        <item x="636"/>
        <item x="518"/>
        <item x="595"/>
        <item x="683"/>
        <item x="512"/>
        <item x="689"/>
        <item x="577"/>
        <item x="601"/>
        <item x="842"/>
        <item x="660"/>
        <item x="889"/>
        <item x="630"/>
        <item x="35"/>
        <item x="59"/>
        <item x="65"/>
        <item x="310"/>
        <item x="250"/>
        <item x="719"/>
        <item x="901"/>
        <item x="155"/>
        <item x="830"/>
        <item x="565"/>
        <item x="742"/>
        <item x="754"/>
        <item x="695"/>
        <item x="149"/>
        <item x="547"/>
        <item x="41"/>
        <item x="161"/>
        <item x="387"/>
        <item x="778"/>
        <item x="772"/>
        <item x="949"/>
        <item x="895"/>
        <item x="11"/>
        <item x="606"/>
        <item x="984"/>
        <item x="179"/>
        <item x="865"/>
        <item x="274"/>
        <item x="925"/>
        <item x="298"/>
        <item x="812"/>
        <item x="393"/>
        <item x="535"/>
        <item x="244"/>
        <item x="191"/>
        <item x="429"/>
        <item x="666"/>
        <item x="95"/>
        <item x="357"/>
        <item x="71"/>
        <item x="859"/>
        <item x="220"/>
        <item x="417"/>
        <item x="101"/>
        <item x="125"/>
        <item x="748"/>
        <item x="871"/>
        <item x="477"/>
        <item x="459"/>
        <item x="280"/>
        <item x="447"/>
        <item x="654"/>
        <item x="29"/>
        <item x="209"/>
        <item x="725"/>
        <item x="488"/>
        <item x="119"/>
        <item x="238"/>
        <item x="328"/>
        <item x="369"/>
        <item x="784"/>
        <item x="483"/>
        <item x="713"/>
        <item x="506"/>
        <item x="836"/>
        <item x="423"/>
        <item x="399"/>
        <item x="955"/>
        <item x="131"/>
        <item x="979"/>
        <item x="363"/>
        <item x="453"/>
        <item x="571"/>
        <item x="624"/>
        <item x="583"/>
        <item x="524"/>
        <item x="197"/>
        <item x="736"/>
        <item x="559"/>
        <item x="17"/>
        <item x="589"/>
        <item x="316"/>
        <item x="23"/>
        <item x="465"/>
        <item x="232"/>
        <item x="137"/>
        <item x="877"/>
        <item x="642"/>
        <item x="173"/>
        <item x="701"/>
        <item x="351"/>
        <item x="143"/>
        <item x="375"/>
        <item x="648"/>
        <item x="53"/>
        <item x="730"/>
        <item x="818"/>
        <item x="435"/>
        <item x="345"/>
        <item x="411"/>
        <item x="471"/>
        <item x="553"/>
        <item x="913"/>
        <item x="796"/>
        <item x="500"/>
        <item x="47"/>
        <item x="707"/>
        <item x="766"/>
        <item x="612"/>
        <item x="448"/>
        <item x="292"/>
        <item x="883"/>
        <item x="853"/>
        <item x="113"/>
        <item x="262"/>
        <item x="950"/>
        <item x="441"/>
        <item x="358"/>
        <item x="180"/>
        <item x="203"/>
        <item x="30"/>
        <item x="494"/>
        <item x="418"/>
        <item x="83"/>
        <item x="322"/>
        <item x="167"/>
        <item x="478"/>
        <item x="36"/>
        <item x="90"/>
        <item x="631"/>
        <item x="529"/>
        <item x="128"/>
        <item x="760"/>
        <item x="107"/>
        <item x="790"/>
        <item x="943"/>
        <item x="77"/>
        <item x="967"/>
        <item x="672"/>
        <item x="226"/>
        <item x="365"/>
        <item x="618"/>
        <item x="802"/>
        <item x="508"/>
        <item x="907"/>
        <item x="120"/>
        <item x="957"/>
        <item x="537"/>
        <item x="405"/>
        <item x="329"/>
        <item x="831"/>
        <item x="256"/>
        <item x="210"/>
        <item x="951"/>
        <item x="381"/>
        <item x="956"/>
        <item x="937"/>
        <item x="276"/>
        <item x="609"/>
        <item x="364"/>
        <item x="627"/>
        <item x="890"/>
        <item x="807"/>
        <item x="239"/>
        <item x="809"/>
        <item x="824"/>
        <item x="286"/>
        <item x="334"/>
        <item x="216"/>
        <item x="313"/>
        <item x="597"/>
        <item x="31"/>
        <item x="127"/>
        <item x="217"/>
        <item x="419"/>
        <item x="156"/>
        <item x="602"/>
        <item x="96"/>
        <item x="14"/>
        <item x="656"/>
        <item x="837"/>
        <item x="335"/>
        <item x="306"/>
        <item x="973"/>
        <item x="389"/>
        <item x="215"/>
        <item x="396"/>
        <item x="626"/>
        <item x="832"/>
        <item x="691"/>
        <item x="269"/>
        <item x="275"/>
        <item x="684"/>
        <item x="773"/>
        <item x="567"/>
        <item x="860"/>
        <item x="455"/>
        <item x="985"/>
        <item x="986"/>
        <item x="181"/>
        <item x="507"/>
        <item x="987"/>
        <item x="299"/>
        <item x="632"/>
        <item x="521"/>
        <item x="485"/>
        <item x="330"/>
        <item x="750"/>
        <item x="450"/>
        <item x="513"/>
        <item x="662"/>
        <item x="151"/>
        <item x="425"/>
        <item x="150"/>
        <item x="655"/>
        <item x="121"/>
        <item x="896"/>
        <item x="1"/>
        <item x="720"/>
        <item x="6"/>
        <item x="187"/>
        <item x="897"/>
        <item x="8"/>
        <item x="572"/>
        <item x="921"/>
        <item x="223"/>
        <item x="891"/>
        <item x="7"/>
        <item x="253"/>
        <item x="866"/>
        <item x="867"/>
        <item x="580"/>
        <item x="544"/>
        <item x="920"/>
        <item x="550"/>
        <item x="845"/>
        <item x="211"/>
        <item x="164"/>
        <item x="934"/>
        <item x="97"/>
        <item x="245"/>
        <item x="122"/>
        <item x="432"/>
        <item x="491"/>
        <item x="0"/>
        <item x="37"/>
        <item x="182"/>
        <item x="716"/>
        <item x="66"/>
        <item x="420"/>
        <item x="2"/>
        <item x="922"/>
        <item x="751"/>
        <item x="60"/>
        <item x="749"/>
        <item x="625"/>
        <item x="980"/>
        <item x="186"/>
        <item x="714"/>
        <item x="981"/>
        <item x="359"/>
        <item x="952"/>
        <item x="104"/>
        <item x="808"/>
        <item x="657"/>
        <item x="67"/>
        <item x="874"/>
        <item x="779"/>
        <item x="573"/>
        <item x="663"/>
        <item x="898"/>
        <item x="661"/>
        <item x="838"/>
        <item x="509"/>
        <item x="158"/>
        <item x="388"/>
        <item x="342"/>
        <item x="38"/>
        <item x="566"/>
        <item x="92"/>
        <item x="283"/>
        <item x="536"/>
        <item x="91"/>
        <item x="927"/>
        <item x="743"/>
        <item x="424"/>
        <item x="744"/>
        <item x="188"/>
        <item x="240"/>
        <item x="514"/>
        <item x="157"/>
        <item x="395"/>
        <item x="74"/>
        <item x="815"/>
        <item x="964"/>
        <item x="305"/>
        <item x="775"/>
        <item x="61"/>
        <item x="247"/>
        <item x="833"/>
        <item x="596"/>
        <item x="690"/>
        <item x="757"/>
        <item x="372"/>
        <item x="633"/>
        <item x="598"/>
        <item x="394"/>
        <item x="489"/>
        <item x="904"/>
        <item x="480"/>
        <item x="138"/>
        <item x="123"/>
        <item x="819"/>
        <item x="774"/>
        <item x="926"/>
        <item x="134"/>
        <item x="377"/>
        <item x="367"/>
        <item x="542"/>
        <item x="126"/>
        <item x="603"/>
        <item x="301"/>
        <item x="456"/>
        <item x="958"/>
        <item x="639"/>
        <item x="685"/>
        <item x="437"/>
        <item x="543"/>
        <item x="484"/>
        <item x="331"/>
        <item x="715"/>
        <item x="530"/>
        <item x="129"/>
        <item x="515"/>
        <item x="581"/>
        <item x="462"/>
        <item x="241"/>
        <item x="745"/>
        <item x="868"/>
        <item x="968"/>
        <item x="752"/>
        <item x="222"/>
        <item x="804"/>
        <item x="495"/>
        <item x="277"/>
        <item x="574"/>
        <item x="938"/>
        <item x="55"/>
        <item x="336"/>
        <item x="803"/>
        <item x="787"/>
        <item x="69"/>
        <item x="781"/>
        <item x="12"/>
        <item x="454"/>
        <item x="307"/>
        <item x="761"/>
        <item x="929"/>
        <item x="861"/>
        <item x="451"/>
        <item x="25"/>
        <item x="692"/>
        <item x="3"/>
        <item x="479"/>
        <item x="300"/>
        <item x="366"/>
        <item x="939"/>
        <item x="42"/>
        <item x="721"/>
        <item x="928"/>
        <item x="62"/>
        <item x="780"/>
        <item x="674"/>
        <item x="352"/>
        <item x="246"/>
        <item x="910"/>
        <item x="390"/>
        <item x="233"/>
        <item x="270"/>
        <item x="194"/>
        <item x="492"/>
        <item x="825"/>
        <item x="449"/>
        <item x="426"/>
        <item x="360"/>
        <item x="634"/>
        <item x="668"/>
        <item x="669"/>
        <item x="731"/>
        <item x="68"/>
        <item x="139"/>
        <item x="727"/>
        <item x="383"/>
        <item x="568"/>
        <item x="686"/>
        <item x="442"/>
        <item x="965"/>
        <item x="32"/>
        <item x="538"/>
        <item x="402"/>
        <item x="212"/>
        <item x="436"/>
        <item x="892"/>
        <item x="699"/>
        <item x="698"/>
        <item x="839"/>
        <item x="152"/>
        <item x="974"/>
        <item x="474"/>
        <item x="908"/>
        <item x="79"/>
        <item x="862"/>
        <item x="192"/>
        <item x="263"/>
        <item x="959"/>
        <item x="953"/>
        <item x="591"/>
        <item x="204"/>
        <item x="457"/>
        <item x="248"/>
        <item x="545"/>
        <item x="704"/>
        <item x="318"/>
        <item x="311"/>
        <item x="397"/>
        <item x="756"/>
        <item x="893"/>
        <item x="863"/>
        <item x="873"/>
        <item x="673"/>
        <item x="848"/>
        <item x="737"/>
        <item x="234"/>
        <item x="407"/>
        <item x="728"/>
        <item x="98"/>
        <item x="976"/>
        <item x="658"/>
        <item x="510"/>
        <item x="271"/>
        <item x="93"/>
        <item x="159"/>
        <item x="708"/>
        <item x="15"/>
        <item x="189"/>
        <item x="792"/>
        <item x="988"/>
        <item x="539"/>
        <item x="604"/>
        <item x="628"/>
        <item x="227"/>
        <item x="854"/>
        <item x="944"/>
        <item x="522"/>
        <item x="44"/>
        <item x="24"/>
        <item x="909"/>
        <item x="461"/>
        <item x="878"/>
        <item x="146"/>
        <item x="899"/>
        <item x="675"/>
        <item x="413"/>
        <item x="361"/>
        <item x="84"/>
        <item x="284"/>
        <item x="102"/>
        <item x="816"/>
        <item x="785"/>
        <item x="746"/>
        <item x="193"/>
        <item x="75"/>
        <item x="265"/>
        <item x="693"/>
        <item x="116"/>
        <item x="885"/>
        <item x="144"/>
        <item x="13"/>
        <item x="384"/>
        <item x="717"/>
        <item x="288"/>
        <item x="903"/>
        <item x="664"/>
        <item x="170"/>
        <item x="501"/>
        <item x="323"/>
        <item x="578"/>
        <item x="289"/>
        <item x="755"/>
        <item x="687"/>
        <item x="799"/>
        <item x="337"/>
        <item x="813"/>
        <item x="468"/>
        <item x="370"/>
        <item x="460"/>
        <item x="132"/>
        <item x="797"/>
        <item x="722"/>
        <item x="710"/>
        <item x="826"/>
        <item x="554"/>
        <item x="982"/>
        <item x="473"/>
        <item x="443"/>
        <item x="703"/>
        <item x="697"/>
        <item x="254"/>
        <item x="490"/>
        <item x="560"/>
        <item x="679"/>
        <item x="317"/>
        <item x="607"/>
        <item x="312"/>
        <item x="620"/>
        <item x="258"/>
        <item x="72"/>
        <item x="293"/>
        <item x="56"/>
        <item x="242"/>
        <item x="421"/>
        <item x="758"/>
        <item x="400"/>
        <item x="637"/>
        <item x="371"/>
        <item x="162"/>
        <item x="259"/>
        <item x="224"/>
        <item x="340"/>
        <item x="805"/>
        <item x="872"/>
        <item x="26"/>
        <item x="314"/>
        <item x="324"/>
        <item x="855"/>
        <item x="551"/>
        <item x="846"/>
        <item x="678"/>
        <item x="382"/>
        <item x="109"/>
        <item x="73"/>
        <item x="99"/>
        <item x="585"/>
        <item x="884"/>
        <item x="39"/>
        <item x="332"/>
        <item x="769"/>
        <item x="343"/>
        <item x="48"/>
        <item x="738"/>
        <item x="281"/>
        <item x="438"/>
        <item x="584"/>
        <item x="869"/>
        <item x="353"/>
        <item x="762"/>
        <item x="519"/>
        <item x="569"/>
        <item x="834"/>
        <item x="850"/>
        <item x="843"/>
        <item x="610"/>
        <item x="880"/>
        <item x="33"/>
        <item x="768"/>
        <item x="791"/>
        <item x="726"/>
        <item x="935"/>
        <item x="168"/>
        <item x="649"/>
        <item x="218"/>
        <item x="782"/>
        <item x="723"/>
        <item x="592"/>
        <item x="962"/>
        <item x="229"/>
        <item x="19"/>
        <item x="548"/>
        <item x="115"/>
        <item x="827"/>
        <item x="9"/>
        <item x="680"/>
        <item x="163"/>
        <item x="433"/>
        <item x="412"/>
        <item x="496"/>
        <item x="347"/>
        <item x="590"/>
        <item x="613"/>
        <item x="169"/>
        <item x="556"/>
        <item x="105"/>
        <item x="235"/>
        <item x="446"/>
        <item x="135"/>
        <item x="376"/>
        <item x="174"/>
        <item x="472"/>
        <item x="406"/>
        <item x="391"/>
        <item x="221"/>
        <item x="644"/>
        <item x="525"/>
        <item x="264"/>
        <item x="302"/>
        <item x="932"/>
        <item x="923"/>
        <item x="341"/>
        <item x="670"/>
        <item x="914"/>
        <item x="45"/>
        <item x="409"/>
        <item x="213"/>
        <item x="640"/>
        <item x="463"/>
        <item x="875"/>
        <item x="798"/>
        <item x="575"/>
        <item x="257"/>
        <item x="110"/>
        <item x="54"/>
        <item x="287"/>
        <item x="963"/>
        <item x="114"/>
        <item x="555"/>
        <item x="696"/>
        <item x="651"/>
        <item x="325"/>
        <item x="198"/>
        <item x="184"/>
        <item x="915"/>
        <item x="219"/>
        <item x="49"/>
        <item x="767"/>
        <item x="879"/>
        <item x="753"/>
        <item x="308"/>
        <item x="403"/>
        <item x="228"/>
        <item x="814"/>
        <item x="520"/>
        <item x="969"/>
        <item x="348"/>
        <item x="183"/>
        <item x="946"/>
        <item x="579"/>
        <item x="295"/>
        <item x="793"/>
        <item x="63"/>
        <item x="940"/>
        <item x="886"/>
        <item x="933"/>
        <item x="430"/>
        <item x="145"/>
        <item x="466"/>
        <item x="50"/>
        <item x="108"/>
        <item x="739"/>
        <item x="667"/>
        <item x="549"/>
        <item x="902"/>
        <item x="140"/>
        <item x="431"/>
        <item x="821"/>
        <item x="175"/>
        <item x="975"/>
        <item x="165"/>
        <item x="176"/>
        <item x="650"/>
        <item x="599"/>
        <item x="945"/>
        <item x="788"/>
        <item x="619"/>
        <item x="414"/>
        <item x="643"/>
        <item x="828"/>
        <item x="124"/>
        <item x="532"/>
        <item x="709"/>
        <item x="467"/>
        <item x="771"/>
        <item x="80"/>
        <item x="427"/>
        <item x="294"/>
        <item x="849"/>
        <item x="428"/>
        <item x="401"/>
        <item x="272"/>
        <item x="740"/>
        <item x="586"/>
        <item x="858"/>
        <item x="905"/>
        <item x="881"/>
        <item x="810"/>
        <item x="282"/>
        <item x="800"/>
        <item x="486"/>
        <item x="205"/>
        <item x="303"/>
        <item x="373"/>
        <item x="133"/>
        <item x="482"/>
        <item x="702"/>
        <item x="153"/>
        <item x="635"/>
        <item x="199"/>
        <item x="844"/>
        <item x="200"/>
        <item x="349"/>
        <item x="516"/>
        <item x="278"/>
        <item x="195"/>
        <item x="481"/>
        <item x="51"/>
        <item x="531"/>
        <item x="34"/>
        <item x="78"/>
        <item x="665"/>
        <item x="20"/>
        <item x="10"/>
        <item x="502"/>
        <item x="18"/>
        <item x="354"/>
        <item x="475"/>
        <item x="251"/>
        <item x="103"/>
        <item x="856"/>
        <item x="562"/>
        <item x="776"/>
        <item x="561"/>
        <item x="497"/>
        <item x="777"/>
        <item x="608"/>
        <item x="252"/>
        <item x="346"/>
        <item x="916"/>
        <item x="85"/>
        <item x="741"/>
        <item x="764"/>
        <item x="840"/>
        <item x="732"/>
        <item x="947"/>
        <item x="540"/>
        <item x="593"/>
        <item x="503"/>
        <item x="117"/>
        <item x="333"/>
        <item x="622"/>
        <item x="676"/>
        <item x="368"/>
        <item x="398"/>
        <item x="444"/>
        <item x="820"/>
        <item x="86"/>
        <item x="43"/>
        <item x="81"/>
        <item x="653"/>
        <item x="416"/>
        <item x="141"/>
        <item x="786"/>
        <item x="27"/>
        <item x="439"/>
        <item x="794"/>
        <item x="273"/>
        <item x="614"/>
        <item x="970"/>
        <item x="469"/>
        <item x="378"/>
        <item x="645"/>
        <item x="237"/>
        <item x="711"/>
        <item x="621"/>
        <item x="392"/>
        <item x="712"/>
        <item x="201"/>
        <item x="763"/>
        <item x="564"/>
        <item x="887"/>
        <item x="362"/>
        <item x="638"/>
        <item x="214"/>
        <item x="208"/>
        <item x="971"/>
        <item x="733"/>
        <item x="977"/>
        <item x="505"/>
        <item x="415"/>
        <item x="177"/>
        <item x="900"/>
        <item x="408"/>
        <item x="948"/>
        <item x="734"/>
        <item x="452"/>
        <item x="21"/>
        <item x="864"/>
        <item x="930"/>
        <item x="594"/>
        <item x="319"/>
        <item x="487"/>
        <item x="40"/>
        <item x="587"/>
        <item x="290"/>
        <item x="178"/>
        <item x="527"/>
        <item x="682"/>
        <item x="206"/>
        <item x="978"/>
        <item x="526"/>
        <item x="58"/>
        <item x="615"/>
        <item x="911"/>
        <item x="422"/>
        <item x="476"/>
        <item x="954"/>
        <item x="705"/>
        <item x="941"/>
        <item x="851"/>
        <item x="118"/>
        <item x="64"/>
        <item x="888"/>
        <item x="57"/>
        <item x="917"/>
        <item x="811"/>
        <item x="783"/>
        <item x="88"/>
        <item x="870"/>
        <item x="379"/>
        <item x="822"/>
        <item x="659"/>
        <item x="100"/>
        <item x="355"/>
        <item x="338"/>
        <item x="806"/>
        <item x="249"/>
        <item x="646"/>
        <item x="616"/>
        <item x="576"/>
        <item x="148"/>
        <item x="94"/>
        <item x="605"/>
        <item x="835"/>
        <item x="504"/>
        <item x="546"/>
        <item x="801"/>
        <item x="171"/>
        <item x="230"/>
        <item x="629"/>
        <item x="87"/>
        <item x="498"/>
        <item x="111"/>
        <item x="983"/>
        <item x="841"/>
        <item x="190"/>
        <item x="924"/>
        <item x="147"/>
        <item x="647"/>
        <item x="600"/>
        <item x="894"/>
        <item x="445"/>
        <item x="681"/>
        <item x="160"/>
        <item x="517"/>
        <item x="857"/>
        <item x="747"/>
        <item x="260"/>
        <item x="557"/>
        <item x="694"/>
        <item x="28"/>
        <item x="279"/>
        <item x="385"/>
        <item x="236"/>
        <item x="154"/>
        <item x="652"/>
        <item x="327"/>
        <item x="534"/>
        <item x="207"/>
        <item x="724"/>
        <item x="458"/>
        <item x="563"/>
        <item x="718"/>
        <item x="918"/>
        <item x="297"/>
        <item x="770"/>
        <item x="320"/>
        <item x="70"/>
        <item x="386"/>
        <item x="243"/>
        <item x="130"/>
        <item x="356"/>
        <item x="326"/>
        <item x="82"/>
        <item x="876"/>
        <item x="255"/>
        <item x="196"/>
        <item x="623"/>
        <item x="440"/>
        <item x="570"/>
        <item x="266"/>
        <item x="202"/>
        <item x="4"/>
        <item x="829"/>
        <item x="960"/>
        <item x="267"/>
        <item x="285"/>
        <item x="688"/>
        <item x="344"/>
        <item x="511"/>
        <item x="309"/>
        <item x="499"/>
        <item x="533"/>
        <item x="942"/>
        <item x="611"/>
        <item x="464"/>
        <item x="296"/>
        <item x="906"/>
        <item x="16"/>
        <item x="706"/>
        <item x="735"/>
        <item x="700"/>
        <item x="493"/>
        <item x="852"/>
        <item x="823"/>
        <item x="142"/>
        <item x="882"/>
        <item x="350"/>
        <item x="729"/>
        <item x="434"/>
        <item x="261"/>
        <item x="523"/>
        <item x="641"/>
        <item x="380"/>
        <item x="136"/>
        <item x="410"/>
        <item x="315"/>
        <item x="52"/>
        <item x="291"/>
        <item x="106"/>
        <item x="847"/>
        <item x="321"/>
        <item x="582"/>
        <item x="76"/>
        <item x="404"/>
        <item x="552"/>
        <item x="588"/>
        <item x="817"/>
        <item x="966"/>
        <item x="231"/>
        <item x="46"/>
        <item x="972"/>
        <item x="22"/>
        <item x="374"/>
        <item x="789"/>
        <item x="677"/>
        <item x="765"/>
        <item x="470"/>
        <item x="617"/>
        <item x="936"/>
        <item x="759"/>
        <item x="112"/>
        <item x="528"/>
        <item x="795"/>
        <item x="172"/>
        <item x="912"/>
        <item x="166"/>
        <item x="558"/>
        <item x="225"/>
        <item x="671"/>
        <item t="default"/>
      </items>
    </pivotField>
    <pivotField compact="0" showAll="0">
      <items count="1001">
        <item x="703"/>
        <item x="263"/>
        <item x="293"/>
        <item x="713"/>
        <item x="415"/>
        <item x="113"/>
        <item x="173"/>
        <item x="317"/>
        <item x="647"/>
        <item x="919"/>
        <item x="763"/>
        <item x="443"/>
        <item x="707"/>
        <item x="17"/>
        <item x="23"/>
        <item x="289"/>
        <item x="389"/>
        <item x="13"/>
        <item x="593"/>
        <item x="11"/>
        <item x="373"/>
        <item x="473"/>
        <item x="233"/>
        <item x="857"/>
        <item x="941"/>
        <item x="527"/>
        <item x="89"/>
        <item x="215"/>
        <item x="887"/>
        <item x="161"/>
        <item x="587"/>
        <item x="197"/>
        <item x="191"/>
        <item x="463"/>
        <item x="341"/>
        <item x="107"/>
        <item x="821"/>
        <item x="185"/>
        <item x="911"/>
        <item x="899"/>
        <item x="761"/>
        <item x="235"/>
        <item x="275"/>
        <item x="863"/>
        <item x="137"/>
        <item x="143"/>
        <item x="503"/>
        <item x="743"/>
        <item x="839"/>
        <item x="947"/>
        <item x="803"/>
        <item x="101"/>
        <item x="773"/>
        <item x="221"/>
        <item x="563"/>
        <item x="767"/>
        <item x="84"/>
        <item x="797"/>
        <item x="479"/>
        <item x="132"/>
        <item x="558"/>
        <item x="395"/>
        <item x="438"/>
        <item x="311"/>
        <item x="875"/>
        <item x="893"/>
        <item x="569"/>
        <item x="737"/>
        <item x="257"/>
        <item x="641"/>
        <item x="359"/>
        <item x="815"/>
        <item x="407"/>
        <item x="203"/>
        <item x="714"/>
        <item x="419"/>
        <item x="869"/>
        <item x="557"/>
        <item x="971"/>
        <item x="953"/>
        <item x="269"/>
        <item x="383"/>
        <item x="977"/>
        <item x="665"/>
        <item x="881"/>
        <item x="227"/>
        <item x="895"/>
        <item x="689"/>
        <item x="623"/>
        <item x="29"/>
        <item x="539"/>
        <item x="335"/>
        <item x="59"/>
        <item x="779"/>
        <item x="935"/>
        <item x="905"/>
        <item x="239"/>
        <item x="617"/>
        <item x="659"/>
        <item x="431"/>
        <item x="377"/>
        <item x="167"/>
        <item x="851"/>
        <item x="323"/>
        <item x="653"/>
        <item x="599"/>
        <item x="65"/>
        <item x="401"/>
        <item x="995"/>
        <item x="492"/>
        <item x="305"/>
        <item x="5"/>
        <item x="467"/>
        <item x="228"/>
        <item x="230"/>
        <item x="732"/>
        <item x="917"/>
        <item x="984"/>
        <item x="521"/>
        <item x="497"/>
        <item x="287"/>
        <item x="437"/>
        <item x="768"/>
        <item x="581"/>
        <item x="95"/>
        <item x="125"/>
        <item x="179"/>
        <item x="677"/>
        <item x="755"/>
        <item x="683"/>
        <item x="833"/>
        <item x="281"/>
        <item x="923"/>
        <item x="455"/>
        <item x="439"/>
        <item x="983"/>
        <item x="47"/>
        <item x="533"/>
        <item x="510"/>
        <item x="978"/>
        <item x="155"/>
        <item x="929"/>
        <item x="959"/>
        <item x="690"/>
        <item x="673"/>
        <item x="425"/>
        <item x="329"/>
        <item x="534"/>
        <item x="809"/>
        <item x="491"/>
        <item x="77"/>
        <item x="42"/>
        <item x="102"/>
        <item x="72"/>
        <item x="605"/>
        <item x="498"/>
        <item x="827"/>
        <item x="372"/>
        <item x="965"/>
        <item x="347"/>
        <item x="545"/>
        <item x="119"/>
        <item x="319"/>
        <item x="791"/>
        <item x="299"/>
        <item x="413"/>
        <item x="30"/>
        <item x="83"/>
        <item x="528"/>
        <item x="353"/>
        <item x="336"/>
        <item x="845"/>
        <item x="276"/>
        <item x="149"/>
        <item x="209"/>
        <item x="582"/>
        <item x="710"/>
        <item x="695"/>
        <item x="360"/>
        <item x="551"/>
        <item x="485"/>
        <item x="371"/>
        <item x="989"/>
        <item x="138"/>
        <item x="671"/>
        <item x="139"/>
        <item x="365"/>
        <item x="53"/>
        <item x="635"/>
        <item x="986"/>
        <item x="731"/>
        <item x="384"/>
        <item x="379"/>
        <item x="701"/>
        <item x="259"/>
        <item x="961"/>
        <item x="131"/>
        <item x="120"/>
        <item x="245"/>
        <item x="73"/>
        <item x="260"/>
        <item x="251"/>
        <item x="515"/>
        <item x="725"/>
        <item x="629"/>
        <item x="509"/>
        <item x="749"/>
        <item x="575"/>
        <item x="35"/>
        <item x="71"/>
        <item x="611"/>
        <item x="719"/>
        <item x="631"/>
        <item x="449"/>
        <item x="612"/>
        <item x="461"/>
        <item x="421"/>
        <item x="180"/>
        <item x="96"/>
        <item x="270"/>
        <item x="792"/>
        <item x="822"/>
        <item x="828"/>
        <item x="182"/>
        <item x="90"/>
        <item x="836"/>
        <item x="858"/>
        <item x="170"/>
        <item x="834"/>
        <item x="589"/>
        <item x="41"/>
        <item x="769"/>
        <item x="223"/>
        <item x="661"/>
        <item x="785"/>
        <item x="354"/>
        <item x="932"/>
        <item x="266"/>
        <item x="642"/>
        <item x="277"/>
        <item x="222"/>
        <item x="488"/>
        <item x="55"/>
        <item x="444"/>
        <item x="896"/>
        <item x="901"/>
        <item x="204"/>
        <item x="996"/>
        <item x="408"/>
        <item x="762"/>
        <item x="810"/>
        <item x="799"/>
        <item x="606"/>
        <item x="146"/>
        <item x="229"/>
        <item x="780"/>
        <item x="564"/>
        <item x="948"/>
        <item x="79"/>
        <item x="660"/>
        <item x="906"/>
        <item x="115"/>
        <item x="175"/>
        <item x="474"/>
        <item x="434"/>
        <item x="841"/>
        <item x="806"/>
        <item x="193"/>
        <item x="907"/>
        <item x="25"/>
        <item x="331"/>
        <item x="949"/>
        <item x="830"/>
        <item x="816"/>
        <item x="716"/>
        <item x="632"/>
        <item x="290"/>
        <item x="738"/>
        <item x="140"/>
        <item x="476"/>
        <item x="300"/>
        <item x="450"/>
        <item x="330"/>
        <item x="559"/>
        <item x="12"/>
        <item x="217"/>
        <item x="888"/>
        <item x="312"/>
        <item x="744"/>
        <item x="883"/>
        <item x="282"/>
        <item x="979"/>
        <item x="522"/>
        <item x="960"/>
        <item x="511"/>
        <item x="378"/>
        <item x="427"/>
        <item x="774"/>
        <item x="37"/>
        <item x="234"/>
        <item x="894"/>
        <item x="954"/>
        <item x="614"/>
        <item x="324"/>
        <item x="823"/>
        <item x="973"/>
        <item x="355"/>
        <item x="192"/>
        <item x="1"/>
        <item x="114"/>
        <item x="218"/>
        <item x="776"/>
        <item x="920"/>
        <item x="181"/>
        <item x="470"/>
        <item x="24"/>
        <item x="420"/>
        <item x="121"/>
        <item x="601"/>
        <item x="128"/>
        <item x="504"/>
        <item x="480"/>
        <item x="349"/>
        <item x="571"/>
        <item x="804"/>
        <item x="409"/>
        <item x="595"/>
        <item x="882"/>
        <item x="679"/>
        <item x="342"/>
        <item x="110"/>
        <item x="109"/>
        <item x="942"/>
        <item x="0"/>
        <item x="264"/>
        <item x="36"/>
        <item x="930"/>
        <item x="31"/>
        <item x="416"/>
        <item x="158"/>
        <item x="452"/>
        <item x="294"/>
        <item x="307"/>
        <item x="672"/>
        <item x="962"/>
        <item x="14"/>
        <item x="654"/>
        <item x="967"/>
        <item x="210"/>
        <item x="702"/>
        <item x="943"/>
        <item x="877"/>
        <item x="457"/>
        <item x="913"/>
        <item x="48"/>
        <item x="524"/>
        <item x="108"/>
        <item x="385"/>
        <item x="216"/>
        <item x="325"/>
        <item x="398"/>
        <item x="846"/>
        <item x="493"/>
        <item x="536"/>
        <item x="576"/>
        <item x="168"/>
        <item x="624"/>
        <item x="367"/>
        <item x="344"/>
        <item x="636"/>
        <item x="697"/>
        <item x="997"/>
        <item x="386"/>
        <item x="296"/>
        <item x="852"/>
        <item x="122"/>
        <item x="433"/>
        <item x="402"/>
        <item x="403"/>
        <item x="541"/>
        <item x="786"/>
        <item x="78"/>
        <item x="529"/>
        <item x="583"/>
        <item x="432"/>
        <item x="668"/>
        <item x="972"/>
        <item x="314"/>
        <item x="607"/>
        <item x="733"/>
        <item x="840"/>
        <item x="391"/>
        <item x="686"/>
        <item x="876"/>
        <item x="487"/>
        <item x="462"/>
        <item x="211"/>
        <item x="174"/>
        <item x="974"/>
        <item x="91"/>
        <item x="80"/>
        <item x="133"/>
        <item x="366"/>
        <item x="865"/>
        <item x="26"/>
        <item x="918"/>
        <item x="313"/>
        <item x="127"/>
        <item x="74"/>
        <item x="252"/>
        <item x="224"/>
        <item x="150"/>
        <item x="38"/>
        <item x="912"/>
        <item x="54"/>
        <item x="554"/>
        <item x="361"/>
        <item x="758"/>
        <item x="708"/>
        <item x="66"/>
        <item x="750"/>
        <item x="860"/>
        <item x="870"/>
        <item x="116"/>
        <item x="678"/>
        <item x="854"/>
        <item x="764"/>
        <item x="818"/>
        <item x="253"/>
        <item x="144"/>
        <item x="157"/>
        <item x="258"/>
        <item x="835"/>
        <item x="337"/>
        <item x="548"/>
        <item x="326"/>
        <item x="618"/>
        <item x="56"/>
        <item x="966"/>
        <item x="866"/>
        <item x="560"/>
        <item x="156"/>
        <item x="900"/>
        <item x="648"/>
        <item x="240"/>
        <item x="200"/>
        <item x="468"/>
        <item x="666"/>
        <item x="61"/>
        <item x="506"/>
        <item x="176"/>
        <item x="414"/>
        <item x="540"/>
        <item x="570"/>
        <item x="482"/>
        <item x="284"/>
        <item x="356"/>
        <item x="655"/>
        <item x="348"/>
        <item x="696"/>
        <item x="302"/>
        <item x="18"/>
        <item x="552"/>
        <item x="475"/>
        <item x="318"/>
        <item x="254"/>
        <item x="649"/>
        <item x="637"/>
        <item x="715"/>
        <item x="926"/>
        <item x="625"/>
        <item x="745"/>
        <item x="553"/>
        <item x="931"/>
        <item x="720"/>
        <item x="445"/>
        <item x="19"/>
        <item x="842"/>
        <item x="6"/>
        <item x="512"/>
        <item x="97"/>
        <item x="350"/>
        <item x="680"/>
        <item x="198"/>
        <item x="169"/>
        <item x="794"/>
        <item x="546"/>
        <item x="853"/>
        <item x="422"/>
        <item x="924"/>
        <item x="187"/>
        <item x="469"/>
        <item x="685"/>
        <item x="163"/>
        <item x="824"/>
        <item x="925"/>
        <item x="535"/>
        <item x="630"/>
        <item x="864"/>
        <item x="596"/>
        <item x="440"/>
        <item x="662"/>
        <item x="691"/>
        <item x="812"/>
        <item x="50"/>
        <item x="145"/>
        <item x="684"/>
        <item x="306"/>
        <item x="577"/>
        <item x="288"/>
        <item x="757"/>
        <item x="104"/>
        <item x="936"/>
        <item x="380"/>
        <item x="67"/>
        <item x="752"/>
        <item x="588"/>
        <item x="859"/>
        <item x="278"/>
        <item x="798"/>
        <item x="392"/>
        <item x="955"/>
        <item x="295"/>
        <item x="499"/>
        <item x="481"/>
        <item x="594"/>
        <item x="613"/>
        <item x="626"/>
        <item x="151"/>
        <item x="992"/>
        <item x="523"/>
        <item x="456"/>
        <item x="390"/>
        <item x="829"/>
        <item x="486"/>
        <item x="162"/>
        <item x="751"/>
        <item x="756"/>
        <item x="186"/>
        <item x="721"/>
        <item x="608"/>
        <item x="301"/>
        <item x="739"/>
        <item x="619"/>
        <item x="968"/>
        <item x="793"/>
        <item x="746"/>
        <item x="134"/>
        <item x="726"/>
        <item x="60"/>
        <item x="247"/>
        <item x="43"/>
        <item x="990"/>
        <item x="998"/>
        <item x="667"/>
        <item x="956"/>
        <item x="938"/>
        <item x="709"/>
        <item x="126"/>
        <item x="500"/>
        <item x="937"/>
        <item x="985"/>
        <item x="246"/>
        <item x="584"/>
        <item x="643"/>
        <item x="346"/>
        <item x="446"/>
        <item x="987"/>
        <item x="775"/>
        <item x="241"/>
        <item x="249"/>
        <item x="600"/>
        <item x="283"/>
        <item x="464"/>
        <item x="516"/>
        <item x="565"/>
        <item x="627"/>
        <item x="451"/>
        <item x="902"/>
        <item x="92"/>
        <item x="847"/>
        <item x="164"/>
        <item x="787"/>
        <item x="205"/>
        <item x="426"/>
        <item x="890"/>
        <item x="397"/>
        <item x="650"/>
        <item x="781"/>
        <item x="811"/>
        <item x="466"/>
        <item x="49"/>
        <item x="770"/>
        <item x="817"/>
        <item x="734"/>
        <item x="502"/>
        <item x="410"/>
        <item x="103"/>
        <item x="286"/>
        <item x="199"/>
        <item x="884"/>
        <item x="396"/>
        <item x="663"/>
        <item x="698"/>
        <item x="950"/>
        <item x="848"/>
        <item x="652"/>
        <item x="494"/>
        <item x="566"/>
        <item x="891"/>
        <item x="505"/>
        <item x="736"/>
        <item x="944"/>
        <item x="265"/>
        <item x="16"/>
        <item x="188"/>
        <item x="32"/>
        <item x="633"/>
        <item x="271"/>
        <item x="411"/>
        <item x="242"/>
        <item x="8"/>
        <item x="381"/>
        <item x="417"/>
        <item x="338"/>
        <item x="800"/>
        <item x="316"/>
        <item x="602"/>
        <item x="889"/>
        <item x="620"/>
        <item x="404"/>
        <item x="85"/>
        <item x="722"/>
        <item x="343"/>
        <item x="7"/>
        <item x="723"/>
        <item x="152"/>
        <item x="320"/>
        <item x="368"/>
        <item x="656"/>
        <item x="590"/>
        <item x="597"/>
        <item x="351"/>
        <item x="547"/>
        <item x="704"/>
        <item x="909"/>
        <item x="727"/>
        <item x="517"/>
        <item x="530"/>
        <item x="805"/>
        <item x="740"/>
        <item x="871"/>
        <item x="705"/>
        <item x="206"/>
        <item x="578"/>
        <item x="202"/>
        <item x="428"/>
        <item x="236"/>
        <item x="572"/>
        <item x="98"/>
        <item x="980"/>
        <item x="878"/>
        <item x="742"/>
        <item x="201"/>
        <item x="256"/>
        <item x="692"/>
        <item x="76"/>
        <item x="2"/>
        <item x="957"/>
        <item x="908"/>
        <item x="991"/>
        <item x="272"/>
        <item x="82"/>
        <item x="194"/>
        <item x="20"/>
        <item x="136"/>
        <item x="807"/>
        <item x="44"/>
        <item x="86"/>
        <item x="616"/>
        <item x="872"/>
        <item x="717"/>
        <item x="248"/>
        <item x="369"/>
        <item x="471"/>
        <item x="62"/>
        <item x="711"/>
        <item x="518"/>
        <item x="638"/>
        <item x="747"/>
        <item x="914"/>
        <item x="993"/>
        <item x="477"/>
        <item x="674"/>
        <item x="458"/>
        <item x="189"/>
        <item x="34"/>
        <item x="68"/>
        <item x="982"/>
        <item x="837"/>
        <item x="782"/>
        <item x="308"/>
        <item x="291"/>
        <item x="927"/>
        <item x="441"/>
        <item x="141"/>
        <item x="232"/>
        <item x="453"/>
        <item x="255"/>
        <item x="382"/>
        <item x="669"/>
        <item x="958"/>
        <item x="184"/>
        <item x="759"/>
        <item x="220"/>
        <item x="436"/>
        <item x="513"/>
        <item x="212"/>
        <item x="177"/>
        <item x="862"/>
        <item x="892"/>
        <item x="728"/>
        <item x="40"/>
        <item x="448"/>
        <item x="51"/>
        <item x="332"/>
        <item x="75"/>
        <item x="123"/>
        <item x="921"/>
        <item x="442"/>
        <item x="117"/>
        <item x="542"/>
        <item x="362"/>
        <item x="525"/>
        <item x="861"/>
        <item x="644"/>
        <item x="406"/>
        <item x="196"/>
        <item x="874"/>
        <item x="771"/>
        <item x="585"/>
        <item x="69"/>
        <item x="939"/>
        <item x="784"/>
        <item x="788"/>
        <item x="592"/>
        <item x="886"/>
        <item x="374"/>
        <item x="598"/>
        <item x="147"/>
        <item x="591"/>
        <item x="129"/>
        <item x="777"/>
        <item x="357"/>
        <item x="999"/>
        <item x="430"/>
        <item x="243"/>
        <item x="789"/>
        <item x="214"/>
        <item x="657"/>
        <item x="87"/>
        <item x="33"/>
        <item x="760"/>
        <item x="3"/>
        <item x="681"/>
        <item x="741"/>
        <item x="454"/>
        <item x="57"/>
        <item x="640"/>
        <item x="142"/>
        <item x="304"/>
        <item x="903"/>
        <item x="801"/>
        <item x="27"/>
        <item x="124"/>
        <item x="568"/>
        <item x="573"/>
        <item x="544"/>
        <item x="549"/>
        <item x="699"/>
        <item x="658"/>
        <item x="832"/>
        <item x="778"/>
        <item x="765"/>
        <item x="459"/>
        <item x="10"/>
        <item x="940"/>
        <item x="81"/>
        <item x="808"/>
        <item x="753"/>
        <item x="712"/>
        <item x="93"/>
        <item x="333"/>
        <item x="423"/>
        <item x="952"/>
        <item x="820"/>
        <item x="772"/>
        <item x="159"/>
        <item x="238"/>
        <item x="897"/>
        <item x="171"/>
        <item x="418"/>
        <item x="688"/>
        <item x="543"/>
        <item x="106"/>
        <item x="687"/>
        <item x="646"/>
        <item x="868"/>
        <item x="831"/>
        <item x="303"/>
        <item x="352"/>
        <item x="207"/>
        <item x="495"/>
        <item x="399"/>
        <item x="916"/>
        <item x="855"/>
        <item x="412"/>
        <item x="262"/>
        <item x="814"/>
        <item x="339"/>
        <item x="135"/>
        <item x="322"/>
        <item x="873"/>
        <item x="910"/>
        <item x="321"/>
        <item x="400"/>
        <item x="22"/>
        <item x="981"/>
        <item x="856"/>
        <item x="621"/>
        <item x="105"/>
        <item x="580"/>
        <item x="975"/>
        <item x="639"/>
        <item x="610"/>
        <item x="315"/>
        <item x="21"/>
        <item x="465"/>
        <item x="376"/>
        <item x="345"/>
        <item x="237"/>
        <item x="490"/>
        <item x="507"/>
        <item x="274"/>
        <item x="729"/>
        <item x="885"/>
        <item x="945"/>
        <item x="693"/>
        <item x="706"/>
        <item x="387"/>
        <item x="99"/>
        <item x="634"/>
        <item x="501"/>
        <item x="963"/>
        <item x="586"/>
        <item x="561"/>
        <item x="933"/>
        <item x="327"/>
        <item x="819"/>
        <item x="537"/>
        <item x="796"/>
        <item x="484"/>
        <item x="969"/>
        <item x="670"/>
        <item x="447"/>
        <item x="567"/>
        <item x="531"/>
        <item x="334"/>
        <item x="645"/>
        <item x="363"/>
        <item x="532"/>
        <item x="483"/>
        <item x="555"/>
        <item x="340"/>
        <item x="39"/>
        <item x="267"/>
        <item x="219"/>
        <item x="579"/>
        <item x="976"/>
        <item x="795"/>
        <item x="843"/>
        <item x="682"/>
        <item x="867"/>
        <item x="226"/>
        <item x="766"/>
        <item x="58"/>
        <item x="615"/>
        <item x="951"/>
        <item x="675"/>
        <item x="231"/>
        <item x="603"/>
        <item x="280"/>
        <item x="988"/>
        <item x="651"/>
        <item x="394"/>
        <item x="735"/>
        <item x="496"/>
        <item x="609"/>
        <item x="622"/>
        <item x="88"/>
        <item x="730"/>
        <item x="292"/>
        <item x="915"/>
        <item x="718"/>
        <item x="922"/>
        <item x="52"/>
        <item x="9"/>
        <item x="748"/>
        <item x="825"/>
        <item x="489"/>
        <item x="297"/>
        <item x="285"/>
        <item x="676"/>
        <item x="393"/>
        <item x="111"/>
        <item x="279"/>
        <item x="15"/>
        <item x="63"/>
        <item x="519"/>
        <item x="261"/>
        <item x="898"/>
        <item x="604"/>
        <item x="309"/>
        <item x="153"/>
        <item x="934"/>
        <item x="100"/>
        <item x="783"/>
        <item x="849"/>
        <item x="225"/>
        <item x="172"/>
        <item x="850"/>
        <item x="130"/>
        <item x="273"/>
        <item x="195"/>
        <item x="46"/>
        <item x="904"/>
        <item x="364"/>
        <item x="664"/>
        <item x="928"/>
        <item x="213"/>
        <item x="802"/>
        <item x="298"/>
        <item x="826"/>
        <item x="478"/>
        <item x="994"/>
        <item x="405"/>
        <item x="880"/>
        <item x="178"/>
        <item x="562"/>
        <item x="358"/>
        <item x="508"/>
        <item x="118"/>
        <item x="375"/>
        <item x="970"/>
        <item x="429"/>
        <item x="472"/>
        <item x="183"/>
        <item x="879"/>
        <item x="165"/>
        <item x="160"/>
        <item x="964"/>
        <item x="628"/>
        <item x="574"/>
        <item x="694"/>
        <item x="946"/>
        <item x="70"/>
        <item x="460"/>
        <item x="166"/>
        <item x="112"/>
        <item x="45"/>
        <item x="526"/>
        <item x="370"/>
        <item x="154"/>
        <item x="328"/>
        <item x="190"/>
        <item x="813"/>
        <item x="148"/>
        <item x="208"/>
        <item x="514"/>
        <item x="435"/>
        <item x="556"/>
        <item x="838"/>
        <item x="550"/>
        <item x="310"/>
        <item x="520"/>
        <item x="94"/>
        <item x="790"/>
        <item x="844"/>
        <item x="4"/>
        <item x="28"/>
        <item x="700"/>
        <item x="538"/>
        <item x="724"/>
        <item x="244"/>
        <item x="754"/>
        <item x="268"/>
        <item x="424"/>
        <item x="388"/>
        <item x="250"/>
        <item x="64"/>
        <item t="default"/>
      </items>
    </pivotField>
    <pivotField dragToCol="0" dragToPage="0" dragToRow="0" compact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eatsAvailable" fld="8" showDataAs="percentOfCo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34" firstHeaderRow="0" firstDataRow="1" firstDataCol="1"/>
  <pivotFields count="14">
    <pivotField compact="0" showAll="0"/>
    <pivotField axis="axisRow" compact="0" showAll="0">
      <items count="31">
        <item x="5"/>
        <item x="10"/>
        <item x="3"/>
        <item x="26"/>
        <item x="16"/>
        <item x="4"/>
        <item x="6"/>
        <item x="0"/>
        <item x="12"/>
        <item x="29"/>
        <item x="22"/>
        <item x="18"/>
        <item x="11"/>
        <item x="7"/>
        <item x="2"/>
        <item x="1"/>
        <item x="14"/>
        <item x="8"/>
        <item x="24"/>
        <item x="20"/>
        <item x="27"/>
        <item x="13"/>
        <item x="15"/>
        <item x="28"/>
        <item x="9"/>
        <item x="25"/>
        <item x="23"/>
        <item x="21"/>
        <item x="17"/>
        <item x="19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>
      <items count="7">
        <item x="0"/>
        <item x="2"/>
        <item x="4"/>
        <item x="5"/>
        <item x="1"/>
        <item x="3"/>
        <item t="default"/>
      </items>
    </pivotField>
    <pivotField compact="0" showAll="0"/>
    <pivotField compact="0" showAll="0"/>
    <pivotField dataField="1" compact="0" showAll="0"/>
    <pivotField dataField="1" compact="0" showAll="0"/>
    <pivotField compact="0" showAll="0"/>
    <pivotField dragToCol="0" dragToPage="0" dragToRow="0" compact="0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/>
    <dataField name="Sum of OperationalCos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3" firstHeaderRow="1" firstDataRow="1" firstDataCol="1"/>
  <pivotFields count="13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1">
        <item x="5"/>
        <item x="10"/>
        <item x="3"/>
        <item x="26"/>
        <item x="16"/>
        <item x="4"/>
        <item x="6"/>
        <item x="0"/>
        <item x="12"/>
        <item x="29"/>
        <item x="22"/>
        <item x="18"/>
        <item x="11"/>
        <item x="7"/>
        <item x="2"/>
        <item x="1"/>
        <item x="14"/>
        <item x="8"/>
        <item x="24"/>
        <item x="20"/>
        <item x="27"/>
        <item x="13"/>
        <item x="15"/>
        <item x="28"/>
        <item x="9"/>
        <item x="25"/>
        <item x="23"/>
        <item x="21"/>
        <item x="17"/>
        <item x="19"/>
        <item t="default"/>
      </items>
    </pivotField>
    <pivotField axis="axisRow" compact="0" showAll="0">
      <items count="10">
        <item x="2"/>
        <item x="0"/>
        <item x="3"/>
        <item x="1"/>
        <item x="5"/>
        <item x="4"/>
        <item x="8"/>
        <item x="7"/>
        <item x="6"/>
        <item t="default"/>
      </items>
    </pivotField>
    <pivotField dataField="1" compact="0" showAll="0">
      <items count="10">
        <item x="2"/>
        <item x="1"/>
        <item x="3"/>
        <item x="0"/>
        <item x="5"/>
        <item x="4"/>
        <item x="8"/>
        <item x="7"/>
        <item x="6"/>
        <item t="default"/>
      </items>
    </pivotField>
    <pivotField compact="0" numFmtId="180" showAll="0">
      <items count="366">
        <item x="8"/>
        <item x="341"/>
        <item x="342"/>
        <item x="343"/>
        <item x="344"/>
        <item x="345"/>
        <item x="22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19"/>
        <item x="362"/>
        <item x="16"/>
        <item x="363"/>
        <item x="364"/>
        <item x="26"/>
        <item x="27"/>
        <item x="28"/>
        <item x="29"/>
        <item x="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13"/>
        <item x="43"/>
        <item x="44"/>
        <item x="45"/>
        <item x="46"/>
        <item x="47"/>
        <item x="48"/>
        <item x="49"/>
        <item x="50"/>
        <item x="18"/>
        <item x="51"/>
        <item x="52"/>
        <item x="53"/>
        <item x="54"/>
        <item x="55"/>
        <item x="56"/>
        <item x="57"/>
        <item x="4"/>
        <item x="58"/>
        <item x="59"/>
        <item x="60"/>
        <item x="0"/>
        <item x="61"/>
        <item x="62"/>
        <item x="63"/>
        <item x="64"/>
        <item x="65"/>
        <item x="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5"/>
        <item x="83"/>
        <item x="84"/>
        <item x="85"/>
        <item x="86"/>
        <item x="87"/>
        <item x="88"/>
        <item x="3"/>
        <item x="89"/>
        <item x="90"/>
        <item x="91"/>
        <item x="92"/>
        <item x="93"/>
        <item x="94"/>
        <item x="95"/>
        <item x="96"/>
        <item x="97"/>
        <item x="98"/>
        <item x="99"/>
        <item x="10"/>
        <item x="100"/>
        <item x="101"/>
        <item x="102"/>
        <item x="103"/>
        <item x="104"/>
        <item x="105"/>
        <item x="106"/>
        <item x="107"/>
        <item x="108"/>
        <item x="109"/>
        <item x="2"/>
        <item x="110"/>
        <item x="111"/>
        <item x="112"/>
        <item x="113"/>
        <item x="114"/>
        <item x="23"/>
        <item x="115"/>
        <item x="116"/>
        <item x="117"/>
        <item x="24"/>
        <item x="118"/>
        <item x="119"/>
        <item x="120"/>
        <item x="121"/>
        <item x="122"/>
        <item x="123"/>
        <item x="11"/>
        <item x="6"/>
        <item x="124"/>
        <item x="125"/>
        <item x="126"/>
        <item x="127"/>
        <item x="128"/>
        <item x="129"/>
        <item x="130"/>
        <item x="14"/>
        <item x="20"/>
        <item x="131"/>
        <item x="132"/>
        <item x="133"/>
        <item x="134"/>
        <item x="1"/>
        <item x="135"/>
        <item x="136"/>
        <item x="137"/>
        <item x="138"/>
        <item x="139"/>
        <item x="21"/>
        <item x="140"/>
        <item x="141"/>
        <item x="142"/>
        <item x="143"/>
        <item x="144"/>
        <item x="17"/>
        <item x="145"/>
        <item x="146"/>
        <item x="147"/>
        <item x="148"/>
        <item x="149"/>
        <item x="150"/>
        <item x="151"/>
        <item x="152"/>
        <item x="153"/>
        <item x="7"/>
        <item x="25"/>
        <item x="1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compact="0" showAll="0">
      <items count="13">
        <item x="4"/>
        <item x="5"/>
        <item x="0"/>
        <item x="3"/>
        <item x="2"/>
        <item x="1"/>
        <item x="6"/>
        <item x="7"/>
        <item x="8"/>
        <item x="9"/>
        <item x="10"/>
        <item x="11"/>
        <item t="default"/>
      </items>
    </pivotField>
    <pivotField compact="0" showAll="0">
      <items count="417">
        <item x="226"/>
        <item x="11"/>
        <item x="251"/>
        <item x="237"/>
        <item x="16"/>
        <item x="339"/>
        <item x="146"/>
        <item x="133"/>
        <item x="150"/>
        <item x="213"/>
        <item x="99"/>
        <item x="385"/>
        <item x="370"/>
        <item x="201"/>
        <item x="382"/>
        <item x="305"/>
        <item x="153"/>
        <item x="276"/>
        <item x="379"/>
        <item x="22"/>
        <item x="166"/>
        <item x="396"/>
        <item x="175"/>
        <item x="257"/>
        <item x="288"/>
        <item x="264"/>
        <item x="198"/>
        <item x="406"/>
        <item x="121"/>
        <item x="176"/>
        <item x="5"/>
        <item x="60"/>
        <item x="28"/>
        <item x="29"/>
        <item x="274"/>
        <item x="13"/>
        <item x="209"/>
        <item x="106"/>
        <item x="220"/>
        <item x="377"/>
        <item x="326"/>
        <item x="298"/>
        <item x="342"/>
        <item x="202"/>
        <item x="80"/>
        <item x="234"/>
        <item x="249"/>
        <item x="76"/>
        <item x="94"/>
        <item x="400"/>
        <item x="85"/>
        <item x="372"/>
        <item x="309"/>
        <item x="119"/>
        <item x="318"/>
        <item x="84"/>
        <item x="307"/>
        <item x="129"/>
        <item x="190"/>
        <item x="286"/>
        <item x="205"/>
        <item x="113"/>
        <item x="247"/>
        <item x="39"/>
        <item x="118"/>
        <item x="172"/>
        <item x="66"/>
        <item x="327"/>
        <item x="168"/>
        <item x="354"/>
        <item x="164"/>
        <item x="51"/>
        <item x="160"/>
        <item x="124"/>
        <item x="90"/>
        <item x="191"/>
        <item x="105"/>
        <item x="171"/>
        <item x="361"/>
        <item x="30"/>
        <item x="34"/>
        <item x="229"/>
        <item x="24"/>
        <item x="290"/>
        <item x="210"/>
        <item x="72"/>
        <item x="107"/>
        <item x="359"/>
        <item x="183"/>
        <item x="1"/>
        <item x="12"/>
        <item x="346"/>
        <item x="44"/>
        <item x="267"/>
        <item x="291"/>
        <item x="283"/>
        <item x="75"/>
        <item x="70"/>
        <item x="278"/>
        <item x="250"/>
        <item x="49"/>
        <item x="163"/>
        <item x="38"/>
        <item x="358"/>
        <item x="241"/>
        <item x="207"/>
        <item x="65"/>
        <item x="33"/>
        <item x="101"/>
        <item x="167"/>
        <item x="67"/>
        <item x="108"/>
        <item x="161"/>
        <item x="112"/>
        <item x="95"/>
        <item x="289"/>
        <item x="0"/>
        <item x="380"/>
        <item x="364"/>
        <item x="173"/>
        <item x="253"/>
        <item x="151"/>
        <item x="390"/>
        <item x="206"/>
        <item x="169"/>
        <item x="120"/>
        <item x="35"/>
        <item x="142"/>
        <item x="312"/>
        <item x="324"/>
        <item x="217"/>
        <item x="294"/>
        <item x="130"/>
        <item x="23"/>
        <item x="32"/>
        <item x="179"/>
        <item x="86"/>
        <item x="96"/>
        <item x="61"/>
        <item x="194"/>
        <item x="215"/>
        <item x="335"/>
        <item x="271"/>
        <item x="214"/>
        <item x="408"/>
        <item x="102"/>
        <item x="188"/>
        <item x="347"/>
        <item x="260"/>
        <item x="325"/>
        <item x="74"/>
        <item x="248"/>
        <item x="56"/>
        <item x="147"/>
        <item x="52"/>
        <item x="100"/>
        <item x="25"/>
        <item x="224"/>
        <item x="62"/>
        <item x="386"/>
        <item x="319"/>
        <item x="45"/>
        <item x="37"/>
        <item x="393"/>
        <item x="137"/>
        <item x="115"/>
        <item x="6"/>
        <item x="18"/>
        <item x="92"/>
        <item x="122"/>
        <item x="203"/>
        <item x="240"/>
        <item x="138"/>
        <item x="310"/>
        <item x="15"/>
        <item x="10"/>
        <item x="322"/>
        <item x="345"/>
        <item x="284"/>
        <item x="219"/>
        <item x="344"/>
        <item x="263"/>
        <item x="227"/>
        <item x="46"/>
        <item x="369"/>
        <item x="189"/>
        <item x="225"/>
        <item x="328"/>
        <item x="117"/>
        <item x="332"/>
        <item x="50"/>
        <item x="265"/>
        <item x="110"/>
        <item x="254"/>
        <item x="141"/>
        <item x="123"/>
        <item x="242"/>
        <item x="275"/>
        <item x="279"/>
        <item x="392"/>
        <item x="55"/>
        <item x="316"/>
        <item x="143"/>
        <item x="273"/>
        <item x="337"/>
        <item x="280"/>
        <item x="155"/>
        <item x="109"/>
        <item x="297"/>
        <item x="71"/>
        <item x="154"/>
        <item x="252"/>
        <item x="81"/>
        <item x="180"/>
        <item x="315"/>
        <item x="135"/>
        <item x="211"/>
        <item x="368"/>
        <item x="111"/>
        <item x="69"/>
        <item x="3"/>
        <item x="17"/>
        <item x="313"/>
        <item x="68"/>
        <item x="266"/>
        <item x="184"/>
        <item x="373"/>
        <item x="208"/>
        <item x="185"/>
        <item x="134"/>
        <item x="181"/>
        <item x="47"/>
        <item x="31"/>
        <item x="2"/>
        <item x="7"/>
        <item x="246"/>
        <item x="239"/>
        <item x="178"/>
        <item x="148"/>
        <item x="131"/>
        <item x="292"/>
        <item x="356"/>
        <item x="311"/>
        <item x="374"/>
        <item x="174"/>
        <item x="103"/>
        <item x="156"/>
        <item x="360"/>
        <item x="200"/>
        <item x="126"/>
        <item x="409"/>
        <item x="397"/>
        <item x="414"/>
        <item x="269"/>
        <item x="353"/>
        <item x="26"/>
        <item x="338"/>
        <item x="262"/>
        <item x="258"/>
        <item x="415"/>
        <item x="91"/>
        <item x="259"/>
        <item x="199"/>
        <item x="350"/>
        <item x="404"/>
        <item x="125"/>
        <item x="195"/>
        <item x="366"/>
        <item x="401"/>
        <item x="340"/>
        <item x="281"/>
        <item x="330"/>
        <item x="57"/>
        <item x="53"/>
        <item x="82"/>
        <item x="282"/>
        <item x="63"/>
        <item x="40"/>
        <item x="233"/>
        <item x="336"/>
        <item x="152"/>
        <item x="371"/>
        <item x="378"/>
        <item x="302"/>
        <item x="87"/>
        <item x="405"/>
        <item x="73"/>
        <item x="186"/>
        <item x="193"/>
        <item x="116"/>
        <item x="363"/>
        <item x="285"/>
        <item x="218"/>
        <item x="295"/>
        <item x="365"/>
        <item x="41"/>
        <item x="308"/>
        <item x="243"/>
        <item x="232"/>
        <item x="78"/>
        <item x="221"/>
        <item x="236"/>
        <item x="341"/>
        <item x="235"/>
        <item x="204"/>
        <item x="413"/>
        <item x="375"/>
        <item x="54"/>
        <item x="19"/>
        <item x="157"/>
        <item x="395"/>
        <item x="21"/>
        <item x="238"/>
        <item x="245"/>
        <item x="296"/>
        <item x="352"/>
        <item x="407"/>
        <item x="93"/>
        <item x="333"/>
        <item x="77"/>
        <item x="412"/>
        <item x="357"/>
        <item x="79"/>
        <item x="158"/>
        <item x="399"/>
        <item x="300"/>
        <item x="329"/>
        <item x="256"/>
        <item x="144"/>
        <item x="36"/>
        <item x="343"/>
        <item x="391"/>
        <item x="402"/>
        <item x="132"/>
        <item x="299"/>
        <item x="334"/>
        <item x="389"/>
        <item x="139"/>
        <item x="362"/>
        <item x="88"/>
        <item x="89"/>
        <item x="165"/>
        <item x="114"/>
        <item x="20"/>
        <item x="64"/>
        <item x="159"/>
        <item x="149"/>
        <item x="228"/>
        <item x="351"/>
        <item x="387"/>
        <item x="14"/>
        <item x="376"/>
        <item x="48"/>
        <item x="255"/>
        <item x="381"/>
        <item x="9"/>
        <item x="304"/>
        <item x="403"/>
        <item x="314"/>
        <item x="83"/>
        <item x="212"/>
        <item x="43"/>
        <item x="127"/>
        <item x="277"/>
        <item x="383"/>
        <item x="230"/>
        <item x="27"/>
        <item x="104"/>
        <item x="317"/>
        <item x="331"/>
        <item x="216"/>
        <item x="177"/>
        <item x="355"/>
        <item x="323"/>
        <item x="306"/>
        <item x="320"/>
        <item x="196"/>
        <item x="384"/>
        <item x="4"/>
        <item x="244"/>
        <item x="367"/>
        <item x="293"/>
        <item x="268"/>
        <item x="140"/>
        <item x="348"/>
        <item x="231"/>
        <item x="410"/>
        <item x="394"/>
        <item x="411"/>
        <item x="170"/>
        <item x="303"/>
        <item x="197"/>
        <item x="162"/>
        <item x="270"/>
        <item x="287"/>
        <item x="128"/>
        <item x="136"/>
        <item x="321"/>
        <item x="261"/>
        <item x="301"/>
        <item x="58"/>
        <item x="222"/>
        <item x="42"/>
        <item x="187"/>
        <item x="59"/>
        <item x="98"/>
        <item x="192"/>
        <item x="398"/>
        <item x="145"/>
        <item x="388"/>
        <item x="272"/>
        <item x="223"/>
        <item x="97"/>
        <item x="349"/>
        <item x="182"/>
        <item x="8"/>
        <item t="default"/>
      </items>
    </pivotField>
    <pivotField compact="0" showAll="0">
      <items count="7">
        <item x="0"/>
        <item x="2"/>
        <item x="4"/>
        <item x="5"/>
        <item x="1"/>
        <item x="3"/>
        <item t="default"/>
      </items>
    </pivotField>
    <pivotField compact="0" showAll="0">
      <items count="7">
        <item x="5"/>
        <item x="0"/>
        <item x="1"/>
        <item x="2"/>
        <item x="3"/>
        <item x="4"/>
        <item t="default"/>
      </items>
    </pivotField>
    <pivotField compact="0" showAll="0">
      <items count="262">
        <item x="5"/>
        <item x="33"/>
        <item x="225"/>
        <item x="49"/>
        <item x="39"/>
        <item x="17"/>
        <item x="102"/>
        <item x="44"/>
        <item x="61"/>
        <item x="22"/>
        <item x="97"/>
        <item x="215"/>
        <item x="71"/>
        <item x="119"/>
        <item x="66"/>
        <item x="114"/>
        <item x="89"/>
        <item x="91"/>
        <item x="202"/>
        <item x="110"/>
        <item x="153"/>
        <item x="11"/>
        <item x="136"/>
        <item x="27"/>
        <item x="86"/>
        <item x="149"/>
        <item x="193"/>
        <item x="34"/>
        <item x="186"/>
        <item x="142"/>
        <item x="12"/>
        <item x="111"/>
        <item x="234"/>
        <item x="7"/>
        <item x="51"/>
        <item x="173"/>
        <item x="124"/>
        <item x="98"/>
        <item x="104"/>
        <item x="107"/>
        <item x="143"/>
        <item x="8"/>
        <item x="2"/>
        <item x="23"/>
        <item x="40"/>
        <item x="6"/>
        <item x="28"/>
        <item x="68"/>
        <item x="52"/>
        <item x="203"/>
        <item x="122"/>
        <item x="24"/>
        <item x="45"/>
        <item x="29"/>
        <item x="14"/>
        <item x="134"/>
        <item x="115"/>
        <item x="103"/>
        <item x="18"/>
        <item x="76"/>
        <item x="19"/>
        <item x="154"/>
        <item x="137"/>
        <item x="125"/>
        <item x="50"/>
        <item x="81"/>
        <item x="79"/>
        <item x="236"/>
        <item x="57"/>
        <item x="177"/>
        <item x="99"/>
        <item x="1"/>
        <item x="72"/>
        <item x="233"/>
        <item x="46"/>
        <item x="90"/>
        <item x="0"/>
        <item x="15"/>
        <item x="20"/>
        <item x="47"/>
        <item x="199"/>
        <item x="84"/>
        <item x="69"/>
        <item x="62"/>
        <item x="58"/>
        <item x="13"/>
        <item x="36"/>
        <item x="3"/>
        <item x="67"/>
        <item x="87"/>
        <item x="128"/>
        <item x="35"/>
        <item x="25"/>
        <item x="139"/>
        <item x="93"/>
        <item x="150"/>
        <item x="75"/>
        <item x="59"/>
        <item x="140"/>
        <item x="41"/>
        <item x="30"/>
        <item x="182"/>
        <item x="77"/>
        <item x="63"/>
        <item x="120"/>
        <item x="42"/>
        <item x="178"/>
        <item x="248"/>
        <item x="212"/>
        <item x="132"/>
        <item x="37"/>
        <item x="228"/>
        <item x="191"/>
        <item x="108"/>
        <item x="9"/>
        <item x="116"/>
        <item x="216"/>
        <item x="169"/>
        <item x="187"/>
        <item x="55"/>
        <item x="171"/>
        <item x="118"/>
        <item x="208"/>
        <item x="53"/>
        <item x="231"/>
        <item x="112"/>
        <item x="206"/>
        <item x="156"/>
        <item x="64"/>
        <item x="239"/>
        <item x="73"/>
        <item x="189"/>
        <item x="151"/>
        <item x="82"/>
        <item x="218"/>
        <item x="164"/>
        <item x="175"/>
        <item x="144"/>
        <item x="255"/>
        <item x="162"/>
        <item x="200"/>
        <item x="130"/>
        <item x="166"/>
        <item x="94"/>
        <item x="126"/>
        <item x="158"/>
        <item x="145"/>
        <item x="100"/>
        <item x="211"/>
        <item x="259"/>
        <item x="155"/>
        <item x="157"/>
        <item x="147"/>
        <item x="105"/>
        <item x="224"/>
        <item x="31"/>
        <item x="238"/>
        <item x="174"/>
        <item x="227"/>
        <item x="131"/>
        <item x="127"/>
        <item x="242"/>
        <item x="209"/>
        <item x="192"/>
        <item x="181"/>
        <item x="56"/>
        <item x="253"/>
        <item x="237"/>
        <item x="188"/>
        <item x="205"/>
        <item x="167"/>
        <item x="190"/>
        <item x="121"/>
        <item x="146"/>
        <item x="135"/>
        <item x="232"/>
        <item x="256"/>
        <item x="159"/>
        <item x="183"/>
        <item x="88"/>
        <item x="70"/>
        <item x="48"/>
        <item x="249"/>
        <item x="258"/>
        <item x="129"/>
        <item x="247"/>
        <item x="152"/>
        <item x="245"/>
        <item x="198"/>
        <item x="213"/>
        <item x="54"/>
        <item x="10"/>
        <item x="235"/>
        <item x="185"/>
        <item x="78"/>
        <item x="80"/>
        <item x="43"/>
        <item x="101"/>
        <item x="214"/>
        <item x="226"/>
        <item x="148"/>
        <item x="196"/>
        <item x="252"/>
        <item x="74"/>
        <item x="197"/>
        <item x="106"/>
        <item x="170"/>
        <item x="204"/>
        <item x="184"/>
        <item x="201"/>
        <item x="163"/>
        <item x="83"/>
        <item x="165"/>
        <item x="32"/>
        <item x="180"/>
        <item x="123"/>
        <item x="207"/>
        <item x="168"/>
        <item x="254"/>
        <item x="229"/>
        <item x="26"/>
        <item x="250"/>
        <item x="96"/>
        <item x="85"/>
        <item x="230"/>
        <item x="194"/>
        <item x="16"/>
        <item x="260"/>
        <item x="217"/>
        <item x="223"/>
        <item x="133"/>
        <item x="109"/>
        <item x="195"/>
        <item x="176"/>
        <item x="179"/>
        <item x="172"/>
        <item x="21"/>
        <item x="241"/>
        <item x="246"/>
        <item x="243"/>
        <item x="113"/>
        <item x="117"/>
        <item x="221"/>
        <item x="240"/>
        <item x="210"/>
        <item x="251"/>
        <item x="257"/>
        <item x="138"/>
        <item x="60"/>
        <item x="220"/>
        <item x="160"/>
        <item x="219"/>
        <item x="141"/>
        <item x="92"/>
        <item x="38"/>
        <item x="95"/>
        <item x="4"/>
        <item x="65"/>
        <item x="244"/>
        <item x="222"/>
        <item x="161"/>
        <item t="default"/>
      </items>
    </pivotField>
    <pivotField compact="0" showAll="0">
      <items count="1001">
        <item x="941"/>
        <item x="317"/>
        <item x="89"/>
        <item x="389"/>
        <item x="11"/>
        <item x="173"/>
        <item x="17"/>
        <item x="341"/>
        <item x="647"/>
        <item x="263"/>
        <item x="185"/>
        <item x="293"/>
        <item x="161"/>
        <item x="215"/>
        <item x="713"/>
        <item x="899"/>
        <item x="191"/>
        <item x="911"/>
        <item x="707"/>
        <item x="821"/>
        <item x="761"/>
        <item x="113"/>
        <item x="275"/>
        <item x="839"/>
        <item x="593"/>
        <item x="527"/>
        <item x="23"/>
        <item x="815"/>
        <item x="587"/>
        <item x="641"/>
        <item x="443"/>
        <item x="101"/>
        <item x="311"/>
        <item x="197"/>
        <item x="221"/>
        <item x="569"/>
        <item x="971"/>
        <item x="875"/>
        <item x="233"/>
        <item x="479"/>
        <item x="395"/>
        <item x="269"/>
        <item x="359"/>
        <item x="743"/>
        <item x="887"/>
        <item x="665"/>
        <item x="869"/>
        <item x="419"/>
        <item x="473"/>
        <item x="689"/>
        <item x="563"/>
        <item x="59"/>
        <item x="137"/>
        <item x="881"/>
        <item x="857"/>
        <item x="143"/>
        <item x="779"/>
        <item x="539"/>
        <item x="851"/>
        <item x="905"/>
        <item x="935"/>
        <item x="305"/>
        <item x="599"/>
        <item x="5"/>
        <item x="29"/>
        <item x="65"/>
        <item x="335"/>
        <item x="431"/>
        <item x="239"/>
        <item x="503"/>
        <item x="995"/>
        <item x="659"/>
        <item x="521"/>
        <item x="803"/>
        <item x="863"/>
        <item x="581"/>
        <item x="107"/>
        <item x="773"/>
        <item x="737"/>
        <item x="401"/>
        <item x="179"/>
        <item x="95"/>
        <item x="893"/>
        <item x="125"/>
        <item x="929"/>
        <item x="755"/>
        <item x="557"/>
        <item x="767"/>
        <item x="797"/>
        <item x="281"/>
        <item x="155"/>
        <item x="203"/>
        <item x="959"/>
        <item x="947"/>
        <item x="809"/>
        <item x="455"/>
        <item x="377"/>
        <item x="605"/>
        <item x="545"/>
        <item x="257"/>
        <item x="467"/>
        <item x="407"/>
        <item x="653"/>
        <item x="953"/>
        <item x="329"/>
        <item x="425"/>
        <item x="491"/>
        <item x="977"/>
        <item x="227"/>
        <item x="617"/>
        <item x="383"/>
        <item x="299"/>
        <item x="119"/>
        <item x="623"/>
        <item x="965"/>
        <item x="167"/>
        <item x="437"/>
        <item x="323"/>
        <item x="791"/>
        <item x="695"/>
        <item x="149"/>
        <item x="845"/>
        <item x="551"/>
        <item x="209"/>
        <item x="923"/>
        <item x="497"/>
        <item x="47"/>
        <item x="635"/>
        <item x="485"/>
        <item x="683"/>
        <item x="371"/>
        <item x="671"/>
        <item x="917"/>
        <item x="701"/>
        <item x="677"/>
        <item x="515"/>
        <item x="989"/>
        <item x="251"/>
        <item x="245"/>
        <item x="827"/>
        <item x="731"/>
        <item x="725"/>
        <item x="353"/>
        <item x="287"/>
        <item x="533"/>
        <item x="347"/>
        <item x="365"/>
        <item x="749"/>
        <item x="35"/>
        <item x="131"/>
        <item x="413"/>
        <item x="833"/>
        <item x="611"/>
        <item x="71"/>
        <item x="77"/>
        <item x="509"/>
        <item x="703"/>
        <item x="983"/>
        <item x="449"/>
        <item x="763"/>
        <item x="719"/>
        <item x="30"/>
        <item x="629"/>
        <item x="575"/>
        <item x="83"/>
        <item x="461"/>
        <item x="415"/>
        <item x="690"/>
        <item x="360"/>
        <item x="53"/>
        <item x="510"/>
        <item x="41"/>
        <item x="919"/>
        <item x="785"/>
        <item x="336"/>
        <item x="276"/>
        <item x="492"/>
        <item x="120"/>
        <item x="289"/>
        <item x="961"/>
        <item x="13"/>
        <item x="438"/>
        <item x="235"/>
        <item x="180"/>
        <item x="463"/>
        <item x="439"/>
        <item x="90"/>
        <item x="373"/>
        <item x="768"/>
        <item x="84"/>
        <item x="714"/>
        <item x="421"/>
        <item x="631"/>
        <item x="534"/>
        <item x="978"/>
        <item x="96"/>
        <item x="270"/>
        <item x="132"/>
        <item x="558"/>
        <item x="984"/>
        <item x="498"/>
        <item x="661"/>
        <item x="277"/>
        <item x="895"/>
        <item x="42"/>
        <item x="673"/>
        <item x="138"/>
        <item x="228"/>
        <item x="182"/>
        <item x="379"/>
        <item x="810"/>
        <item x="528"/>
        <item x="932"/>
        <item x="488"/>
        <item x="606"/>
        <item x="319"/>
        <item x="996"/>
        <item x="780"/>
        <item x="901"/>
        <item x="828"/>
        <item x="102"/>
        <item x="450"/>
        <item x="139"/>
        <item x="710"/>
        <item x="660"/>
        <item x="906"/>
        <item x="732"/>
        <item x="372"/>
        <item x="816"/>
        <item x="632"/>
        <item x="841"/>
        <item x="230"/>
        <item x="330"/>
        <item x="72"/>
        <item x="223"/>
        <item x="986"/>
        <item x="582"/>
        <item x="960"/>
        <item x="331"/>
        <item x="907"/>
        <item x="217"/>
        <item x="300"/>
        <item x="834"/>
        <item x="511"/>
        <item x="434"/>
        <item x="354"/>
        <item x="55"/>
        <item x="259"/>
        <item x="614"/>
        <item x="858"/>
        <item x="384"/>
        <item x="792"/>
        <item x="948"/>
        <item x="260"/>
        <item x="420"/>
        <item x="427"/>
        <item x="73"/>
        <item x="612"/>
        <item x="822"/>
        <item x="128"/>
        <item x="444"/>
        <item x="218"/>
        <item x="480"/>
        <item x="170"/>
        <item x="266"/>
        <item x="601"/>
        <item x="204"/>
        <item x="37"/>
        <item x="1"/>
        <item x="36"/>
        <item x="181"/>
        <item x="25"/>
        <item x="79"/>
        <item x="589"/>
        <item x="949"/>
        <item x="571"/>
        <item x="121"/>
        <item x="799"/>
        <item x="642"/>
        <item x="31"/>
        <item x="769"/>
        <item x="12"/>
        <item x="146"/>
        <item x="967"/>
        <item x="836"/>
        <item x="738"/>
        <item x="210"/>
        <item x="762"/>
        <item x="307"/>
        <item x="476"/>
        <item x="14"/>
        <item x="452"/>
        <item x="564"/>
        <item x="930"/>
        <item x="0"/>
        <item x="193"/>
        <item x="457"/>
        <item x="222"/>
        <item x="806"/>
        <item x="636"/>
        <item x="312"/>
        <item x="367"/>
        <item x="234"/>
        <item x="524"/>
        <item x="216"/>
        <item x="883"/>
        <item x="744"/>
        <item x="846"/>
        <item x="398"/>
        <item x="290"/>
        <item x="158"/>
        <item x="716"/>
        <item x="962"/>
        <item x="877"/>
        <item x="888"/>
        <item x="541"/>
        <item x="115"/>
        <item x="920"/>
        <item x="697"/>
        <item x="408"/>
        <item x="997"/>
        <item x="192"/>
        <item x="576"/>
        <item x="840"/>
        <item x="314"/>
        <item x="954"/>
        <item x="474"/>
        <item x="679"/>
        <item x="896"/>
        <item x="391"/>
        <item x="229"/>
        <item x="487"/>
        <item x="282"/>
        <item x="122"/>
        <item x="324"/>
        <item x="366"/>
        <item x="595"/>
        <item x="344"/>
        <item x="522"/>
        <item x="264"/>
        <item x="24"/>
        <item x="786"/>
        <item x="409"/>
        <item x="876"/>
        <item x="127"/>
        <item x="894"/>
        <item x="470"/>
        <item x="211"/>
        <item x="175"/>
        <item x="668"/>
        <item x="504"/>
        <item x="607"/>
        <item x="355"/>
        <item x="559"/>
        <item x="804"/>
        <item x="150"/>
        <item x="776"/>
        <item x="830"/>
        <item x="378"/>
        <item x="224"/>
        <item x="140"/>
        <item x="91"/>
        <item x="385"/>
        <item x="974"/>
        <item x="882"/>
        <item x="342"/>
        <item x="979"/>
        <item x="109"/>
        <item x="870"/>
        <item x="818"/>
        <item x="774"/>
        <item x="294"/>
        <item x="38"/>
        <item x="74"/>
        <item x="554"/>
        <item x="913"/>
        <item x="973"/>
        <item x="966"/>
        <item x="337"/>
        <item x="349"/>
        <item x="114"/>
        <item x="66"/>
        <item x="758"/>
        <item x="823"/>
        <item x="900"/>
        <item x="361"/>
        <item x="854"/>
        <item x="156"/>
        <item x="733"/>
        <item x="240"/>
        <item x="942"/>
        <item x="750"/>
        <item x="654"/>
        <item x="48"/>
        <item x="493"/>
        <item x="548"/>
        <item x="386"/>
        <item x="110"/>
        <item x="325"/>
        <item x="764"/>
        <item x="918"/>
        <item x="402"/>
        <item x="157"/>
        <item x="168"/>
        <item x="702"/>
        <item x="462"/>
        <item x="852"/>
        <item x="416"/>
        <item x="672"/>
        <item x="637"/>
        <item x="666"/>
        <item x="943"/>
        <item x="570"/>
        <item x="254"/>
        <item x="540"/>
        <item x="61"/>
        <item x="931"/>
        <item x="284"/>
        <item x="6"/>
        <item x="972"/>
        <item x="313"/>
        <item x="26"/>
        <item x="108"/>
        <item x="865"/>
        <item x="482"/>
        <item x="529"/>
        <item x="686"/>
        <item x="97"/>
        <item x="696"/>
        <item x="678"/>
        <item x="187"/>
        <item x="720"/>
        <item x="302"/>
        <item x="174"/>
        <item x="512"/>
        <item x="116"/>
        <item x="422"/>
        <item x="296"/>
        <item x="536"/>
        <item x="624"/>
        <item x="433"/>
        <item x="842"/>
        <item x="583"/>
        <item x="757"/>
        <item x="630"/>
        <item x="144"/>
        <item x="432"/>
        <item x="662"/>
        <item x="403"/>
        <item x="824"/>
        <item x="835"/>
        <item x="577"/>
        <item x="860"/>
        <item x="546"/>
        <item x="104"/>
        <item x="56"/>
        <item x="794"/>
        <item x="306"/>
        <item x="80"/>
        <item x="67"/>
        <item x="691"/>
        <item x="54"/>
        <item x="812"/>
        <item x="912"/>
        <item x="78"/>
        <item x="133"/>
        <item x="936"/>
        <item x="151"/>
        <item x="475"/>
        <item x="618"/>
        <item x="560"/>
        <item x="318"/>
        <item x="258"/>
        <item x="680"/>
        <item x="752"/>
        <item x="326"/>
        <item x="445"/>
        <item x="625"/>
        <item x="278"/>
        <item x="414"/>
        <item x="864"/>
        <item x="745"/>
        <item x="756"/>
        <item x="552"/>
        <item x="390"/>
        <item x="685"/>
        <item x="186"/>
        <item x="252"/>
        <item x="708"/>
        <item x="392"/>
        <item x="481"/>
        <item x="726"/>
        <item x="992"/>
        <item x="751"/>
        <item x="19"/>
        <item x="998"/>
        <item x="649"/>
        <item x="468"/>
        <item x="648"/>
        <item x="60"/>
        <item x="667"/>
        <item x="176"/>
        <item x="486"/>
        <item x="990"/>
        <item x="169"/>
        <item x="440"/>
        <item x="456"/>
        <item x="684"/>
        <item x="608"/>
        <item x="721"/>
        <item x="163"/>
        <item x="655"/>
        <item x="596"/>
        <item x="924"/>
        <item x="198"/>
        <item x="968"/>
        <item x="134"/>
        <item x="200"/>
        <item x="253"/>
        <item x="553"/>
        <item x="301"/>
        <item x="350"/>
        <item x="584"/>
        <item x="246"/>
        <item x="715"/>
        <item x="588"/>
        <item x="925"/>
        <item x="866"/>
        <item x="516"/>
        <item x="798"/>
        <item x="937"/>
        <item x="247"/>
        <item x="469"/>
        <item x="288"/>
        <item x="356"/>
        <item x="126"/>
        <item x="50"/>
        <item x="18"/>
        <item x="145"/>
        <item x="241"/>
        <item x="506"/>
        <item x="499"/>
        <item x="164"/>
        <item x="938"/>
        <item x="348"/>
        <item x="853"/>
        <item x="600"/>
        <item x="594"/>
        <item x="162"/>
        <item x="92"/>
        <item x="847"/>
        <item x="926"/>
        <item x="464"/>
        <item x="426"/>
        <item x="817"/>
        <item x="535"/>
        <item x="397"/>
        <item x="955"/>
        <item x="884"/>
        <item x="859"/>
        <item x="781"/>
        <item x="295"/>
        <item x="249"/>
        <item x="734"/>
        <item x="811"/>
        <item x="451"/>
        <item x="523"/>
        <item x="709"/>
        <item x="494"/>
        <item x="787"/>
        <item x="396"/>
        <item x="902"/>
        <item x="944"/>
        <item x="8"/>
        <item x="698"/>
        <item x="188"/>
        <item x="746"/>
        <item x="775"/>
        <item x="722"/>
        <item x="613"/>
        <item x="7"/>
        <item x="380"/>
        <item x="848"/>
        <item x="956"/>
        <item x="663"/>
        <item x="602"/>
        <item x="242"/>
        <item x="338"/>
        <item x="890"/>
        <item x="271"/>
        <item x="985"/>
        <item x="32"/>
        <item x="626"/>
        <item x="829"/>
        <item x="739"/>
        <item x="633"/>
        <item x="404"/>
        <item x="517"/>
        <item x="547"/>
        <item x="368"/>
        <item x="283"/>
        <item x="49"/>
        <item x="152"/>
        <item x="793"/>
        <item x="619"/>
        <item x="43"/>
        <item x="500"/>
        <item x="205"/>
        <item x="727"/>
        <item x="578"/>
        <item x="723"/>
        <item x="871"/>
        <item x="950"/>
        <item x="704"/>
        <item x="265"/>
        <item x="565"/>
        <item x="2"/>
        <item x="446"/>
        <item x="705"/>
        <item x="428"/>
        <item x="199"/>
        <item x="411"/>
        <item x="908"/>
        <item x="878"/>
        <item x="909"/>
        <item x="991"/>
        <item x="572"/>
        <item x="627"/>
        <item x="643"/>
        <item x="891"/>
        <item x="987"/>
        <item x="103"/>
        <item x="343"/>
        <item x="889"/>
        <item x="98"/>
        <item x="800"/>
        <item x="692"/>
        <item x="650"/>
        <item x="505"/>
        <item x="656"/>
        <item x="566"/>
        <item x="770"/>
        <item x="194"/>
        <item x="248"/>
        <item x="410"/>
        <item x="805"/>
        <item x="236"/>
        <item x="272"/>
        <item x="369"/>
        <item x="590"/>
        <item x="638"/>
        <item x="518"/>
        <item x="914"/>
        <item x="872"/>
        <item x="85"/>
        <item x="62"/>
        <item x="458"/>
        <item x="351"/>
        <item x="44"/>
        <item x="782"/>
        <item x="674"/>
        <item x="417"/>
        <item x="597"/>
        <item x="308"/>
        <item x="68"/>
        <item x="453"/>
        <item x="189"/>
        <item x="993"/>
        <item x="320"/>
        <item x="759"/>
        <item x="620"/>
        <item x="740"/>
        <item x="381"/>
        <item x="807"/>
        <item x="212"/>
        <item x="980"/>
        <item x="652"/>
        <item x="669"/>
        <item x="255"/>
        <item x="957"/>
        <item x="201"/>
        <item x="123"/>
        <item x="332"/>
        <item x="513"/>
        <item x="530"/>
        <item x="20"/>
        <item x="206"/>
        <item x="747"/>
        <item x="644"/>
        <item x="837"/>
        <item x="542"/>
        <item x="86"/>
        <item x="362"/>
        <item x="75"/>
        <item x="728"/>
        <item x="184"/>
        <item x="477"/>
        <item x="717"/>
        <item x="346"/>
        <item x="34"/>
        <item x="220"/>
        <item x="585"/>
        <item x="471"/>
        <item x="525"/>
        <item x="69"/>
        <item x="939"/>
        <item x="448"/>
        <item x="374"/>
        <item x="286"/>
        <item x="788"/>
        <item x="502"/>
        <item x="466"/>
        <item x="441"/>
        <item x="141"/>
        <item x="129"/>
        <item x="711"/>
        <item x="291"/>
        <item x="51"/>
        <item x="958"/>
        <item x="177"/>
        <item x="927"/>
        <item x="999"/>
        <item x="117"/>
        <item x="3"/>
        <item x="256"/>
        <item x="202"/>
        <item x="40"/>
        <item x="243"/>
        <item x="82"/>
        <item x="16"/>
        <item x="771"/>
        <item x="789"/>
        <item x="784"/>
        <item x="903"/>
        <item x="921"/>
        <item x="33"/>
        <item x="549"/>
        <item x="874"/>
        <item x="430"/>
        <item x="699"/>
        <item x="760"/>
        <item x="861"/>
        <item x="459"/>
        <item x="736"/>
        <item x="573"/>
        <item x="598"/>
        <item x="765"/>
        <item x="616"/>
        <item x="753"/>
        <item x="93"/>
        <item x="124"/>
        <item x="304"/>
        <item x="640"/>
        <item x="591"/>
        <item x="316"/>
        <item x="159"/>
        <item x="742"/>
        <item x="214"/>
        <item x="423"/>
        <item x="681"/>
        <item x="333"/>
        <item x="778"/>
        <item x="543"/>
        <item x="27"/>
        <item x="801"/>
        <item x="544"/>
        <item x="741"/>
        <item x="568"/>
        <item x="454"/>
        <item x="442"/>
        <item x="147"/>
        <item x="357"/>
        <item x="10"/>
        <item x="495"/>
        <item x="658"/>
        <item x="196"/>
        <item x="399"/>
        <item x="57"/>
        <item x="81"/>
        <item x="87"/>
        <item x="886"/>
        <item x="303"/>
        <item x="940"/>
        <item x="136"/>
        <item x="777"/>
        <item x="76"/>
        <item x="868"/>
        <item x="855"/>
        <item x="657"/>
        <item x="339"/>
        <item x="873"/>
        <item x="238"/>
        <item x="418"/>
        <item x="897"/>
        <item x="135"/>
        <item x="862"/>
        <item x="808"/>
        <item x="382"/>
        <item x="639"/>
        <item x="436"/>
        <item x="975"/>
        <item x="820"/>
        <item x="688"/>
        <item x="892"/>
        <item x="105"/>
        <item x="315"/>
        <item x="171"/>
        <item x="232"/>
        <item x="831"/>
        <item x="345"/>
        <item x="687"/>
        <item x="982"/>
        <item x="400"/>
        <item x="465"/>
        <item x="910"/>
        <item x="729"/>
        <item x="963"/>
        <item x="945"/>
        <item x="693"/>
        <item x="981"/>
        <item x="406"/>
        <item x="885"/>
        <item x="814"/>
        <item x="99"/>
        <item x="207"/>
        <item x="969"/>
        <item x="952"/>
        <item x="21"/>
        <item x="592"/>
        <item x="142"/>
        <item x="933"/>
        <item x="621"/>
        <item x="274"/>
        <item x="363"/>
        <item x="712"/>
        <item x="490"/>
        <item x="580"/>
        <item x="832"/>
        <item x="819"/>
        <item x="610"/>
        <item x="555"/>
        <item x="39"/>
        <item x="321"/>
        <item x="645"/>
        <item x="219"/>
        <item x="484"/>
        <item x="843"/>
        <item x="579"/>
        <item x="670"/>
        <item x="916"/>
        <item x="507"/>
        <item x="795"/>
        <item x="483"/>
        <item x="237"/>
        <item x="615"/>
        <item x="334"/>
        <item x="735"/>
        <item x="609"/>
        <item x="675"/>
        <item x="634"/>
        <item x="501"/>
        <item x="531"/>
        <item x="352"/>
        <item x="646"/>
        <item x="106"/>
        <item x="387"/>
        <item x="603"/>
        <item x="561"/>
        <item x="825"/>
        <item x="285"/>
        <item x="340"/>
        <item x="9"/>
        <item x="447"/>
        <item x="15"/>
        <item x="262"/>
        <item x="327"/>
        <item x="915"/>
        <item x="58"/>
        <item x="412"/>
        <item x="393"/>
        <item x="772"/>
        <item x="567"/>
        <item x="394"/>
        <item x="489"/>
        <item x="951"/>
        <item x="988"/>
        <item x="322"/>
        <item x="748"/>
        <item x="63"/>
        <item x="309"/>
        <item x="718"/>
        <item x="867"/>
        <item x="279"/>
        <item x="225"/>
        <item x="537"/>
        <item x="231"/>
        <item x="519"/>
        <item x="856"/>
        <item x="153"/>
        <item x="651"/>
        <item x="267"/>
        <item x="88"/>
        <item x="706"/>
        <item x="280"/>
        <item x="783"/>
        <item x="22"/>
        <item x="273"/>
        <item x="849"/>
        <item x="213"/>
        <item x="730"/>
        <item x="195"/>
        <item x="898"/>
        <item x="111"/>
        <item x="405"/>
        <item x="376"/>
        <item x="100"/>
        <item x="604"/>
        <item x="879"/>
        <item x="586"/>
        <item x="934"/>
        <item x="364"/>
        <item x="261"/>
        <item x="375"/>
        <item x="183"/>
        <item x="429"/>
        <item x="165"/>
        <item x="850"/>
        <item x="508"/>
        <item x="664"/>
        <item x="478"/>
        <item x="178"/>
        <item x="297"/>
        <item x="904"/>
        <item x="45"/>
        <item x="880"/>
        <item x="796"/>
        <item x="496"/>
        <item x="130"/>
        <item x="118"/>
        <item x="976"/>
        <item x="994"/>
        <item x="813"/>
        <item x="928"/>
        <item x="298"/>
        <item x="435"/>
        <item x="964"/>
        <item x="682"/>
        <item x="370"/>
        <item x="52"/>
        <item x="292"/>
        <item x="358"/>
        <item x="160"/>
        <item x="208"/>
        <item x="532"/>
        <item x="970"/>
        <item x="460"/>
        <item x="628"/>
        <item x="70"/>
        <item x="766"/>
        <item x="148"/>
        <item x="574"/>
        <item x="190"/>
        <item x="622"/>
        <item x="154"/>
        <item x="328"/>
        <item x="694"/>
        <item x="226"/>
        <item x="550"/>
        <item x="46"/>
        <item x="94"/>
        <item x="790"/>
        <item x="922"/>
        <item x="520"/>
        <item x="826"/>
        <item x="844"/>
        <item x="514"/>
        <item x="838"/>
        <item x="28"/>
        <item x="700"/>
        <item x="538"/>
        <item x="310"/>
        <item x="526"/>
        <item x="172"/>
        <item x="4"/>
        <item x="676"/>
        <item x="472"/>
        <item x="724"/>
        <item x="802"/>
        <item x="424"/>
        <item x="244"/>
        <item x="754"/>
        <item x="562"/>
        <item x="946"/>
        <item x="556"/>
        <item x="112"/>
        <item x="268"/>
        <item x="166"/>
        <item x="250"/>
        <item x="388"/>
        <item x="64"/>
        <item t="default"/>
      </items>
    </pivotField>
    <pivotField compact="0" showAll="0">
      <items count="990">
        <item x="931"/>
        <item x="5"/>
        <item x="961"/>
        <item x="304"/>
        <item x="339"/>
        <item x="268"/>
        <item x="541"/>
        <item x="89"/>
        <item x="185"/>
        <item x="919"/>
        <item x="636"/>
        <item x="518"/>
        <item x="595"/>
        <item x="683"/>
        <item x="512"/>
        <item x="689"/>
        <item x="577"/>
        <item x="601"/>
        <item x="842"/>
        <item x="660"/>
        <item x="889"/>
        <item x="630"/>
        <item x="35"/>
        <item x="59"/>
        <item x="65"/>
        <item x="310"/>
        <item x="250"/>
        <item x="719"/>
        <item x="901"/>
        <item x="155"/>
        <item x="830"/>
        <item x="565"/>
        <item x="742"/>
        <item x="754"/>
        <item x="695"/>
        <item x="149"/>
        <item x="547"/>
        <item x="41"/>
        <item x="161"/>
        <item x="387"/>
        <item x="778"/>
        <item x="772"/>
        <item x="949"/>
        <item x="895"/>
        <item x="11"/>
        <item x="606"/>
        <item x="984"/>
        <item x="179"/>
        <item x="865"/>
        <item x="274"/>
        <item x="925"/>
        <item x="298"/>
        <item x="812"/>
        <item x="393"/>
        <item x="535"/>
        <item x="244"/>
        <item x="191"/>
        <item x="429"/>
        <item x="666"/>
        <item x="95"/>
        <item x="357"/>
        <item x="71"/>
        <item x="859"/>
        <item x="220"/>
        <item x="417"/>
        <item x="101"/>
        <item x="125"/>
        <item x="748"/>
        <item x="871"/>
        <item x="477"/>
        <item x="459"/>
        <item x="280"/>
        <item x="447"/>
        <item x="654"/>
        <item x="29"/>
        <item x="209"/>
        <item x="725"/>
        <item x="488"/>
        <item x="119"/>
        <item x="238"/>
        <item x="328"/>
        <item x="369"/>
        <item x="784"/>
        <item x="483"/>
        <item x="713"/>
        <item x="506"/>
        <item x="836"/>
        <item x="423"/>
        <item x="399"/>
        <item x="955"/>
        <item x="131"/>
        <item x="979"/>
        <item x="363"/>
        <item x="453"/>
        <item x="571"/>
        <item x="624"/>
        <item x="583"/>
        <item x="524"/>
        <item x="197"/>
        <item x="736"/>
        <item x="559"/>
        <item x="17"/>
        <item x="589"/>
        <item x="316"/>
        <item x="23"/>
        <item x="465"/>
        <item x="232"/>
        <item x="137"/>
        <item x="877"/>
        <item x="642"/>
        <item x="173"/>
        <item x="701"/>
        <item x="351"/>
        <item x="143"/>
        <item x="375"/>
        <item x="648"/>
        <item x="53"/>
        <item x="730"/>
        <item x="818"/>
        <item x="435"/>
        <item x="345"/>
        <item x="411"/>
        <item x="471"/>
        <item x="553"/>
        <item x="913"/>
        <item x="796"/>
        <item x="500"/>
        <item x="47"/>
        <item x="707"/>
        <item x="766"/>
        <item x="612"/>
        <item x="448"/>
        <item x="292"/>
        <item x="883"/>
        <item x="853"/>
        <item x="113"/>
        <item x="262"/>
        <item x="950"/>
        <item x="441"/>
        <item x="358"/>
        <item x="180"/>
        <item x="203"/>
        <item x="30"/>
        <item x="494"/>
        <item x="418"/>
        <item x="83"/>
        <item x="322"/>
        <item x="167"/>
        <item x="478"/>
        <item x="36"/>
        <item x="90"/>
        <item x="631"/>
        <item x="529"/>
        <item x="128"/>
        <item x="760"/>
        <item x="107"/>
        <item x="790"/>
        <item x="943"/>
        <item x="77"/>
        <item x="967"/>
        <item x="672"/>
        <item x="226"/>
        <item x="365"/>
        <item x="618"/>
        <item x="802"/>
        <item x="508"/>
        <item x="907"/>
        <item x="120"/>
        <item x="957"/>
        <item x="537"/>
        <item x="405"/>
        <item x="329"/>
        <item x="831"/>
        <item x="256"/>
        <item x="210"/>
        <item x="951"/>
        <item x="381"/>
        <item x="956"/>
        <item x="937"/>
        <item x="276"/>
        <item x="609"/>
        <item x="364"/>
        <item x="627"/>
        <item x="890"/>
        <item x="807"/>
        <item x="239"/>
        <item x="809"/>
        <item x="824"/>
        <item x="286"/>
        <item x="334"/>
        <item x="216"/>
        <item x="313"/>
        <item x="597"/>
        <item x="31"/>
        <item x="127"/>
        <item x="217"/>
        <item x="419"/>
        <item x="156"/>
        <item x="602"/>
        <item x="96"/>
        <item x="14"/>
        <item x="656"/>
        <item x="837"/>
        <item x="335"/>
        <item x="306"/>
        <item x="973"/>
        <item x="389"/>
        <item x="215"/>
        <item x="396"/>
        <item x="626"/>
        <item x="832"/>
        <item x="691"/>
        <item x="269"/>
        <item x="275"/>
        <item x="684"/>
        <item x="773"/>
        <item x="567"/>
        <item x="860"/>
        <item x="455"/>
        <item x="985"/>
        <item x="986"/>
        <item x="181"/>
        <item x="507"/>
        <item x="987"/>
        <item x="299"/>
        <item x="632"/>
        <item x="521"/>
        <item x="485"/>
        <item x="330"/>
        <item x="750"/>
        <item x="450"/>
        <item x="513"/>
        <item x="662"/>
        <item x="151"/>
        <item x="425"/>
        <item x="150"/>
        <item x="655"/>
        <item x="121"/>
        <item x="896"/>
        <item x="1"/>
        <item x="720"/>
        <item x="6"/>
        <item x="187"/>
        <item x="897"/>
        <item x="8"/>
        <item x="572"/>
        <item x="921"/>
        <item x="223"/>
        <item x="891"/>
        <item x="7"/>
        <item x="253"/>
        <item x="866"/>
        <item x="867"/>
        <item x="580"/>
        <item x="544"/>
        <item x="920"/>
        <item x="550"/>
        <item x="845"/>
        <item x="211"/>
        <item x="164"/>
        <item x="934"/>
        <item x="97"/>
        <item x="245"/>
        <item x="122"/>
        <item x="432"/>
        <item x="491"/>
        <item x="0"/>
        <item x="37"/>
        <item x="182"/>
        <item x="716"/>
        <item x="66"/>
        <item x="420"/>
        <item x="2"/>
        <item x="922"/>
        <item x="751"/>
        <item x="60"/>
        <item x="749"/>
        <item x="625"/>
        <item x="980"/>
        <item x="186"/>
        <item x="714"/>
        <item x="981"/>
        <item x="359"/>
        <item x="952"/>
        <item x="104"/>
        <item x="808"/>
        <item x="657"/>
        <item x="67"/>
        <item x="874"/>
        <item x="779"/>
        <item x="573"/>
        <item x="663"/>
        <item x="898"/>
        <item x="661"/>
        <item x="838"/>
        <item x="509"/>
        <item x="158"/>
        <item x="388"/>
        <item x="342"/>
        <item x="38"/>
        <item x="566"/>
        <item x="92"/>
        <item x="283"/>
        <item x="536"/>
        <item x="91"/>
        <item x="927"/>
        <item x="743"/>
        <item x="424"/>
        <item x="744"/>
        <item x="188"/>
        <item x="240"/>
        <item x="514"/>
        <item x="157"/>
        <item x="395"/>
        <item x="74"/>
        <item x="815"/>
        <item x="964"/>
        <item x="305"/>
        <item x="775"/>
        <item x="61"/>
        <item x="247"/>
        <item x="833"/>
        <item x="596"/>
        <item x="690"/>
        <item x="757"/>
        <item x="372"/>
        <item x="633"/>
        <item x="598"/>
        <item x="394"/>
        <item x="489"/>
        <item x="904"/>
        <item x="480"/>
        <item x="138"/>
        <item x="123"/>
        <item x="819"/>
        <item x="774"/>
        <item x="926"/>
        <item x="134"/>
        <item x="377"/>
        <item x="367"/>
        <item x="542"/>
        <item x="126"/>
        <item x="603"/>
        <item x="301"/>
        <item x="456"/>
        <item x="958"/>
        <item x="639"/>
        <item x="685"/>
        <item x="437"/>
        <item x="543"/>
        <item x="484"/>
        <item x="331"/>
        <item x="715"/>
        <item x="530"/>
        <item x="129"/>
        <item x="515"/>
        <item x="581"/>
        <item x="462"/>
        <item x="241"/>
        <item x="745"/>
        <item x="868"/>
        <item x="968"/>
        <item x="752"/>
        <item x="222"/>
        <item x="804"/>
        <item x="495"/>
        <item x="277"/>
        <item x="574"/>
        <item x="938"/>
        <item x="55"/>
        <item x="336"/>
        <item x="803"/>
        <item x="787"/>
        <item x="69"/>
        <item x="781"/>
        <item x="12"/>
        <item x="454"/>
        <item x="307"/>
        <item x="761"/>
        <item x="929"/>
        <item x="861"/>
        <item x="451"/>
        <item x="25"/>
        <item x="692"/>
        <item x="3"/>
        <item x="479"/>
        <item x="300"/>
        <item x="366"/>
        <item x="939"/>
        <item x="42"/>
        <item x="721"/>
        <item x="928"/>
        <item x="62"/>
        <item x="780"/>
        <item x="674"/>
        <item x="352"/>
        <item x="246"/>
        <item x="910"/>
        <item x="390"/>
        <item x="233"/>
        <item x="270"/>
        <item x="194"/>
        <item x="492"/>
        <item x="825"/>
        <item x="449"/>
        <item x="426"/>
        <item x="360"/>
        <item x="634"/>
        <item x="668"/>
        <item x="669"/>
        <item x="731"/>
        <item x="68"/>
        <item x="139"/>
        <item x="727"/>
        <item x="383"/>
        <item x="568"/>
        <item x="686"/>
        <item x="442"/>
        <item x="965"/>
        <item x="32"/>
        <item x="538"/>
        <item x="402"/>
        <item x="212"/>
        <item x="436"/>
        <item x="892"/>
        <item x="699"/>
        <item x="698"/>
        <item x="839"/>
        <item x="152"/>
        <item x="974"/>
        <item x="474"/>
        <item x="908"/>
        <item x="79"/>
        <item x="862"/>
        <item x="192"/>
        <item x="263"/>
        <item x="959"/>
        <item x="953"/>
        <item x="591"/>
        <item x="204"/>
        <item x="457"/>
        <item x="248"/>
        <item x="545"/>
        <item x="704"/>
        <item x="318"/>
        <item x="311"/>
        <item x="397"/>
        <item x="756"/>
        <item x="893"/>
        <item x="863"/>
        <item x="873"/>
        <item x="673"/>
        <item x="848"/>
        <item x="737"/>
        <item x="234"/>
        <item x="407"/>
        <item x="728"/>
        <item x="98"/>
        <item x="976"/>
        <item x="658"/>
        <item x="510"/>
        <item x="271"/>
        <item x="93"/>
        <item x="159"/>
        <item x="708"/>
        <item x="15"/>
        <item x="189"/>
        <item x="792"/>
        <item x="988"/>
        <item x="539"/>
        <item x="604"/>
        <item x="628"/>
        <item x="227"/>
        <item x="854"/>
        <item x="944"/>
        <item x="522"/>
        <item x="44"/>
        <item x="24"/>
        <item x="909"/>
        <item x="461"/>
        <item x="878"/>
        <item x="146"/>
        <item x="899"/>
        <item x="675"/>
        <item x="413"/>
        <item x="361"/>
        <item x="84"/>
        <item x="284"/>
        <item x="102"/>
        <item x="816"/>
        <item x="785"/>
        <item x="746"/>
        <item x="193"/>
        <item x="75"/>
        <item x="265"/>
        <item x="693"/>
        <item x="116"/>
        <item x="885"/>
        <item x="144"/>
        <item x="13"/>
        <item x="384"/>
        <item x="717"/>
        <item x="288"/>
        <item x="903"/>
        <item x="664"/>
        <item x="170"/>
        <item x="501"/>
        <item x="323"/>
        <item x="578"/>
        <item x="289"/>
        <item x="755"/>
        <item x="687"/>
        <item x="799"/>
        <item x="337"/>
        <item x="813"/>
        <item x="468"/>
        <item x="370"/>
        <item x="460"/>
        <item x="132"/>
        <item x="797"/>
        <item x="722"/>
        <item x="710"/>
        <item x="826"/>
        <item x="554"/>
        <item x="982"/>
        <item x="473"/>
        <item x="443"/>
        <item x="703"/>
        <item x="697"/>
        <item x="254"/>
        <item x="490"/>
        <item x="560"/>
        <item x="679"/>
        <item x="317"/>
        <item x="607"/>
        <item x="312"/>
        <item x="620"/>
        <item x="258"/>
        <item x="72"/>
        <item x="293"/>
        <item x="56"/>
        <item x="242"/>
        <item x="421"/>
        <item x="758"/>
        <item x="400"/>
        <item x="637"/>
        <item x="371"/>
        <item x="162"/>
        <item x="259"/>
        <item x="224"/>
        <item x="340"/>
        <item x="805"/>
        <item x="872"/>
        <item x="26"/>
        <item x="314"/>
        <item x="324"/>
        <item x="855"/>
        <item x="551"/>
        <item x="846"/>
        <item x="678"/>
        <item x="382"/>
        <item x="109"/>
        <item x="73"/>
        <item x="99"/>
        <item x="585"/>
        <item x="884"/>
        <item x="39"/>
        <item x="332"/>
        <item x="769"/>
        <item x="343"/>
        <item x="48"/>
        <item x="738"/>
        <item x="281"/>
        <item x="438"/>
        <item x="584"/>
        <item x="869"/>
        <item x="353"/>
        <item x="762"/>
        <item x="519"/>
        <item x="569"/>
        <item x="834"/>
        <item x="850"/>
        <item x="843"/>
        <item x="610"/>
        <item x="880"/>
        <item x="33"/>
        <item x="768"/>
        <item x="791"/>
        <item x="726"/>
        <item x="935"/>
        <item x="168"/>
        <item x="649"/>
        <item x="218"/>
        <item x="782"/>
        <item x="723"/>
        <item x="592"/>
        <item x="962"/>
        <item x="229"/>
        <item x="19"/>
        <item x="548"/>
        <item x="115"/>
        <item x="827"/>
        <item x="9"/>
        <item x="680"/>
        <item x="163"/>
        <item x="433"/>
        <item x="412"/>
        <item x="496"/>
        <item x="347"/>
        <item x="590"/>
        <item x="613"/>
        <item x="169"/>
        <item x="556"/>
        <item x="105"/>
        <item x="235"/>
        <item x="446"/>
        <item x="135"/>
        <item x="376"/>
        <item x="174"/>
        <item x="472"/>
        <item x="406"/>
        <item x="391"/>
        <item x="221"/>
        <item x="644"/>
        <item x="525"/>
        <item x="264"/>
        <item x="302"/>
        <item x="932"/>
        <item x="923"/>
        <item x="341"/>
        <item x="670"/>
        <item x="914"/>
        <item x="45"/>
        <item x="409"/>
        <item x="213"/>
        <item x="640"/>
        <item x="463"/>
        <item x="875"/>
        <item x="798"/>
        <item x="575"/>
        <item x="257"/>
        <item x="110"/>
        <item x="54"/>
        <item x="287"/>
        <item x="963"/>
        <item x="114"/>
        <item x="555"/>
        <item x="696"/>
        <item x="651"/>
        <item x="325"/>
        <item x="198"/>
        <item x="184"/>
        <item x="915"/>
        <item x="219"/>
        <item x="49"/>
        <item x="767"/>
        <item x="879"/>
        <item x="753"/>
        <item x="308"/>
        <item x="403"/>
        <item x="228"/>
        <item x="814"/>
        <item x="520"/>
        <item x="969"/>
        <item x="348"/>
        <item x="183"/>
        <item x="946"/>
        <item x="579"/>
        <item x="295"/>
        <item x="793"/>
        <item x="63"/>
        <item x="940"/>
        <item x="886"/>
        <item x="933"/>
        <item x="430"/>
        <item x="145"/>
        <item x="466"/>
        <item x="50"/>
        <item x="108"/>
        <item x="739"/>
        <item x="667"/>
        <item x="549"/>
        <item x="902"/>
        <item x="140"/>
        <item x="431"/>
        <item x="821"/>
        <item x="175"/>
        <item x="975"/>
        <item x="165"/>
        <item x="176"/>
        <item x="650"/>
        <item x="599"/>
        <item x="945"/>
        <item x="788"/>
        <item x="619"/>
        <item x="414"/>
        <item x="643"/>
        <item x="828"/>
        <item x="124"/>
        <item x="532"/>
        <item x="709"/>
        <item x="467"/>
        <item x="771"/>
        <item x="80"/>
        <item x="427"/>
        <item x="294"/>
        <item x="849"/>
        <item x="428"/>
        <item x="401"/>
        <item x="272"/>
        <item x="740"/>
        <item x="586"/>
        <item x="858"/>
        <item x="905"/>
        <item x="881"/>
        <item x="810"/>
        <item x="282"/>
        <item x="800"/>
        <item x="486"/>
        <item x="205"/>
        <item x="303"/>
        <item x="373"/>
        <item x="133"/>
        <item x="482"/>
        <item x="702"/>
        <item x="153"/>
        <item x="635"/>
        <item x="199"/>
        <item x="844"/>
        <item x="200"/>
        <item x="349"/>
        <item x="516"/>
        <item x="278"/>
        <item x="195"/>
        <item x="481"/>
        <item x="51"/>
        <item x="531"/>
        <item x="34"/>
        <item x="78"/>
        <item x="665"/>
        <item x="20"/>
        <item x="10"/>
        <item x="502"/>
        <item x="18"/>
        <item x="354"/>
        <item x="475"/>
        <item x="251"/>
        <item x="103"/>
        <item x="856"/>
        <item x="562"/>
        <item x="776"/>
        <item x="561"/>
        <item x="497"/>
        <item x="777"/>
        <item x="608"/>
        <item x="252"/>
        <item x="346"/>
        <item x="916"/>
        <item x="85"/>
        <item x="741"/>
        <item x="764"/>
        <item x="840"/>
        <item x="732"/>
        <item x="947"/>
        <item x="540"/>
        <item x="593"/>
        <item x="503"/>
        <item x="117"/>
        <item x="333"/>
        <item x="622"/>
        <item x="676"/>
        <item x="368"/>
        <item x="398"/>
        <item x="444"/>
        <item x="820"/>
        <item x="86"/>
        <item x="43"/>
        <item x="81"/>
        <item x="653"/>
        <item x="416"/>
        <item x="141"/>
        <item x="786"/>
        <item x="27"/>
        <item x="439"/>
        <item x="794"/>
        <item x="273"/>
        <item x="614"/>
        <item x="970"/>
        <item x="469"/>
        <item x="378"/>
        <item x="645"/>
        <item x="237"/>
        <item x="711"/>
        <item x="621"/>
        <item x="392"/>
        <item x="712"/>
        <item x="201"/>
        <item x="763"/>
        <item x="564"/>
        <item x="887"/>
        <item x="362"/>
        <item x="638"/>
        <item x="214"/>
        <item x="208"/>
        <item x="971"/>
        <item x="733"/>
        <item x="977"/>
        <item x="505"/>
        <item x="415"/>
        <item x="177"/>
        <item x="900"/>
        <item x="408"/>
        <item x="948"/>
        <item x="734"/>
        <item x="452"/>
        <item x="21"/>
        <item x="864"/>
        <item x="930"/>
        <item x="594"/>
        <item x="319"/>
        <item x="487"/>
        <item x="40"/>
        <item x="587"/>
        <item x="290"/>
        <item x="178"/>
        <item x="527"/>
        <item x="682"/>
        <item x="206"/>
        <item x="978"/>
        <item x="526"/>
        <item x="58"/>
        <item x="615"/>
        <item x="911"/>
        <item x="422"/>
        <item x="476"/>
        <item x="954"/>
        <item x="705"/>
        <item x="941"/>
        <item x="851"/>
        <item x="118"/>
        <item x="64"/>
        <item x="888"/>
        <item x="57"/>
        <item x="917"/>
        <item x="811"/>
        <item x="783"/>
        <item x="88"/>
        <item x="870"/>
        <item x="379"/>
        <item x="822"/>
        <item x="659"/>
        <item x="100"/>
        <item x="355"/>
        <item x="338"/>
        <item x="806"/>
        <item x="249"/>
        <item x="646"/>
        <item x="616"/>
        <item x="576"/>
        <item x="148"/>
        <item x="94"/>
        <item x="605"/>
        <item x="835"/>
        <item x="504"/>
        <item x="546"/>
        <item x="801"/>
        <item x="171"/>
        <item x="230"/>
        <item x="629"/>
        <item x="87"/>
        <item x="498"/>
        <item x="111"/>
        <item x="983"/>
        <item x="841"/>
        <item x="190"/>
        <item x="924"/>
        <item x="147"/>
        <item x="647"/>
        <item x="600"/>
        <item x="894"/>
        <item x="445"/>
        <item x="681"/>
        <item x="160"/>
        <item x="517"/>
        <item x="857"/>
        <item x="747"/>
        <item x="260"/>
        <item x="557"/>
        <item x="694"/>
        <item x="28"/>
        <item x="279"/>
        <item x="385"/>
        <item x="236"/>
        <item x="154"/>
        <item x="652"/>
        <item x="327"/>
        <item x="534"/>
        <item x="207"/>
        <item x="724"/>
        <item x="458"/>
        <item x="563"/>
        <item x="718"/>
        <item x="918"/>
        <item x="297"/>
        <item x="770"/>
        <item x="320"/>
        <item x="70"/>
        <item x="386"/>
        <item x="243"/>
        <item x="130"/>
        <item x="356"/>
        <item x="326"/>
        <item x="82"/>
        <item x="876"/>
        <item x="255"/>
        <item x="196"/>
        <item x="623"/>
        <item x="440"/>
        <item x="570"/>
        <item x="266"/>
        <item x="202"/>
        <item x="4"/>
        <item x="829"/>
        <item x="960"/>
        <item x="267"/>
        <item x="285"/>
        <item x="688"/>
        <item x="344"/>
        <item x="511"/>
        <item x="309"/>
        <item x="499"/>
        <item x="533"/>
        <item x="942"/>
        <item x="611"/>
        <item x="464"/>
        <item x="296"/>
        <item x="906"/>
        <item x="16"/>
        <item x="706"/>
        <item x="735"/>
        <item x="700"/>
        <item x="493"/>
        <item x="852"/>
        <item x="823"/>
        <item x="142"/>
        <item x="882"/>
        <item x="350"/>
        <item x="729"/>
        <item x="434"/>
        <item x="261"/>
        <item x="523"/>
        <item x="641"/>
        <item x="380"/>
        <item x="136"/>
        <item x="410"/>
        <item x="315"/>
        <item x="52"/>
        <item x="291"/>
        <item x="106"/>
        <item x="847"/>
        <item x="321"/>
        <item x="582"/>
        <item x="76"/>
        <item x="404"/>
        <item x="552"/>
        <item x="588"/>
        <item x="817"/>
        <item x="966"/>
        <item x="231"/>
        <item x="46"/>
        <item x="972"/>
        <item x="22"/>
        <item x="374"/>
        <item x="789"/>
        <item x="677"/>
        <item x="765"/>
        <item x="470"/>
        <item x="617"/>
        <item x="936"/>
        <item x="759"/>
        <item x="112"/>
        <item x="528"/>
        <item x="795"/>
        <item x="172"/>
        <item x="912"/>
        <item x="166"/>
        <item x="558"/>
        <item x="225"/>
        <item x="671"/>
        <item t="default"/>
      </items>
    </pivotField>
    <pivotField compact="0" showAll="0">
      <items count="1001">
        <item x="703"/>
        <item x="263"/>
        <item x="293"/>
        <item x="713"/>
        <item x="415"/>
        <item x="113"/>
        <item x="173"/>
        <item x="317"/>
        <item x="647"/>
        <item x="919"/>
        <item x="763"/>
        <item x="443"/>
        <item x="707"/>
        <item x="17"/>
        <item x="23"/>
        <item x="289"/>
        <item x="389"/>
        <item x="13"/>
        <item x="593"/>
        <item x="11"/>
        <item x="373"/>
        <item x="473"/>
        <item x="233"/>
        <item x="857"/>
        <item x="941"/>
        <item x="527"/>
        <item x="89"/>
        <item x="215"/>
        <item x="887"/>
        <item x="161"/>
        <item x="587"/>
        <item x="197"/>
        <item x="191"/>
        <item x="463"/>
        <item x="341"/>
        <item x="107"/>
        <item x="821"/>
        <item x="185"/>
        <item x="911"/>
        <item x="899"/>
        <item x="761"/>
        <item x="235"/>
        <item x="275"/>
        <item x="863"/>
        <item x="137"/>
        <item x="143"/>
        <item x="503"/>
        <item x="743"/>
        <item x="839"/>
        <item x="947"/>
        <item x="803"/>
        <item x="101"/>
        <item x="773"/>
        <item x="221"/>
        <item x="563"/>
        <item x="767"/>
        <item x="84"/>
        <item x="797"/>
        <item x="479"/>
        <item x="132"/>
        <item x="558"/>
        <item x="395"/>
        <item x="438"/>
        <item x="311"/>
        <item x="875"/>
        <item x="893"/>
        <item x="569"/>
        <item x="737"/>
        <item x="257"/>
        <item x="641"/>
        <item x="359"/>
        <item x="815"/>
        <item x="407"/>
        <item x="203"/>
        <item x="714"/>
        <item x="419"/>
        <item x="869"/>
        <item x="557"/>
        <item x="971"/>
        <item x="953"/>
        <item x="269"/>
        <item x="383"/>
        <item x="977"/>
        <item x="665"/>
        <item x="881"/>
        <item x="227"/>
        <item x="895"/>
        <item x="689"/>
        <item x="623"/>
        <item x="29"/>
        <item x="539"/>
        <item x="335"/>
        <item x="59"/>
        <item x="779"/>
        <item x="935"/>
        <item x="905"/>
        <item x="239"/>
        <item x="617"/>
        <item x="659"/>
        <item x="431"/>
        <item x="377"/>
        <item x="167"/>
        <item x="851"/>
        <item x="323"/>
        <item x="653"/>
        <item x="599"/>
        <item x="65"/>
        <item x="401"/>
        <item x="995"/>
        <item x="492"/>
        <item x="305"/>
        <item x="5"/>
        <item x="467"/>
        <item x="228"/>
        <item x="230"/>
        <item x="732"/>
        <item x="917"/>
        <item x="984"/>
        <item x="521"/>
        <item x="497"/>
        <item x="287"/>
        <item x="437"/>
        <item x="768"/>
        <item x="581"/>
        <item x="95"/>
        <item x="125"/>
        <item x="179"/>
        <item x="677"/>
        <item x="755"/>
        <item x="683"/>
        <item x="833"/>
        <item x="281"/>
        <item x="923"/>
        <item x="455"/>
        <item x="439"/>
        <item x="983"/>
        <item x="47"/>
        <item x="533"/>
        <item x="510"/>
        <item x="978"/>
        <item x="155"/>
        <item x="929"/>
        <item x="959"/>
        <item x="690"/>
        <item x="673"/>
        <item x="425"/>
        <item x="329"/>
        <item x="534"/>
        <item x="809"/>
        <item x="491"/>
        <item x="77"/>
        <item x="42"/>
        <item x="102"/>
        <item x="72"/>
        <item x="605"/>
        <item x="498"/>
        <item x="827"/>
        <item x="372"/>
        <item x="965"/>
        <item x="347"/>
        <item x="545"/>
        <item x="119"/>
        <item x="319"/>
        <item x="791"/>
        <item x="299"/>
        <item x="413"/>
        <item x="30"/>
        <item x="83"/>
        <item x="528"/>
        <item x="353"/>
        <item x="336"/>
        <item x="845"/>
        <item x="276"/>
        <item x="149"/>
        <item x="209"/>
        <item x="582"/>
        <item x="710"/>
        <item x="695"/>
        <item x="360"/>
        <item x="551"/>
        <item x="485"/>
        <item x="371"/>
        <item x="989"/>
        <item x="138"/>
        <item x="671"/>
        <item x="139"/>
        <item x="365"/>
        <item x="53"/>
        <item x="635"/>
        <item x="986"/>
        <item x="731"/>
        <item x="384"/>
        <item x="379"/>
        <item x="701"/>
        <item x="259"/>
        <item x="961"/>
        <item x="131"/>
        <item x="120"/>
        <item x="245"/>
        <item x="73"/>
        <item x="260"/>
        <item x="251"/>
        <item x="515"/>
        <item x="725"/>
        <item x="629"/>
        <item x="509"/>
        <item x="749"/>
        <item x="575"/>
        <item x="35"/>
        <item x="71"/>
        <item x="611"/>
        <item x="719"/>
        <item x="631"/>
        <item x="449"/>
        <item x="612"/>
        <item x="461"/>
        <item x="421"/>
        <item x="180"/>
        <item x="96"/>
        <item x="270"/>
        <item x="792"/>
        <item x="822"/>
        <item x="828"/>
        <item x="182"/>
        <item x="90"/>
        <item x="836"/>
        <item x="858"/>
        <item x="170"/>
        <item x="834"/>
        <item x="589"/>
        <item x="41"/>
        <item x="769"/>
        <item x="223"/>
        <item x="661"/>
        <item x="785"/>
        <item x="354"/>
        <item x="932"/>
        <item x="266"/>
        <item x="642"/>
        <item x="277"/>
        <item x="222"/>
        <item x="488"/>
        <item x="55"/>
        <item x="444"/>
        <item x="896"/>
        <item x="901"/>
        <item x="204"/>
        <item x="996"/>
        <item x="408"/>
        <item x="762"/>
        <item x="810"/>
        <item x="799"/>
        <item x="606"/>
        <item x="146"/>
        <item x="229"/>
        <item x="780"/>
        <item x="564"/>
        <item x="948"/>
        <item x="79"/>
        <item x="660"/>
        <item x="906"/>
        <item x="115"/>
        <item x="175"/>
        <item x="474"/>
        <item x="434"/>
        <item x="841"/>
        <item x="806"/>
        <item x="193"/>
        <item x="907"/>
        <item x="25"/>
        <item x="331"/>
        <item x="949"/>
        <item x="830"/>
        <item x="816"/>
        <item x="716"/>
        <item x="632"/>
        <item x="290"/>
        <item x="738"/>
        <item x="140"/>
        <item x="476"/>
        <item x="300"/>
        <item x="450"/>
        <item x="330"/>
        <item x="559"/>
        <item x="12"/>
        <item x="217"/>
        <item x="888"/>
        <item x="312"/>
        <item x="744"/>
        <item x="883"/>
        <item x="282"/>
        <item x="979"/>
        <item x="522"/>
        <item x="960"/>
        <item x="511"/>
        <item x="378"/>
        <item x="427"/>
        <item x="774"/>
        <item x="37"/>
        <item x="234"/>
        <item x="894"/>
        <item x="954"/>
        <item x="614"/>
        <item x="324"/>
        <item x="823"/>
        <item x="973"/>
        <item x="355"/>
        <item x="192"/>
        <item x="1"/>
        <item x="114"/>
        <item x="218"/>
        <item x="776"/>
        <item x="920"/>
        <item x="181"/>
        <item x="470"/>
        <item x="24"/>
        <item x="420"/>
        <item x="121"/>
        <item x="601"/>
        <item x="128"/>
        <item x="504"/>
        <item x="480"/>
        <item x="349"/>
        <item x="571"/>
        <item x="804"/>
        <item x="409"/>
        <item x="595"/>
        <item x="882"/>
        <item x="679"/>
        <item x="342"/>
        <item x="110"/>
        <item x="109"/>
        <item x="942"/>
        <item x="0"/>
        <item x="264"/>
        <item x="36"/>
        <item x="930"/>
        <item x="31"/>
        <item x="416"/>
        <item x="158"/>
        <item x="452"/>
        <item x="294"/>
        <item x="307"/>
        <item x="672"/>
        <item x="962"/>
        <item x="14"/>
        <item x="654"/>
        <item x="967"/>
        <item x="210"/>
        <item x="702"/>
        <item x="943"/>
        <item x="877"/>
        <item x="457"/>
        <item x="913"/>
        <item x="48"/>
        <item x="524"/>
        <item x="108"/>
        <item x="385"/>
        <item x="216"/>
        <item x="325"/>
        <item x="398"/>
        <item x="846"/>
        <item x="493"/>
        <item x="536"/>
        <item x="576"/>
        <item x="168"/>
        <item x="624"/>
        <item x="367"/>
        <item x="344"/>
        <item x="636"/>
        <item x="697"/>
        <item x="997"/>
        <item x="386"/>
        <item x="296"/>
        <item x="852"/>
        <item x="122"/>
        <item x="433"/>
        <item x="402"/>
        <item x="403"/>
        <item x="541"/>
        <item x="786"/>
        <item x="78"/>
        <item x="529"/>
        <item x="583"/>
        <item x="432"/>
        <item x="668"/>
        <item x="972"/>
        <item x="314"/>
        <item x="607"/>
        <item x="733"/>
        <item x="840"/>
        <item x="391"/>
        <item x="686"/>
        <item x="876"/>
        <item x="487"/>
        <item x="462"/>
        <item x="211"/>
        <item x="174"/>
        <item x="974"/>
        <item x="91"/>
        <item x="80"/>
        <item x="133"/>
        <item x="366"/>
        <item x="865"/>
        <item x="26"/>
        <item x="918"/>
        <item x="313"/>
        <item x="127"/>
        <item x="74"/>
        <item x="252"/>
        <item x="224"/>
        <item x="150"/>
        <item x="38"/>
        <item x="912"/>
        <item x="54"/>
        <item x="554"/>
        <item x="361"/>
        <item x="758"/>
        <item x="708"/>
        <item x="66"/>
        <item x="750"/>
        <item x="860"/>
        <item x="870"/>
        <item x="116"/>
        <item x="678"/>
        <item x="854"/>
        <item x="764"/>
        <item x="818"/>
        <item x="253"/>
        <item x="144"/>
        <item x="157"/>
        <item x="258"/>
        <item x="835"/>
        <item x="337"/>
        <item x="548"/>
        <item x="326"/>
        <item x="618"/>
        <item x="56"/>
        <item x="966"/>
        <item x="866"/>
        <item x="560"/>
        <item x="156"/>
        <item x="900"/>
        <item x="648"/>
        <item x="240"/>
        <item x="200"/>
        <item x="468"/>
        <item x="666"/>
        <item x="61"/>
        <item x="506"/>
        <item x="176"/>
        <item x="414"/>
        <item x="540"/>
        <item x="570"/>
        <item x="482"/>
        <item x="284"/>
        <item x="356"/>
        <item x="655"/>
        <item x="348"/>
        <item x="696"/>
        <item x="302"/>
        <item x="18"/>
        <item x="552"/>
        <item x="475"/>
        <item x="318"/>
        <item x="254"/>
        <item x="649"/>
        <item x="637"/>
        <item x="715"/>
        <item x="926"/>
        <item x="625"/>
        <item x="745"/>
        <item x="553"/>
        <item x="931"/>
        <item x="720"/>
        <item x="445"/>
        <item x="19"/>
        <item x="842"/>
        <item x="6"/>
        <item x="512"/>
        <item x="97"/>
        <item x="350"/>
        <item x="680"/>
        <item x="198"/>
        <item x="169"/>
        <item x="794"/>
        <item x="546"/>
        <item x="853"/>
        <item x="422"/>
        <item x="924"/>
        <item x="187"/>
        <item x="469"/>
        <item x="685"/>
        <item x="163"/>
        <item x="824"/>
        <item x="925"/>
        <item x="535"/>
        <item x="630"/>
        <item x="864"/>
        <item x="596"/>
        <item x="440"/>
        <item x="662"/>
        <item x="691"/>
        <item x="812"/>
        <item x="50"/>
        <item x="145"/>
        <item x="684"/>
        <item x="306"/>
        <item x="577"/>
        <item x="288"/>
        <item x="757"/>
        <item x="104"/>
        <item x="936"/>
        <item x="380"/>
        <item x="67"/>
        <item x="752"/>
        <item x="588"/>
        <item x="859"/>
        <item x="278"/>
        <item x="798"/>
        <item x="392"/>
        <item x="955"/>
        <item x="295"/>
        <item x="499"/>
        <item x="481"/>
        <item x="594"/>
        <item x="613"/>
        <item x="626"/>
        <item x="151"/>
        <item x="992"/>
        <item x="523"/>
        <item x="456"/>
        <item x="390"/>
        <item x="829"/>
        <item x="486"/>
        <item x="162"/>
        <item x="751"/>
        <item x="756"/>
        <item x="186"/>
        <item x="721"/>
        <item x="608"/>
        <item x="301"/>
        <item x="739"/>
        <item x="619"/>
        <item x="968"/>
        <item x="793"/>
        <item x="746"/>
        <item x="134"/>
        <item x="726"/>
        <item x="60"/>
        <item x="247"/>
        <item x="43"/>
        <item x="990"/>
        <item x="998"/>
        <item x="667"/>
        <item x="956"/>
        <item x="938"/>
        <item x="709"/>
        <item x="126"/>
        <item x="500"/>
        <item x="937"/>
        <item x="985"/>
        <item x="246"/>
        <item x="584"/>
        <item x="643"/>
        <item x="346"/>
        <item x="446"/>
        <item x="987"/>
        <item x="775"/>
        <item x="241"/>
        <item x="249"/>
        <item x="600"/>
        <item x="283"/>
        <item x="464"/>
        <item x="516"/>
        <item x="565"/>
        <item x="627"/>
        <item x="451"/>
        <item x="902"/>
        <item x="92"/>
        <item x="847"/>
        <item x="164"/>
        <item x="787"/>
        <item x="205"/>
        <item x="426"/>
        <item x="890"/>
        <item x="397"/>
        <item x="650"/>
        <item x="781"/>
        <item x="811"/>
        <item x="466"/>
        <item x="49"/>
        <item x="770"/>
        <item x="817"/>
        <item x="734"/>
        <item x="502"/>
        <item x="410"/>
        <item x="103"/>
        <item x="286"/>
        <item x="199"/>
        <item x="884"/>
        <item x="396"/>
        <item x="663"/>
        <item x="698"/>
        <item x="950"/>
        <item x="848"/>
        <item x="652"/>
        <item x="494"/>
        <item x="566"/>
        <item x="891"/>
        <item x="505"/>
        <item x="736"/>
        <item x="944"/>
        <item x="265"/>
        <item x="16"/>
        <item x="188"/>
        <item x="32"/>
        <item x="633"/>
        <item x="271"/>
        <item x="411"/>
        <item x="242"/>
        <item x="8"/>
        <item x="381"/>
        <item x="417"/>
        <item x="338"/>
        <item x="800"/>
        <item x="316"/>
        <item x="602"/>
        <item x="889"/>
        <item x="620"/>
        <item x="404"/>
        <item x="85"/>
        <item x="722"/>
        <item x="343"/>
        <item x="7"/>
        <item x="723"/>
        <item x="152"/>
        <item x="320"/>
        <item x="368"/>
        <item x="656"/>
        <item x="590"/>
        <item x="597"/>
        <item x="351"/>
        <item x="547"/>
        <item x="704"/>
        <item x="909"/>
        <item x="727"/>
        <item x="517"/>
        <item x="530"/>
        <item x="805"/>
        <item x="740"/>
        <item x="871"/>
        <item x="705"/>
        <item x="206"/>
        <item x="578"/>
        <item x="202"/>
        <item x="428"/>
        <item x="236"/>
        <item x="572"/>
        <item x="98"/>
        <item x="980"/>
        <item x="878"/>
        <item x="742"/>
        <item x="201"/>
        <item x="256"/>
        <item x="692"/>
        <item x="76"/>
        <item x="2"/>
        <item x="957"/>
        <item x="908"/>
        <item x="991"/>
        <item x="272"/>
        <item x="82"/>
        <item x="194"/>
        <item x="20"/>
        <item x="136"/>
        <item x="807"/>
        <item x="44"/>
        <item x="86"/>
        <item x="616"/>
        <item x="872"/>
        <item x="717"/>
        <item x="248"/>
        <item x="369"/>
        <item x="471"/>
        <item x="62"/>
        <item x="711"/>
        <item x="518"/>
        <item x="638"/>
        <item x="747"/>
        <item x="914"/>
        <item x="993"/>
        <item x="477"/>
        <item x="674"/>
        <item x="458"/>
        <item x="189"/>
        <item x="34"/>
        <item x="68"/>
        <item x="982"/>
        <item x="837"/>
        <item x="782"/>
        <item x="308"/>
        <item x="291"/>
        <item x="927"/>
        <item x="441"/>
        <item x="141"/>
        <item x="232"/>
        <item x="453"/>
        <item x="255"/>
        <item x="382"/>
        <item x="669"/>
        <item x="958"/>
        <item x="184"/>
        <item x="759"/>
        <item x="220"/>
        <item x="436"/>
        <item x="513"/>
        <item x="212"/>
        <item x="177"/>
        <item x="862"/>
        <item x="892"/>
        <item x="728"/>
        <item x="40"/>
        <item x="448"/>
        <item x="51"/>
        <item x="332"/>
        <item x="75"/>
        <item x="123"/>
        <item x="921"/>
        <item x="442"/>
        <item x="117"/>
        <item x="542"/>
        <item x="362"/>
        <item x="525"/>
        <item x="861"/>
        <item x="644"/>
        <item x="406"/>
        <item x="196"/>
        <item x="874"/>
        <item x="771"/>
        <item x="585"/>
        <item x="69"/>
        <item x="939"/>
        <item x="784"/>
        <item x="788"/>
        <item x="592"/>
        <item x="886"/>
        <item x="374"/>
        <item x="598"/>
        <item x="147"/>
        <item x="591"/>
        <item x="129"/>
        <item x="777"/>
        <item x="357"/>
        <item x="999"/>
        <item x="430"/>
        <item x="243"/>
        <item x="789"/>
        <item x="214"/>
        <item x="657"/>
        <item x="87"/>
        <item x="33"/>
        <item x="760"/>
        <item x="3"/>
        <item x="681"/>
        <item x="741"/>
        <item x="454"/>
        <item x="57"/>
        <item x="640"/>
        <item x="142"/>
        <item x="304"/>
        <item x="903"/>
        <item x="801"/>
        <item x="27"/>
        <item x="124"/>
        <item x="568"/>
        <item x="573"/>
        <item x="544"/>
        <item x="549"/>
        <item x="699"/>
        <item x="658"/>
        <item x="832"/>
        <item x="778"/>
        <item x="765"/>
        <item x="459"/>
        <item x="10"/>
        <item x="940"/>
        <item x="81"/>
        <item x="808"/>
        <item x="753"/>
        <item x="712"/>
        <item x="93"/>
        <item x="333"/>
        <item x="423"/>
        <item x="952"/>
        <item x="820"/>
        <item x="772"/>
        <item x="159"/>
        <item x="238"/>
        <item x="897"/>
        <item x="171"/>
        <item x="418"/>
        <item x="688"/>
        <item x="543"/>
        <item x="106"/>
        <item x="687"/>
        <item x="646"/>
        <item x="868"/>
        <item x="831"/>
        <item x="303"/>
        <item x="352"/>
        <item x="207"/>
        <item x="495"/>
        <item x="399"/>
        <item x="916"/>
        <item x="855"/>
        <item x="412"/>
        <item x="262"/>
        <item x="814"/>
        <item x="339"/>
        <item x="135"/>
        <item x="322"/>
        <item x="873"/>
        <item x="910"/>
        <item x="321"/>
        <item x="400"/>
        <item x="22"/>
        <item x="981"/>
        <item x="856"/>
        <item x="621"/>
        <item x="105"/>
        <item x="580"/>
        <item x="975"/>
        <item x="639"/>
        <item x="610"/>
        <item x="315"/>
        <item x="21"/>
        <item x="465"/>
        <item x="376"/>
        <item x="345"/>
        <item x="237"/>
        <item x="490"/>
        <item x="507"/>
        <item x="274"/>
        <item x="729"/>
        <item x="885"/>
        <item x="945"/>
        <item x="693"/>
        <item x="706"/>
        <item x="387"/>
        <item x="99"/>
        <item x="634"/>
        <item x="501"/>
        <item x="963"/>
        <item x="586"/>
        <item x="561"/>
        <item x="933"/>
        <item x="327"/>
        <item x="819"/>
        <item x="537"/>
        <item x="796"/>
        <item x="484"/>
        <item x="969"/>
        <item x="670"/>
        <item x="447"/>
        <item x="567"/>
        <item x="531"/>
        <item x="334"/>
        <item x="645"/>
        <item x="363"/>
        <item x="532"/>
        <item x="483"/>
        <item x="555"/>
        <item x="340"/>
        <item x="39"/>
        <item x="267"/>
        <item x="219"/>
        <item x="579"/>
        <item x="976"/>
        <item x="795"/>
        <item x="843"/>
        <item x="682"/>
        <item x="867"/>
        <item x="226"/>
        <item x="766"/>
        <item x="58"/>
        <item x="615"/>
        <item x="951"/>
        <item x="675"/>
        <item x="231"/>
        <item x="603"/>
        <item x="280"/>
        <item x="988"/>
        <item x="651"/>
        <item x="394"/>
        <item x="735"/>
        <item x="496"/>
        <item x="609"/>
        <item x="622"/>
        <item x="88"/>
        <item x="730"/>
        <item x="292"/>
        <item x="915"/>
        <item x="718"/>
        <item x="922"/>
        <item x="52"/>
        <item x="9"/>
        <item x="748"/>
        <item x="825"/>
        <item x="489"/>
        <item x="297"/>
        <item x="285"/>
        <item x="676"/>
        <item x="393"/>
        <item x="111"/>
        <item x="279"/>
        <item x="15"/>
        <item x="63"/>
        <item x="519"/>
        <item x="261"/>
        <item x="898"/>
        <item x="604"/>
        <item x="309"/>
        <item x="153"/>
        <item x="934"/>
        <item x="100"/>
        <item x="783"/>
        <item x="849"/>
        <item x="225"/>
        <item x="172"/>
        <item x="850"/>
        <item x="130"/>
        <item x="273"/>
        <item x="195"/>
        <item x="46"/>
        <item x="904"/>
        <item x="364"/>
        <item x="664"/>
        <item x="928"/>
        <item x="213"/>
        <item x="802"/>
        <item x="298"/>
        <item x="826"/>
        <item x="478"/>
        <item x="994"/>
        <item x="405"/>
        <item x="880"/>
        <item x="178"/>
        <item x="562"/>
        <item x="358"/>
        <item x="508"/>
        <item x="118"/>
        <item x="375"/>
        <item x="970"/>
        <item x="429"/>
        <item x="472"/>
        <item x="183"/>
        <item x="879"/>
        <item x="165"/>
        <item x="160"/>
        <item x="964"/>
        <item x="628"/>
        <item x="574"/>
        <item x="694"/>
        <item x="946"/>
        <item x="70"/>
        <item x="460"/>
        <item x="166"/>
        <item x="112"/>
        <item x="45"/>
        <item x="526"/>
        <item x="370"/>
        <item x="154"/>
        <item x="328"/>
        <item x="190"/>
        <item x="813"/>
        <item x="148"/>
        <item x="208"/>
        <item x="514"/>
        <item x="435"/>
        <item x="556"/>
        <item x="838"/>
        <item x="550"/>
        <item x="310"/>
        <item x="520"/>
        <item x="94"/>
        <item x="790"/>
        <item x="844"/>
        <item x="4"/>
        <item x="28"/>
        <item x="700"/>
        <item x="538"/>
        <item x="724"/>
        <item x="244"/>
        <item x="754"/>
        <item x="268"/>
        <item x="424"/>
        <item x="388"/>
        <item x="250"/>
        <item x="64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Destination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uteCode" sourceName="RouteCode">
  <pivotTables>
    <pivotTable tabId="11" name="PivotTable6"/>
  </pivotTables>
  <data>
    <tabular pivotCacheId="1">
      <items count="30">
        <i x="5" s="1"/>
        <i x="10" s="1"/>
        <i x="3" s="1"/>
        <i x="26" s="1"/>
        <i x="16" s="1"/>
        <i x="4" s="1"/>
        <i x="6" s="1"/>
        <i x="0" s="1"/>
        <i x="12" s="1"/>
        <i x="29" s="1"/>
        <i x="22" s="1"/>
        <i x="18" s="1"/>
        <i x="11" s="1"/>
        <i x="7" s="1"/>
        <i x="2" s="1"/>
        <i x="1" s="1"/>
        <i x="14" s="1"/>
        <i x="8" s="1"/>
        <i x="24" s="1"/>
        <i x="20" s="1"/>
        <i x="27" s="1"/>
        <i x="13" s="1"/>
        <i x="15" s="1"/>
        <i x="28" s="1"/>
        <i x="9" s="1"/>
        <i x="25" s="1"/>
        <i x="23" s="1"/>
        <i x="21" s="1"/>
        <i x="17" s="1"/>
        <i x="19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11" name="PivotTable6"/>
  </pivotTables>
  <data>
    <tabular pivotCacheId="1">
      <items count="12">
        <i x="4" s="1"/>
        <i x="5" s="1"/>
        <i x="0" s="1"/>
        <i x="3" s="1"/>
        <i x="2" s="1"/>
        <i x="1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ircraftType" sourceName="AircraftType">
  <pivotTables>
    <pivotTable tabId="11" name="PivotTable6"/>
  </pivotTables>
  <data>
    <tabular pivotCacheId="1">
      <items count="6">
        <i x="0" s="1"/>
        <i x="2" s="1"/>
        <i x="4" s="1"/>
        <i x="5" s="1"/>
        <i x="1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outeCode" cache="Slicer_RouteCode" caption="RouteCode" rowHeight="225425"/>
  <slicer name="Month" cache="Slicer_Month" caption="Month" columnCount="2" rowHeight="225425"/>
  <slicer name="AircraftType" cache="Slicer_AircraftType" caption="AircraftType" columnCount="3" rowHeight="225425"/>
</slicers>
</file>

<file path=xl/tables/table1.xml><?xml version="1.0" encoding="utf-8"?>
<table xmlns="http://schemas.openxmlformats.org/spreadsheetml/2006/main" id="1" name="Table1" displayName="Table1" ref="A1:M1001" totalsRowShown="0">
  <autoFilter xmlns:etc="http://www.wps.cn/officeDocument/2017/etCustomData" ref="A1:M1001" etc:filterBottomFollowUsedRange="0"/>
  <tableColumns count="13">
    <tableColumn id="1" name="FlightID" dataDxfId="0"/>
    <tableColumn id="2" name="RouteCode" dataDxfId="1"/>
    <tableColumn id="3" name="Origin" dataDxfId="2"/>
    <tableColumn id="4" name="Destination" dataDxfId="3"/>
    <tableColumn id="5" name="FlightDate" dataDxfId="4"/>
    <tableColumn id="6" name="Month" dataDxfId="5">
      <calculatedColumnFormula>TEXT(E2,"mmm")</calculatedColumnFormula>
    </tableColumn>
    <tableColumn id="7" name="FlightDurationMins" dataDxfId="6"/>
    <tableColumn id="8" name="AircraftType" dataDxfId="7"/>
    <tableColumn id="9" name="SeatsAvailable" dataDxfId="8"/>
    <tableColumn id="10" name="SeatsSold" dataDxfId="9"/>
    <tableColumn id="11" name="Revenue" dataDxfId="10"/>
    <tableColumn id="12" name="OperationalCost" dataDxfId="11"/>
    <tableColumn id="13" name="Profit" dataDxfId="12"/>
  </tableColumns>
  <tableStyleInfo name="TableStylePreset3_Accent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ngles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Angles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微软雅黑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/>
        <a:ea typeface=""/>
        <a:cs typeface=""/>
        <a:font script="Jpan" typeface="ＭＳ Ｐゴシック"/>
        <a:font script="Hang" typeface="맑은 고딕"/>
        <a:font script="Hans" typeface="隶书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ngle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20400000"/>
            </a:lightRig>
          </a:scene3d>
          <a:sp3d contourW="6350">
            <a:bevelT w="41275" h="19050" prst="angle"/>
            <a:contourClr>
              <a:schemeClr val="phClr">
                <a:shade val="25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90000"/>
                <a:shade val="85000"/>
              </a:schemeClr>
              <a:schemeClr val="phClr">
                <a:tint val="95000"/>
                <a:shade val="99000"/>
              </a:schemeClr>
            </a:duotone>
          </a:blip>
          <a:tile tx="0" ty="0" sx="100000" sy="100000" flip="none" algn="tl"/>
        </a:blipFill>
        <a:blipFill rotWithShape="1">
          <a:blip xmlns:r="http://schemas.openxmlformats.org/officeDocument/2006/relationships" r:embed="rId2">
            <a:duotone>
              <a:schemeClr val="phClr">
                <a:tint val="93000"/>
                <a:shade val="85000"/>
              </a:schemeClr>
              <a:schemeClr val="phClr">
                <a:tint val="96000"/>
                <a:shade val="99000"/>
              </a:schemeClr>
            </a:duotone>
          </a:blip>
          <a:tile tx="0" ty="0" sx="90000" sy="9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63"/>
  <sheetViews>
    <sheetView tabSelected="1" topLeftCell="C1" workbookViewId="0">
      <selection activeCell="A1" sqref="A1:AW263"/>
    </sheetView>
  </sheetViews>
  <sheetFormatPr defaultColWidth="7.27272727272727" defaultRowHeight="15"/>
  <sheetData>
    <row r="1" spans="1:49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</sheetData>
  <mergeCells count="1">
    <mergeCell ref="A1:AW26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D3" sqref="D3"/>
    </sheetView>
  </sheetViews>
  <sheetFormatPr defaultColWidth="7.27272727272727" defaultRowHeight="15" outlineLevelCol="1"/>
  <cols>
    <col min="1" max="1" width="10.7272727272727"/>
    <col min="2" max="2" width="11.5454545454545"/>
    <col min="3" max="4" width="19.5454545454545"/>
  </cols>
  <sheetData>
    <row r="3" spans="1:2">
      <c r="A3" t="s">
        <v>0</v>
      </c>
      <c r="B3" t="s">
        <v>1</v>
      </c>
    </row>
    <row r="4" spans="1:2">
      <c r="A4" t="s">
        <v>2</v>
      </c>
      <c r="B4">
        <v>205094959</v>
      </c>
    </row>
    <row r="5" spans="1:2">
      <c r="A5" t="s">
        <v>3</v>
      </c>
      <c r="B5">
        <v>164391380</v>
      </c>
    </row>
    <row r="6" spans="1:2">
      <c r="A6" t="s">
        <v>4</v>
      </c>
      <c r="B6">
        <v>152751257</v>
      </c>
    </row>
    <row r="7" spans="1:2">
      <c r="A7" t="s">
        <v>5</v>
      </c>
      <c r="B7">
        <v>217980257</v>
      </c>
    </row>
    <row r="8" spans="1:2">
      <c r="A8" t="s">
        <v>6</v>
      </c>
      <c r="B8">
        <v>151451525</v>
      </c>
    </row>
    <row r="9" spans="1:2">
      <c r="A9" t="s">
        <v>7</v>
      </c>
      <c r="B9">
        <v>130632181</v>
      </c>
    </row>
    <row r="10" spans="1:2">
      <c r="A10" t="s">
        <v>8</v>
      </c>
      <c r="B10">
        <v>182602310</v>
      </c>
    </row>
    <row r="11" spans="1:2">
      <c r="A11" t="s">
        <v>9</v>
      </c>
      <c r="B11">
        <v>208034320</v>
      </c>
    </row>
    <row r="12" spans="1:2">
      <c r="A12" t="s">
        <v>10</v>
      </c>
      <c r="B12">
        <v>164751067</v>
      </c>
    </row>
    <row r="13" spans="1:2">
      <c r="A13" t="s">
        <v>11</v>
      </c>
      <c r="B13">
        <v>135368015</v>
      </c>
    </row>
    <row r="14" spans="1:2">
      <c r="A14" t="s">
        <v>12</v>
      </c>
      <c r="B14">
        <v>1713057271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G3" sqref="G3"/>
    </sheetView>
  </sheetViews>
  <sheetFormatPr defaultColWidth="7.27272727272727" defaultRowHeight="15" outlineLevelCol="1"/>
  <cols>
    <col min="1" max="1" width="9.54545454545454"/>
    <col min="2" max="2" width="11.5454545454545"/>
    <col min="3" max="3" width="10.7272727272727"/>
  </cols>
  <sheetData>
    <row r="3" spans="1:2">
      <c r="A3" t="s">
        <v>13</v>
      </c>
      <c r="B3" t="s">
        <v>1</v>
      </c>
    </row>
    <row r="4" spans="1:2">
      <c r="A4" t="s">
        <v>14</v>
      </c>
      <c r="B4">
        <v>167330848</v>
      </c>
    </row>
    <row r="5" spans="1:2">
      <c r="A5" t="s">
        <v>15</v>
      </c>
      <c r="B5">
        <v>202968045</v>
      </c>
    </row>
    <row r="6" spans="1:2">
      <c r="A6" t="s">
        <v>16</v>
      </c>
      <c r="B6">
        <v>230748258</v>
      </c>
    </row>
    <row r="7" spans="1:2">
      <c r="A7" t="s">
        <v>17</v>
      </c>
      <c r="B7">
        <v>239148253</v>
      </c>
    </row>
    <row r="8" spans="1:2">
      <c r="A8" t="s">
        <v>18</v>
      </c>
      <c r="B8">
        <v>217809463</v>
      </c>
    </row>
    <row r="9" spans="1:2">
      <c r="A9" t="s">
        <v>19</v>
      </c>
      <c r="B9">
        <v>233852900</v>
      </c>
    </row>
    <row r="10" spans="1:2">
      <c r="A10" t="s">
        <v>20</v>
      </c>
      <c r="B10">
        <v>228754098</v>
      </c>
    </row>
    <row r="11" spans="1:2">
      <c r="A11" t="s">
        <v>21</v>
      </c>
      <c r="B11">
        <v>212370242</v>
      </c>
    </row>
    <row r="12" spans="1:2">
      <c r="A12" t="s">
        <v>22</v>
      </c>
      <c r="B12">
        <v>209908275</v>
      </c>
    </row>
    <row r="13" spans="1:2">
      <c r="A13" t="s">
        <v>23</v>
      </c>
      <c r="B13">
        <v>144094876</v>
      </c>
    </row>
    <row r="14" spans="1:2">
      <c r="A14" t="s">
        <v>24</v>
      </c>
      <c r="B14">
        <v>150905789</v>
      </c>
    </row>
    <row r="15" spans="1:2">
      <c r="A15" t="s">
        <v>25</v>
      </c>
      <c r="B15">
        <v>139839600</v>
      </c>
    </row>
    <row r="16" spans="1:2">
      <c r="A16" t="s">
        <v>12</v>
      </c>
      <c r="B16">
        <v>2377730647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D3" sqref="D3"/>
    </sheetView>
  </sheetViews>
  <sheetFormatPr defaultColWidth="7.27272727272727" defaultRowHeight="15" outlineLevelCol="1"/>
  <cols>
    <col min="1" max="1" width="11.6363636363636"/>
    <col min="2" max="3" width="17.6363636363636"/>
    <col min="4" max="4" width="19.5454545454545"/>
  </cols>
  <sheetData>
    <row r="3" spans="1:2">
      <c r="A3" t="s">
        <v>26</v>
      </c>
      <c r="B3" t="s">
        <v>27</v>
      </c>
    </row>
    <row r="4" spans="1:2">
      <c r="A4" t="s">
        <v>28</v>
      </c>
      <c r="B4" s="4">
        <v>0.128702443034398</v>
      </c>
    </row>
    <row r="5" spans="1:2">
      <c r="A5" t="s">
        <v>29</v>
      </c>
      <c r="B5" s="4">
        <v>0.143002714482664</v>
      </c>
    </row>
    <row r="6" spans="1:2">
      <c r="A6" t="s">
        <v>30</v>
      </c>
      <c r="B6" s="4">
        <v>0.355366027007818</v>
      </c>
    </row>
    <row r="7" spans="1:2">
      <c r="A7" t="s">
        <v>31</v>
      </c>
      <c r="B7" s="4">
        <v>0.0511727078891258</v>
      </c>
    </row>
    <row r="8" spans="1:2">
      <c r="A8" t="s">
        <v>32</v>
      </c>
      <c r="B8" s="4">
        <v>0.135852578758531</v>
      </c>
    </row>
    <row r="9" spans="1:2">
      <c r="A9" t="s">
        <v>33</v>
      </c>
      <c r="B9" s="4">
        <v>0.185903528827463</v>
      </c>
    </row>
    <row r="10" spans="1:2">
      <c r="A10" t="s">
        <v>12</v>
      </c>
      <c r="B10" s="4">
        <v>1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4"/>
  <sheetViews>
    <sheetView topLeftCell="B1" workbookViewId="0">
      <selection activeCell="F3" sqref="F3"/>
    </sheetView>
  </sheetViews>
  <sheetFormatPr defaultColWidth="7.27272727272727" defaultRowHeight="15" outlineLevelCol="2"/>
  <cols>
    <col min="1" max="1" width="10.7272727272727"/>
    <col min="2" max="2" width="18.4545454545455"/>
    <col min="3" max="3" width="23.0909090909091" customWidth="1"/>
    <col min="4" max="4" width="18.4545454545455"/>
  </cols>
  <sheetData>
    <row r="3" spans="1:3">
      <c r="A3" t="s">
        <v>0</v>
      </c>
      <c r="B3" t="s">
        <v>34</v>
      </c>
      <c r="C3" t="s">
        <v>35</v>
      </c>
    </row>
    <row r="4" spans="1:3">
      <c r="A4" t="s">
        <v>36</v>
      </c>
      <c r="B4">
        <v>11312423</v>
      </c>
      <c r="C4">
        <v>3658760</v>
      </c>
    </row>
    <row r="5" spans="1:3">
      <c r="A5" t="s">
        <v>2</v>
      </c>
      <c r="B5">
        <v>249041494</v>
      </c>
      <c r="C5">
        <v>43946535</v>
      </c>
    </row>
    <row r="6" spans="1:3">
      <c r="A6" t="s">
        <v>3</v>
      </c>
      <c r="B6">
        <v>187740795</v>
      </c>
      <c r="C6">
        <v>23349415</v>
      </c>
    </row>
    <row r="7" spans="1:3">
      <c r="A7" t="s">
        <v>37</v>
      </c>
      <c r="B7">
        <v>69386086</v>
      </c>
      <c r="C7">
        <v>26860600</v>
      </c>
    </row>
    <row r="8" spans="1:3">
      <c r="A8" t="s">
        <v>4</v>
      </c>
      <c r="B8">
        <v>238285507</v>
      </c>
      <c r="C8">
        <v>85534250</v>
      </c>
    </row>
    <row r="9" spans="1:3">
      <c r="A9" t="s">
        <v>5</v>
      </c>
      <c r="B9">
        <v>262925297</v>
      </c>
      <c r="C9">
        <v>44945040</v>
      </c>
    </row>
    <row r="10" spans="1:3">
      <c r="A10" t="s">
        <v>38</v>
      </c>
      <c r="B10">
        <v>54314846</v>
      </c>
      <c r="C10">
        <v>11913995</v>
      </c>
    </row>
    <row r="11" spans="1:3">
      <c r="A11" t="s">
        <v>39</v>
      </c>
      <c r="B11">
        <v>41897082</v>
      </c>
      <c r="C11">
        <v>10532175</v>
      </c>
    </row>
    <row r="12" spans="1:3">
      <c r="A12" t="s">
        <v>40</v>
      </c>
      <c r="B12">
        <v>45206671</v>
      </c>
      <c r="C12">
        <v>22335640</v>
      </c>
    </row>
    <row r="13" spans="1:3">
      <c r="A13" t="s">
        <v>41</v>
      </c>
      <c r="B13">
        <v>10112267</v>
      </c>
      <c r="C13">
        <v>3633630</v>
      </c>
    </row>
    <row r="14" spans="1:3">
      <c r="A14" t="s">
        <v>6</v>
      </c>
      <c r="B14">
        <v>239197175</v>
      </c>
      <c r="C14">
        <v>87745650</v>
      </c>
    </row>
    <row r="15" spans="1:3">
      <c r="A15" t="s">
        <v>42</v>
      </c>
      <c r="B15">
        <v>51115286</v>
      </c>
      <c r="C15">
        <v>22502240</v>
      </c>
    </row>
    <row r="16" spans="1:3">
      <c r="A16" t="s">
        <v>43</v>
      </c>
      <c r="B16">
        <v>10003477</v>
      </c>
      <c r="C16">
        <v>3536920</v>
      </c>
    </row>
    <row r="17" spans="1:3">
      <c r="A17" t="s">
        <v>44</v>
      </c>
      <c r="B17">
        <v>60054270</v>
      </c>
      <c r="C17">
        <v>12164050</v>
      </c>
    </row>
    <row r="18" spans="1:3">
      <c r="A18" t="s">
        <v>45</v>
      </c>
      <c r="B18">
        <v>81750075</v>
      </c>
      <c r="C18">
        <v>15341870</v>
      </c>
    </row>
    <row r="19" spans="1:3">
      <c r="A19" t="s">
        <v>46</v>
      </c>
      <c r="B19">
        <v>55222476</v>
      </c>
      <c r="C19">
        <v>12596025</v>
      </c>
    </row>
    <row r="20" spans="1:3">
      <c r="A20" t="s">
        <v>47</v>
      </c>
      <c r="B20">
        <v>72025461</v>
      </c>
      <c r="C20">
        <v>13529575</v>
      </c>
    </row>
    <row r="21" spans="1:3">
      <c r="A21" t="s">
        <v>48</v>
      </c>
      <c r="B21">
        <v>83271929</v>
      </c>
      <c r="C21">
        <v>14685120</v>
      </c>
    </row>
    <row r="22" spans="1:3">
      <c r="A22" t="s">
        <v>49</v>
      </c>
      <c r="B22">
        <v>47638279</v>
      </c>
      <c r="C22">
        <v>21433720</v>
      </c>
    </row>
    <row r="23" spans="1:3">
      <c r="A23" t="s">
        <v>50</v>
      </c>
      <c r="B23">
        <v>78399582</v>
      </c>
      <c r="C23">
        <v>28660180</v>
      </c>
    </row>
    <row r="24" spans="1:3">
      <c r="A24" t="s">
        <v>7</v>
      </c>
      <c r="B24">
        <v>175026231</v>
      </c>
      <c r="C24">
        <v>44394050</v>
      </c>
    </row>
    <row r="25" spans="1:3">
      <c r="A25" t="s">
        <v>51</v>
      </c>
      <c r="B25">
        <v>59450858</v>
      </c>
      <c r="C25">
        <v>25659410</v>
      </c>
    </row>
    <row r="26" spans="1:3">
      <c r="A26" t="s">
        <v>8</v>
      </c>
      <c r="B26">
        <v>205839640</v>
      </c>
      <c r="C26">
        <v>23237330</v>
      </c>
    </row>
    <row r="27" spans="1:3">
      <c r="A27" t="s">
        <v>9</v>
      </c>
      <c r="B27">
        <v>251499780</v>
      </c>
      <c r="C27">
        <v>43465460</v>
      </c>
    </row>
    <row r="28" spans="1:3">
      <c r="A28" t="s">
        <v>10</v>
      </c>
      <c r="B28">
        <v>187435107</v>
      </c>
      <c r="C28">
        <v>22684040</v>
      </c>
    </row>
    <row r="29" spans="1:3">
      <c r="A29" t="s">
        <v>52</v>
      </c>
      <c r="B29">
        <v>67411055</v>
      </c>
      <c r="C29">
        <v>24498820</v>
      </c>
    </row>
    <row r="30" spans="1:3">
      <c r="A30" t="s">
        <v>53</v>
      </c>
      <c r="B30">
        <v>10418446</v>
      </c>
      <c r="C30">
        <v>7267970</v>
      </c>
    </row>
    <row r="31" spans="1:3">
      <c r="A31" t="s">
        <v>11</v>
      </c>
      <c r="B31">
        <v>175716765</v>
      </c>
      <c r="C31">
        <v>40348750</v>
      </c>
    </row>
    <row r="32" spans="1:3">
      <c r="A32" t="s">
        <v>54</v>
      </c>
      <c r="B32">
        <v>10723887</v>
      </c>
      <c r="C32">
        <v>7209120</v>
      </c>
    </row>
    <row r="33" spans="1:3">
      <c r="A33" t="s">
        <v>55</v>
      </c>
      <c r="B33">
        <v>56728930</v>
      </c>
      <c r="C33">
        <v>23750190</v>
      </c>
    </row>
    <row r="34" spans="1:3">
      <c r="A34" t="s">
        <v>12</v>
      </c>
      <c r="B34">
        <v>3149151177</v>
      </c>
      <c r="C34">
        <v>771420530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3"/>
  <sheetViews>
    <sheetView workbookViewId="0">
      <selection activeCell="E3" sqref="E3"/>
    </sheetView>
  </sheetViews>
  <sheetFormatPr defaultColWidth="7.27272727272727" defaultRowHeight="15" outlineLevelCol="1"/>
  <cols>
    <col min="1" max="1" width="9.54545454545454"/>
    <col min="2" max="2" width="16.4545454545455"/>
  </cols>
  <sheetData>
    <row r="3" spans="1:2">
      <c r="A3" t="s">
        <v>56</v>
      </c>
      <c r="B3" t="s">
        <v>57</v>
      </c>
    </row>
    <row r="4" spans="1:2">
      <c r="A4" t="s">
        <v>58</v>
      </c>
      <c r="B4">
        <v>167</v>
      </c>
    </row>
    <row r="5" spans="1:2">
      <c r="A5" t="s">
        <v>59</v>
      </c>
      <c r="B5">
        <v>234</v>
      </c>
    </row>
    <row r="6" spans="1:2">
      <c r="A6" t="s">
        <v>60</v>
      </c>
      <c r="B6">
        <v>67</v>
      </c>
    </row>
    <row r="7" spans="1:2">
      <c r="A7" t="s">
        <v>61</v>
      </c>
      <c r="B7">
        <v>201</v>
      </c>
    </row>
    <row r="8" spans="1:2">
      <c r="A8" t="s">
        <v>62</v>
      </c>
      <c r="B8">
        <v>99</v>
      </c>
    </row>
    <row r="9" spans="1:2">
      <c r="A9" t="s">
        <v>63</v>
      </c>
      <c r="B9">
        <v>67</v>
      </c>
    </row>
    <row r="10" spans="1:2">
      <c r="A10" t="s">
        <v>64</v>
      </c>
      <c r="B10">
        <v>33</v>
      </c>
    </row>
    <row r="11" spans="1:2">
      <c r="A11" t="s">
        <v>65</v>
      </c>
      <c r="B11">
        <v>66</v>
      </c>
    </row>
    <row r="12" spans="1:2">
      <c r="A12" t="s">
        <v>66</v>
      </c>
      <c r="B12">
        <v>66</v>
      </c>
    </row>
    <row r="13" spans="1:2">
      <c r="A13" t="s">
        <v>12</v>
      </c>
      <c r="B13">
        <v>1000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workbookViewId="0">
      <selection activeCell="N1" sqref="N1"/>
    </sheetView>
  </sheetViews>
  <sheetFormatPr defaultColWidth="7.27272727272727" defaultRowHeight="15"/>
  <cols>
    <col min="1" max="1" width="8.63636363636364" customWidth="1"/>
    <col min="2" max="2" width="10.9090909090909" customWidth="1"/>
    <col min="3" max="3" width="6.90909090909091" customWidth="1"/>
    <col min="4" max="4" width="11.6363636363636" customWidth="1"/>
    <col min="5" max="5" width="10.7272727272727" customWidth="1"/>
    <col min="6" max="6" width="6.90909090909091" customWidth="1"/>
    <col min="7" max="7" width="19.5454545454545" customWidth="1"/>
    <col min="8" max="8" width="12.7272727272727" customWidth="1"/>
    <col min="9" max="9" width="14.4545454545455" customWidth="1"/>
    <col min="10" max="10" width="9.72727272727273" customWidth="1"/>
    <col min="11" max="11" width="8.63636363636364" customWidth="1"/>
    <col min="12" max="12" width="16.0909090909091" customWidth="1"/>
    <col min="13" max="13" width="8.63636363636364" customWidth="1"/>
  </cols>
  <sheetData>
    <row r="1" spans="1:13">
      <c r="A1" s="2" t="s">
        <v>67</v>
      </c>
      <c r="B1" s="2" t="s">
        <v>0</v>
      </c>
      <c r="C1" s="2" t="s">
        <v>56</v>
      </c>
      <c r="D1" s="2" t="s">
        <v>68</v>
      </c>
      <c r="E1" s="2" t="s">
        <v>69</v>
      </c>
      <c r="F1" s="2" t="s">
        <v>13</v>
      </c>
      <c r="G1" s="2" t="s">
        <v>70</v>
      </c>
      <c r="H1" s="2" t="s">
        <v>26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</row>
    <row r="2" spans="1:13">
      <c r="A2" s="2" t="s">
        <v>76</v>
      </c>
      <c r="B2" s="2" t="s">
        <v>39</v>
      </c>
      <c r="C2" s="2" t="s">
        <v>59</v>
      </c>
      <c r="D2" s="2" t="s">
        <v>61</v>
      </c>
      <c r="E2" s="3">
        <v>45359</v>
      </c>
      <c r="F2" s="2" t="str">
        <f>TEXT(E2,"mmm")</f>
        <v>Mar</v>
      </c>
      <c r="G2" s="2">
        <v>162</v>
      </c>
      <c r="H2" s="2" t="s">
        <v>28</v>
      </c>
      <c r="I2" s="2">
        <v>180</v>
      </c>
      <c r="J2" s="2">
        <v>158</v>
      </c>
      <c r="K2" s="2">
        <v>1213946</v>
      </c>
      <c r="L2" s="2">
        <v>364980</v>
      </c>
      <c r="M2" s="2">
        <v>848966</v>
      </c>
    </row>
    <row r="3" spans="1:13">
      <c r="A3" s="2" t="s">
        <v>77</v>
      </c>
      <c r="B3" s="2" t="s">
        <v>46</v>
      </c>
      <c r="C3" s="2" t="s">
        <v>61</v>
      </c>
      <c r="D3" s="2" t="s">
        <v>59</v>
      </c>
      <c r="E3" s="3">
        <v>45445</v>
      </c>
      <c r="F3" s="2" t="str">
        <f t="shared" ref="F3:F66" si="0">TEXT(E3,"mmm")</f>
        <v>Jun</v>
      </c>
      <c r="G3" s="2">
        <v>131</v>
      </c>
      <c r="H3" s="2" t="s">
        <v>32</v>
      </c>
      <c r="I3" s="2">
        <v>190</v>
      </c>
      <c r="J3" s="2">
        <v>153</v>
      </c>
      <c r="K3" s="2">
        <v>1097889</v>
      </c>
      <c r="L3" s="2">
        <v>329715</v>
      </c>
      <c r="M3" s="2">
        <v>768174</v>
      </c>
    </row>
    <row r="4" spans="1:13">
      <c r="A4" s="2" t="s">
        <v>78</v>
      </c>
      <c r="B4" s="2" t="s">
        <v>45</v>
      </c>
      <c r="C4" s="2" t="s">
        <v>61</v>
      </c>
      <c r="D4" s="2" t="s">
        <v>58</v>
      </c>
      <c r="E4" s="3">
        <v>45413</v>
      </c>
      <c r="F4" s="2" t="str">
        <f t="shared" si="0"/>
        <v>May</v>
      </c>
      <c r="G4" s="2">
        <v>294</v>
      </c>
      <c r="H4" s="2" t="s">
        <v>29</v>
      </c>
      <c r="I4" s="2">
        <v>200</v>
      </c>
      <c r="J4" s="2">
        <v>124</v>
      </c>
      <c r="K4" s="2">
        <v>2997545</v>
      </c>
      <c r="L4" s="2">
        <v>368280</v>
      </c>
      <c r="M4" s="2">
        <v>2629265</v>
      </c>
    </row>
    <row r="5" spans="1:13">
      <c r="A5" s="2" t="s">
        <v>79</v>
      </c>
      <c r="B5" s="2" t="s">
        <v>3</v>
      </c>
      <c r="C5" s="2" t="s">
        <v>58</v>
      </c>
      <c r="D5" s="2" t="s">
        <v>61</v>
      </c>
      <c r="E5" s="3">
        <v>45390</v>
      </c>
      <c r="F5" s="2" t="str">
        <f t="shared" si="0"/>
        <v>Apr</v>
      </c>
      <c r="G5" s="2">
        <v>279</v>
      </c>
      <c r="H5" s="2" t="s">
        <v>33</v>
      </c>
      <c r="I5" s="2">
        <v>260</v>
      </c>
      <c r="J5" s="2">
        <v>169</v>
      </c>
      <c r="K5" s="2">
        <v>4311293</v>
      </c>
      <c r="L5" s="2">
        <v>489255</v>
      </c>
      <c r="M5" s="2">
        <v>3822038</v>
      </c>
    </row>
    <row r="6" spans="1:13">
      <c r="A6" s="2" t="s">
        <v>80</v>
      </c>
      <c r="B6" s="2" t="s">
        <v>5</v>
      </c>
      <c r="C6" s="2" t="s">
        <v>59</v>
      </c>
      <c r="D6" s="2" t="s">
        <v>58</v>
      </c>
      <c r="E6" s="3">
        <v>45355</v>
      </c>
      <c r="F6" s="2" t="str">
        <f t="shared" si="0"/>
        <v>Mar</v>
      </c>
      <c r="G6" s="2">
        <v>488</v>
      </c>
      <c r="H6" s="2" t="s">
        <v>30</v>
      </c>
      <c r="I6" s="2">
        <v>500</v>
      </c>
      <c r="J6" s="2">
        <v>469</v>
      </c>
      <c r="K6" s="2">
        <v>10408928</v>
      </c>
      <c r="L6" s="2">
        <v>1847860</v>
      </c>
      <c r="M6" s="2">
        <v>8561068</v>
      </c>
    </row>
    <row r="7" spans="1:13">
      <c r="A7" s="2" t="s">
        <v>81</v>
      </c>
      <c r="B7" s="2" t="s">
        <v>36</v>
      </c>
      <c r="C7" s="2" t="s">
        <v>58</v>
      </c>
      <c r="D7" s="2" t="s">
        <v>59</v>
      </c>
      <c r="E7" s="3">
        <v>45365</v>
      </c>
      <c r="F7" s="2" t="str">
        <f t="shared" si="0"/>
        <v>Mar</v>
      </c>
      <c r="G7" s="2">
        <v>67</v>
      </c>
      <c r="H7" s="2" t="s">
        <v>31</v>
      </c>
      <c r="I7" s="2">
        <v>72</v>
      </c>
      <c r="J7" s="2">
        <v>43</v>
      </c>
      <c r="K7" s="2">
        <v>257584</v>
      </c>
      <c r="L7" s="2">
        <v>78905</v>
      </c>
      <c r="M7" s="2">
        <v>178679</v>
      </c>
    </row>
    <row r="8" spans="1:13">
      <c r="A8" s="2" t="s">
        <v>82</v>
      </c>
      <c r="B8" s="2" t="s">
        <v>38</v>
      </c>
      <c r="C8" s="2" t="s">
        <v>59</v>
      </c>
      <c r="D8" s="2" t="s">
        <v>60</v>
      </c>
      <c r="E8" s="3">
        <v>45431</v>
      </c>
      <c r="F8" s="2" t="str">
        <f t="shared" si="0"/>
        <v>May</v>
      </c>
      <c r="G8" s="2">
        <v>220</v>
      </c>
      <c r="H8" s="2" t="s">
        <v>28</v>
      </c>
      <c r="I8" s="2">
        <v>180</v>
      </c>
      <c r="J8" s="2">
        <v>127</v>
      </c>
      <c r="K8" s="2">
        <v>1768714</v>
      </c>
      <c r="L8" s="2">
        <v>330200</v>
      </c>
      <c r="M8" s="2">
        <v>1438514</v>
      </c>
    </row>
    <row r="9" spans="1:13">
      <c r="A9" s="2" t="s">
        <v>83</v>
      </c>
      <c r="B9" s="2" t="s">
        <v>44</v>
      </c>
      <c r="C9" s="2" t="s">
        <v>60</v>
      </c>
      <c r="D9" s="2" t="s">
        <v>59</v>
      </c>
      <c r="E9" s="3">
        <v>45467</v>
      </c>
      <c r="F9" s="2" t="str">
        <f t="shared" si="0"/>
        <v>Jun</v>
      </c>
      <c r="G9" s="2">
        <v>295</v>
      </c>
      <c r="H9" s="2" t="s">
        <v>32</v>
      </c>
      <c r="I9" s="2">
        <v>190</v>
      </c>
      <c r="J9" s="2">
        <v>115</v>
      </c>
      <c r="K9" s="2">
        <v>2668155</v>
      </c>
      <c r="L9" s="2">
        <v>342125</v>
      </c>
      <c r="M9" s="2">
        <v>2326030</v>
      </c>
    </row>
    <row r="10" spans="1:13">
      <c r="A10" s="2" t="s">
        <v>84</v>
      </c>
      <c r="B10" s="2" t="s">
        <v>48</v>
      </c>
      <c r="C10" s="2" t="s">
        <v>61</v>
      </c>
      <c r="D10" s="2" t="s">
        <v>63</v>
      </c>
      <c r="E10" s="3">
        <v>45292</v>
      </c>
      <c r="F10" s="2" t="str">
        <f t="shared" si="0"/>
        <v>Jan</v>
      </c>
      <c r="G10" s="2" t="s">
        <v>85</v>
      </c>
      <c r="H10" s="2" t="s">
        <v>29</v>
      </c>
      <c r="I10" s="2">
        <v>200</v>
      </c>
      <c r="J10" s="2">
        <v>123</v>
      </c>
      <c r="K10" s="2">
        <v>2589633</v>
      </c>
      <c r="L10" s="2">
        <v>337635</v>
      </c>
      <c r="M10" s="2">
        <v>2251998</v>
      </c>
    </row>
    <row r="11" spans="1:13">
      <c r="A11" s="2" t="s">
        <v>86</v>
      </c>
      <c r="B11" s="2" t="s">
        <v>10</v>
      </c>
      <c r="C11" s="2" t="s">
        <v>63</v>
      </c>
      <c r="D11" s="2" t="s">
        <v>61</v>
      </c>
      <c r="E11" s="3">
        <v>45324</v>
      </c>
      <c r="F11" s="2" t="str">
        <f t="shared" si="0"/>
        <v>Feb</v>
      </c>
      <c r="G11" s="2">
        <v>450</v>
      </c>
      <c r="H11" s="2" t="s">
        <v>33</v>
      </c>
      <c r="I11" s="2">
        <v>260</v>
      </c>
      <c r="J11" s="2">
        <v>197</v>
      </c>
      <c r="K11" s="2">
        <v>7134987</v>
      </c>
      <c r="L11" s="2">
        <v>738750</v>
      </c>
      <c r="M11" s="2">
        <v>6396237</v>
      </c>
    </row>
    <row r="12" spans="1:13">
      <c r="A12" s="2" t="s">
        <v>87</v>
      </c>
      <c r="B12" s="2" t="s">
        <v>2</v>
      </c>
      <c r="C12" s="2" t="s">
        <v>58</v>
      </c>
      <c r="D12" s="2" t="s">
        <v>60</v>
      </c>
      <c r="E12" s="3">
        <v>45402</v>
      </c>
      <c r="F12" s="2" t="str">
        <f t="shared" si="0"/>
        <v>Apr</v>
      </c>
      <c r="G12" s="2">
        <v>230</v>
      </c>
      <c r="H12" s="2" t="s">
        <v>30</v>
      </c>
      <c r="I12" s="2">
        <v>500</v>
      </c>
      <c r="J12" s="2">
        <v>366</v>
      </c>
      <c r="K12" s="2">
        <v>5044572</v>
      </c>
      <c r="L12" s="2">
        <v>969900</v>
      </c>
      <c r="M12" s="2">
        <v>4074672</v>
      </c>
    </row>
    <row r="13" spans="1:13">
      <c r="A13" s="2" t="s">
        <v>88</v>
      </c>
      <c r="B13" s="2" t="s">
        <v>43</v>
      </c>
      <c r="C13" s="2" t="s">
        <v>60</v>
      </c>
      <c r="D13" s="2" t="s">
        <v>58</v>
      </c>
      <c r="E13" s="3">
        <v>45430</v>
      </c>
      <c r="F13" s="2" t="str">
        <f t="shared" si="0"/>
        <v>May</v>
      </c>
      <c r="G13" s="2">
        <v>32</v>
      </c>
      <c r="H13" s="2" t="s">
        <v>31</v>
      </c>
      <c r="I13" s="2">
        <v>72</v>
      </c>
      <c r="J13" s="2">
        <v>64</v>
      </c>
      <c r="K13" s="2">
        <v>116038</v>
      </c>
      <c r="L13" s="2">
        <v>106240</v>
      </c>
      <c r="M13" s="2">
        <v>9798</v>
      </c>
    </row>
    <row r="14" spans="1:13">
      <c r="A14" s="2" t="s">
        <v>89</v>
      </c>
      <c r="B14" s="2" t="s">
        <v>40</v>
      </c>
      <c r="C14" s="2" t="s">
        <v>59</v>
      </c>
      <c r="D14" s="2" t="s">
        <v>62</v>
      </c>
      <c r="E14" s="3">
        <v>45469</v>
      </c>
      <c r="F14" s="2" t="str">
        <f t="shared" si="0"/>
        <v>Jun</v>
      </c>
      <c r="G14" s="2">
        <v>132</v>
      </c>
      <c r="H14" s="2" t="s">
        <v>28</v>
      </c>
      <c r="I14" s="2">
        <v>180</v>
      </c>
      <c r="J14" s="2">
        <v>112</v>
      </c>
      <c r="K14" s="2">
        <v>1150804</v>
      </c>
      <c r="L14" s="2">
        <v>483840</v>
      </c>
      <c r="M14" s="2">
        <v>666964</v>
      </c>
    </row>
    <row r="15" spans="1:13">
      <c r="A15" s="2" t="s">
        <v>90</v>
      </c>
      <c r="B15" s="2" t="s">
        <v>51</v>
      </c>
      <c r="C15" s="2" t="s">
        <v>62</v>
      </c>
      <c r="D15" s="2" t="s">
        <v>59</v>
      </c>
      <c r="E15" s="3">
        <v>45338</v>
      </c>
      <c r="F15" s="2" t="str">
        <f t="shared" si="0"/>
        <v>Feb</v>
      </c>
      <c r="G15" s="2">
        <v>73</v>
      </c>
      <c r="H15" s="2" t="s">
        <v>32</v>
      </c>
      <c r="I15" s="2">
        <v>190</v>
      </c>
      <c r="J15" s="2">
        <v>167</v>
      </c>
      <c r="K15" s="2">
        <v>631326</v>
      </c>
      <c r="L15" s="2">
        <v>622910</v>
      </c>
      <c r="M15" s="2">
        <v>8416</v>
      </c>
    </row>
    <row r="16" spans="1:13">
      <c r="A16" s="2" t="s">
        <v>91</v>
      </c>
      <c r="B16" s="2" t="s">
        <v>47</v>
      </c>
      <c r="C16" s="2" t="s">
        <v>61</v>
      </c>
      <c r="D16" s="2" t="s">
        <v>62</v>
      </c>
      <c r="E16" s="3">
        <v>45439</v>
      </c>
      <c r="F16" s="2" t="str">
        <f t="shared" si="0"/>
        <v>May</v>
      </c>
      <c r="G16" s="2">
        <v>132</v>
      </c>
      <c r="H16" s="2" t="s">
        <v>29</v>
      </c>
      <c r="I16" s="2">
        <v>200</v>
      </c>
      <c r="J16" s="2">
        <v>136</v>
      </c>
      <c r="K16" s="2">
        <v>1189049</v>
      </c>
      <c r="L16" s="2">
        <v>293760</v>
      </c>
      <c r="M16" s="2">
        <v>895289</v>
      </c>
    </row>
    <row r="17" spans="1:13">
      <c r="A17" s="2" t="s">
        <v>92</v>
      </c>
      <c r="B17" s="2" t="s">
        <v>8</v>
      </c>
      <c r="C17" s="2" t="s">
        <v>62</v>
      </c>
      <c r="D17" s="2" t="s">
        <v>61</v>
      </c>
      <c r="E17" s="3">
        <v>45383</v>
      </c>
      <c r="F17" s="2" t="str">
        <f t="shared" si="0"/>
        <v>Apr</v>
      </c>
      <c r="G17" s="2">
        <v>443</v>
      </c>
      <c r="H17" s="2" t="s">
        <v>33</v>
      </c>
      <c r="I17" s="2">
        <v>260</v>
      </c>
      <c r="J17" s="2">
        <v>159</v>
      </c>
      <c r="K17" s="2">
        <v>7188986</v>
      </c>
      <c r="L17" s="2">
        <v>590685</v>
      </c>
      <c r="M17" s="2">
        <v>6598301</v>
      </c>
    </row>
    <row r="18" spans="1:13">
      <c r="A18" s="2" t="s">
        <v>93</v>
      </c>
      <c r="B18" s="2" t="s">
        <v>4</v>
      </c>
      <c r="C18" s="2" t="s">
        <v>58</v>
      </c>
      <c r="D18" s="2" t="s">
        <v>66</v>
      </c>
      <c r="E18" s="3">
        <v>45317</v>
      </c>
      <c r="F18" s="2" t="str">
        <f t="shared" si="0"/>
        <v>Jan</v>
      </c>
      <c r="G18" s="2">
        <v>229</v>
      </c>
      <c r="H18" s="2" t="s">
        <v>30</v>
      </c>
      <c r="I18" s="2">
        <v>500</v>
      </c>
      <c r="J18" s="2">
        <v>415</v>
      </c>
      <c r="K18" s="2">
        <v>4407527</v>
      </c>
      <c r="L18" s="2">
        <v>2195350</v>
      </c>
      <c r="M18" s="2">
        <v>2212177</v>
      </c>
    </row>
    <row r="19" spans="1:13">
      <c r="A19" s="2" t="s">
        <v>94</v>
      </c>
      <c r="B19" s="2" t="s">
        <v>54</v>
      </c>
      <c r="C19" s="2" t="s">
        <v>66</v>
      </c>
      <c r="D19" s="2" t="s">
        <v>58</v>
      </c>
      <c r="E19" s="3">
        <v>45457</v>
      </c>
      <c r="F19" s="2" t="str">
        <f t="shared" si="0"/>
        <v>Jun</v>
      </c>
      <c r="G19" s="2">
        <v>35</v>
      </c>
      <c r="H19" s="2" t="s">
        <v>31</v>
      </c>
      <c r="I19" s="2">
        <v>72</v>
      </c>
      <c r="J19" s="2">
        <v>48</v>
      </c>
      <c r="K19" s="2">
        <v>124158</v>
      </c>
      <c r="L19" s="2">
        <v>160800</v>
      </c>
      <c r="M19" s="2">
        <v>-36642</v>
      </c>
    </row>
    <row r="20" spans="1:13">
      <c r="A20" s="2" t="s">
        <v>95</v>
      </c>
      <c r="B20" s="2" t="s">
        <v>42</v>
      </c>
      <c r="C20" s="2" t="s">
        <v>59</v>
      </c>
      <c r="D20" s="2" t="s">
        <v>66</v>
      </c>
      <c r="E20" s="3">
        <v>45347</v>
      </c>
      <c r="F20" s="2" t="str">
        <f t="shared" si="0"/>
        <v>Feb</v>
      </c>
      <c r="G20" s="2">
        <v>280</v>
      </c>
      <c r="H20" s="2" t="s">
        <v>28</v>
      </c>
      <c r="I20" s="2">
        <v>180</v>
      </c>
      <c r="J20" s="2">
        <v>169</v>
      </c>
      <c r="K20" s="2">
        <v>2363259</v>
      </c>
      <c r="L20" s="2">
        <v>980200</v>
      </c>
      <c r="M20" s="2">
        <v>1383059</v>
      </c>
    </row>
    <row r="21" spans="1:13">
      <c r="A21" s="2" t="s">
        <v>96</v>
      </c>
      <c r="B21" s="2" t="s">
        <v>55</v>
      </c>
      <c r="C21" s="2" t="s">
        <v>66</v>
      </c>
      <c r="D21" s="2" t="s">
        <v>59</v>
      </c>
      <c r="E21" s="3">
        <v>45365</v>
      </c>
      <c r="F21" s="2" t="str">
        <f t="shared" si="0"/>
        <v>Mar</v>
      </c>
      <c r="G21" s="2">
        <v>221</v>
      </c>
      <c r="H21" s="2" t="s">
        <v>32</v>
      </c>
      <c r="I21" s="2">
        <v>190</v>
      </c>
      <c r="J21" s="2">
        <v>140</v>
      </c>
      <c r="K21" s="2">
        <v>2158724</v>
      </c>
      <c r="L21" s="2">
        <v>729400</v>
      </c>
      <c r="M21" s="2">
        <v>1429324</v>
      </c>
    </row>
    <row r="22" spans="1:13">
      <c r="A22" s="2" t="s">
        <v>97</v>
      </c>
      <c r="B22" s="2" t="s">
        <v>50</v>
      </c>
      <c r="C22" s="2" t="s">
        <v>61</v>
      </c>
      <c r="D22" s="2" t="s">
        <v>65</v>
      </c>
      <c r="E22" s="3">
        <v>45355</v>
      </c>
      <c r="F22" s="2" t="str">
        <f t="shared" si="0"/>
        <v>Mar</v>
      </c>
      <c r="G22" s="2">
        <v>383</v>
      </c>
      <c r="H22" s="2" t="s">
        <v>29</v>
      </c>
      <c r="I22" s="2">
        <v>200</v>
      </c>
      <c r="J22" s="2">
        <v>142</v>
      </c>
      <c r="K22" s="2">
        <v>3689762</v>
      </c>
      <c r="L22" s="2">
        <v>969860</v>
      </c>
      <c r="M22" s="2">
        <v>2719902</v>
      </c>
    </row>
    <row r="23" spans="1:13">
      <c r="A23" s="2" t="s">
        <v>98</v>
      </c>
      <c r="B23" s="2" t="s">
        <v>11</v>
      </c>
      <c r="C23" s="2" t="s">
        <v>65</v>
      </c>
      <c r="D23" s="2" t="s">
        <v>61</v>
      </c>
      <c r="E23" s="3">
        <v>45315</v>
      </c>
      <c r="F23" s="2" t="str">
        <f t="shared" si="0"/>
        <v>Jan</v>
      </c>
      <c r="G23" s="2">
        <v>431</v>
      </c>
      <c r="H23" s="2" t="s">
        <v>33</v>
      </c>
      <c r="I23" s="2">
        <v>260</v>
      </c>
      <c r="J23" s="2">
        <v>160</v>
      </c>
      <c r="K23" s="2">
        <v>6239152</v>
      </c>
      <c r="L23" s="2">
        <v>1169600</v>
      </c>
      <c r="M23" s="2">
        <v>5069552</v>
      </c>
    </row>
    <row r="24" spans="1:13">
      <c r="A24" s="2" t="s">
        <v>99</v>
      </c>
      <c r="B24" s="2" t="s">
        <v>6</v>
      </c>
      <c r="C24" s="2" t="s">
        <v>59</v>
      </c>
      <c r="D24" s="2" t="s">
        <v>65</v>
      </c>
      <c r="E24" s="3">
        <v>45440</v>
      </c>
      <c r="F24" s="2" t="str">
        <f t="shared" si="0"/>
        <v>May</v>
      </c>
      <c r="G24" s="2">
        <v>387</v>
      </c>
      <c r="H24" s="2" t="s">
        <v>30</v>
      </c>
      <c r="I24" s="2">
        <v>500</v>
      </c>
      <c r="J24" s="2">
        <v>430</v>
      </c>
      <c r="K24" s="2">
        <v>7801443</v>
      </c>
      <c r="L24" s="2">
        <v>2954100</v>
      </c>
      <c r="M24" s="2">
        <v>4847343</v>
      </c>
    </row>
    <row r="25" spans="1:13">
      <c r="A25" s="2" t="s">
        <v>100</v>
      </c>
      <c r="B25" s="2" t="s">
        <v>53</v>
      </c>
      <c r="C25" s="2" t="s">
        <v>65</v>
      </c>
      <c r="D25" s="2" t="s">
        <v>59</v>
      </c>
      <c r="E25" s="3">
        <v>45451</v>
      </c>
      <c r="F25" s="2" t="str">
        <f t="shared" si="0"/>
        <v>Jun</v>
      </c>
      <c r="G25" s="2">
        <v>53</v>
      </c>
      <c r="H25" s="2" t="s">
        <v>31</v>
      </c>
      <c r="I25" s="2">
        <v>72</v>
      </c>
      <c r="J25" s="2">
        <v>52</v>
      </c>
      <c r="K25" s="2">
        <v>177372</v>
      </c>
      <c r="L25" s="2">
        <v>183560</v>
      </c>
      <c r="M25" s="2">
        <v>-6188</v>
      </c>
    </row>
    <row r="26" spans="1:13">
      <c r="A26" s="2" t="s">
        <v>101</v>
      </c>
      <c r="B26" s="2" t="s">
        <v>49</v>
      </c>
      <c r="C26" s="2" t="s">
        <v>61</v>
      </c>
      <c r="D26" s="2" t="s">
        <v>64</v>
      </c>
      <c r="E26" s="3">
        <v>45298</v>
      </c>
      <c r="F26" s="2" t="str">
        <f t="shared" si="0"/>
        <v>Jan</v>
      </c>
      <c r="G26" s="2">
        <v>183</v>
      </c>
      <c r="H26" s="2" t="s">
        <v>28</v>
      </c>
      <c r="I26" s="2">
        <v>180</v>
      </c>
      <c r="J26" s="2">
        <v>125</v>
      </c>
      <c r="K26" s="2">
        <v>1404348</v>
      </c>
      <c r="L26" s="2">
        <v>603750</v>
      </c>
      <c r="M26" s="2">
        <v>800598</v>
      </c>
    </row>
    <row r="27" spans="1:13">
      <c r="A27" s="2" t="s">
        <v>102</v>
      </c>
      <c r="B27" s="2" t="s">
        <v>52</v>
      </c>
      <c r="C27" s="2" t="s">
        <v>64</v>
      </c>
      <c r="D27" s="2" t="s">
        <v>61</v>
      </c>
      <c r="E27" s="3">
        <v>45419</v>
      </c>
      <c r="F27" s="2" t="str">
        <f t="shared" si="0"/>
        <v>May</v>
      </c>
      <c r="G27" s="2">
        <v>124</v>
      </c>
      <c r="H27" s="2" t="s">
        <v>32</v>
      </c>
      <c r="I27" s="2">
        <v>190</v>
      </c>
      <c r="J27" s="2">
        <v>115</v>
      </c>
      <c r="K27" s="2">
        <v>1098903</v>
      </c>
      <c r="L27" s="2">
        <v>487600</v>
      </c>
      <c r="M27" s="2">
        <v>611303</v>
      </c>
    </row>
    <row r="28" spans="1:13">
      <c r="A28" s="2" t="s">
        <v>103</v>
      </c>
      <c r="B28" s="2" t="s">
        <v>37</v>
      </c>
      <c r="C28" s="2" t="s">
        <v>58</v>
      </c>
      <c r="D28" s="2" t="s">
        <v>62</v>
      </c>
      <c r="E28" s="3">
        <v>45423</v>
      </c>
      <c r="F28" s="2" t="str">
        <f t="shared" si="0"/>
        <v>May</v>
      </c>
      <c r="G28" s="2">
        <v>208</v>
      </c>
      <c r="H28" s="2" t="s">
        <v>29</v>
      </c>
      <c r="I28" s="2">
        <v>200</v>
      </c>
      <c r="J28" s="2">
        <v>133</v>
      </c>
      <c r="K28" s="2">
        <v>1780582</v>
      </c>
      <c r="L28" s="2">
        <v>675640</v>
      </c>
      <c r="M28" s="2">
        <v>1104942</v>
      </c>
    </row>
    <row r="29" spans="1:13">
      <c r="A29" s="2" t="s">
        <v>104</v>
      </c>
      <c r="B29" s="2" t="s">
        <v>7</v>
      </c>
      <c r="C29" s="2" t="s">
        <v>62</v>
      </c>
      <c r="D29" s="2" t="s">
        <v>58</v>
      </c>
      <c r="E29" s="3">
        <v>45468</v>
      </c>
      <c r="F29" s="2" t="str">
        <f t="shared" si="0"/>
        <v>Jun</v>
      </c>
      <c r="G29" s="2">
        <v>318</v>
      </c>
      <c r="H29" s="2" t="s">
        <v>33</v>
      </c>
      <c r="I29" s="2">
        <v>260</v>
      </c>
      <c r="J29" s="2">
        <v>174</v>
      </c>
      <c r="K29" s="2">
        <v>4971620</v>
      </c>
      <c r="L29" s="2">
        <v>1075320</v>
      </c>
      <c r="M29" s="2">
        <v>3896300</v>
      </c>
    </row>
    <row r="30" spans="1:13">
      <c r="A30" s="2" t="s">
        <v>105</v>
      </c>
      <c r="B30" s="2" t="s">
        <v>9</v>
      </c>
      <c r="C30" s="2" t="s">
        <v>63</v>
      </c>
      <c r="D30" s="2" t="s">
        <v>59</v>
      </c>
      <c r="E30" s="3">
        <v>45320</v>
      </c>
      <c r="F30" s="2" t="str">
        <f t="shared" si="0"/>
        <v>Jan</v>
      </c>
      <c r="G30" s="2">
        <v>468</v>
      </c>
      <c r="H30" s="2" t="s">
        <v>30</v>
      </c>
      <c r="I30" s="2">
        <v>500</v>
      </c>
      <c r="J30" s="2">
        <v>406</v>
      </c>
      <c r="K30" s="2">
        <v>10158035</v>
      </c>
      <c r="L30" s="2">
        <v>1559040</v>
      </c>
      <c r="M30" s="2">
        <v>8598995</v>
      </c>
    </row>
    <row r="31" spans="1:13">
      <c r="A31" s="2" t="s">
        <v>106</v>
      </c>
      <c r="B31" s="2" t="s">
        <v>41</v>
      </c>
      <c r="C31" s="2" t="s">
        <v>59</v>
      </c>
      <c r="D31" s="2" t="s">
        <v>63</v>
      </c>
      <c r="E31" s="3">
        <v>45321</v>
      </c>
      <c r="F31" s="2" t="str">
        <f t="shared" si="0"/>
        <v>Jan</v>
      </c>
      <c r="G31" s="2">
        <v>70</v>
      </c>
      <c r="H31" s="2" t="s">
        <v>31</v>
      </c>
      <c r="I31" s="2">
        <v>72</v>
      </c>
      <c r="J31" s="2">
        <v>66</v>
      </c>
      <c r="K31" s="2">
        <v>262151</v>
      </c>
      <c r="L31" s="2">
        <v>122100</v>
      </c>
      <c r="M31" s="2">
        <v>140051</v>
      </c>
    </row>
    <row r="32" spans="1:13">
      <c r="A32" s="2" t="s">
        <v>107</v>
      </c>
      <c r="B32" s="2" t="s">
        <v>39</v>
      </c>
      <c r="C32" s="2" t="s">
        <v>59</v>
      </c>
      <c r="D32" s="2" t="s">
        <v>61</v>
      </c>
      <c r="E32" s="3">
        <v>45322</v>
      </c>
      <c r="F32" s="2" t="str">
        <f t="shared" si="0"/>
        <v>Jan</v>
      </c>
      <c r="G32" s="2">
        <v>71</v>
      </c>
      <c r="H32" s="2" t="s">
        <v>28</v>
      </c>
      <c r="I32" s="2">
        <v>180</v>
      </c>
      <c r="J32" s="2">
        <v>128</v>
      </c>
      <c r="K32" s="2">
        <v>518420</v>
      </c>
      <c r="L32" s="2">
        <v>237440</v>
      </c>
      <c r="M32" s="2">
        <v>280980</v>
      </c>
    </row>
    <row r="33" spans="1:13">
      <c r="A33" s="2" t="s">
        <v>108</v>
      </c>
      <c r="B33" s="2" t="s">
        <v>46</v>
      </c>
      <c r="C33" s="2" t="s">
        <v>61</v>
      </c>
      <c r="D33" s="2" t="s">
        <v>59</v>
      </c>
      <c r="E33" s="3">
        <v>45323</v>
      </c>
      <c r="F33" s="2" t="str">
        <f t="shared" si="0"/>
        <v>Feb</v>
      </c>
      <c r="G33" s="2">
        <v>121</v>
      </c>
      <c r="H33" s="2" t="s">
        <v>32</v>
      </c>
      <c r="I33" s="2">
        <v>190</v>
      </c>
      <c r="J33" s="2">
        <v>135</v>
      </c>
      <c r="K33" s="2">
        <v>1139008</v>
      </c>
      <c r="L33" s="2">
        <v>284175</v>
      </c>
      <c r="M33" s="2">
        <v>854833</v>
      </c>
    </row>
    <row r="34" spans="1:13">
      <c r="A34" s="2" t="s">
        <v>109</v>
      </c>
      <c r="B34" s="2" t="s">
        <v>45</v>
      </c>
      <c r="C34" s="2" t="s">
        <v>61</v>
      </c>
      <c r="D34" s="2" t="s">
        <v>58</v>
      </c>
      <c r="E34" s="3">
        <v>45324</v>
      </c>
      <c r="F34" s="2" t="str">
        <f t="shared" si="0"/>
        <v>Feb</v>
      </c>
      <c r="G34" s="2">
        <v>293</v>
      </c>
      <c r="H34" s="2" t="s">
        <v>29</v>
      </c>
      <c r="I34" s="2">
        <v>200</v>
      </c>
      <c r="J34" s="2">
        <v>182</v>
      </c>
      <c r="K34" s="2">
        <v>2768032</v>
      </c>
      <c r="L34" s="2">
        <v>539630</v>
      </c>
      <c r="M34" s="2">
        <v>2228402</v>
      </c>
    </row>
    <row r="35" spans="1:13">
      <c r="A35" s="2" t="s">
        <v>110</v>
      </c>
      <c r="B35" s="2" t="s">
        <v>3</v>
      </c>
      <c r="C35" s="2" t="s">
        <v>58</v>
      </c>
      <c r="D35" s="2" t="s">
        <v>61</v>
      </c>
      <c r="E35" s="3">
        <v>45325</v>
      </c>
      <c r="F35" s="2" t="str">
        <f t="shared" si="0"/>
        <v>Feb</v>
      </c>
      <c r="G35" s="2">
        <v>280</v>
      </c>
      <c r="H35" s="2" t="s">
        <v>33</v>
      </c>
      <c r="I35" s="2">
        <v>260</v>
      </c>
      <c r="J35" s="2">
        <v>244</v>
      </c>
      <c r="K35" s="2">
        <v>4493087</v>
      </c>
      <c r="L35" s="2">
        <v>707600</v>
      </c>
      <c r="M35" s="2">
        <v>3785487</v>
      </c>
    </row>
    <row r="36" spans="1:13">
      <c r="A36" s="2" t="s">
        <v>111</v>
      </c>
      <c r="B36" s="2" t="s">
        <v>5</v>
      </c>
      <c r="C36" s="2" t="s">
        <v>59</v>
      </c>
      <c r="D36" s="2" t="s">
        <v>58</v>
      </c>
      <c r="E36" s="3">
        <v>45326</v>
      </c>
      <c r="F36" s="2" t="str">
        <f t="shared" si="0"/>
        <v>Feb</v>
      </c>
      <c r="G36" s="2">
        <v>184</v>
      </c>
      <c r="H36" s="2" t="s">
        <v>30</v>
      </c>
      <c r="I36" s="2">
        <v>500</v>
      </c>
      <c r="J36" s="2">
        <v>398</v>
      </c>
      <c r="K36" s="2">
        <v>3879431</v>
      </c>
      <c r="L36" s="2">
        <v>963160</v>
      </c>
      <c r="M36" s="2">
        <v>2916271</v>
      </c>
    </row>
    <row r="37" spans="1:13">
      <c r="A37" s="2" t="s">
        <v>112</v>
      </c>
      <c r="B37" s="2" t="s">
        <v>36</v>
      </c>
      <c r="C37" s="2" t="s">
        <v>58</v>
      </c>
      <c r="D37" s="2" t="s">
        <v>59</v>
      </c>
      <c r="E37" s="3">
        <v>45327</v>
      </c>
      <c r="F37" s="2" t="str">
        <f t="shared" si="0"/>
        <v>Feb</v>
      </c>
      <c r="G37" s="2">
        <v>132</v>
      </c>
      <c r="H37" s="2" t="s">
        <v>31</v>
      </c>
      <c r="I37" s="2">
        <v>72</v>
      </c>
      <c r="J37" s="2">
        <v>44</v>
      </c>
      <c r="K37" s="2">
        <v>481465</v>
      </c>
      <c r="L37" s="2">
        <v>95040</v>
      </c>
      <c r="M37" s="2">
        <v>386425</v>
      </c>
    </row>
    <row r="38" spans="1:13">
      <c r="A38" s="2" t="s">
        <v>113</v>
      </c>
      <c r="B38" s="2" t="s">
        <v>38</v>
      </c>
      <c r="C38" s="2" t="s">
        <v>59</v>
      </c>
      <c r="D38" s="2" t="s">
        <v>60</v>
      </c>
      <c r="E38" s="3">
        <v>45328</v>
      </c>
      <c r="F38" s="2" t="str">
        <f t="shared" si="0"/>
        <v>Feb</v>
      </c>
      <c r="G38" s="2">
        <v>149</v>
      </c>
      <c r="H38" s="2" t="s">
        <v>28</v>
      </c>
      <c r="I38" s="2">
        <v>180</v>
      </c>
      <c r="J38" s="2">
        <v>109</v>
      </c>
      <c r="K38" s="2">
        <v>1098521</v>
      </c>
      <c r="L38" s="2">
        <v>244705</v>
      </c>
      <c r="M38" s="2">
        <v>853816</v>
      </c>
    </row>
    <row r="39" spans="1:13">
      <c r="A39" s="2" t="s">
        <v>114</v>
      </c>
      <c r="B39" s="2" t="s">
        <v>44</v>
      </c>
      <c r="C39" s="2" t="s">
        <v>60</v>
      </c>
      <c r="D39" s="2" t="s">
        <v>59</v>
      </c>
      <c r="E39" s="3">
        <v>45329</v>
      </c>
      <c r="F39" s="2" t="str">
        <f t="shared" si="0"/>
        <v>Feb</v>
      </c>
      <c r="G39" s="2">
        <v>122</v>
      </c>
      <c r="H39" s="2" t="s">
        <v>32</v>
      </c>
      <c r="I39" s="2">
        <v>190</v>
      </c>
      <c r="J39" s="2">
        <v>173</v>
      </c>
      <c r="K39" s="2">
        <v>1092591</v>
      </c>
      <c r="L39" s="2">
        <v>365030</v>
      </c>
      <c r="M39" s="2">
        <v>727561</v>
      </c>
    </row>
    <row r="40" spans="1:13">
      <c r="A40" s="2" t="s">
        <v>115</v>
      </c>
      <c r="B40" s="2" t="s">
        <v>48</v>
      </c>
      <c r="C40" s="2" t="s">
        <v>61</v>
      </c>
      <c r="D40" s="2" t="s">
        <v>63</v>
      </c>
      <c r="E40" s="3">
        <v>45330</v>
      </c>
      <c r="F40" s="2" t="str">
        <f t="shared" si="0"/>
        <v>Feb</v>
      </c>
      <c r="G40" s="2">
        <v>175</v>
      </c>
      <c r="H40" s="2" t="s">
        <v>29</v>
      </c>
      <c r="I40" s="2">
        <v>200</v>
      </c>
      <c r="J40" s="2">
        <v>168</v>
      </c>
      <c r="K40" s="2">
        <v>1542577</v>
      </c>
      <c r="L40" s="2">
        <v>399000</v>
      </c>
      <c r="M40" s="2">
        <v>1143577</v>
      </c>
    </row>
    <row r="41" spans="1:13">
      <c r="A41" s="2" t="s">
        <v>116</v>
      </c>
      <c r="B41" s="2" t="s">
        <v>10</v>
      </c>
      <c r="C41" s="2" t="s">
        <v>63</v>
      </c>
      <c r="D41" s="2" t="s">
        <v>61</v>
      </c>
      <c r="E41" s="3">
        <v>45331</v>
      </c>
      <c r="F41" s="2" t="str">
        <f t="shared" si="0"/>
        <v>Feb</v>
      </c>
      <c r="G41" s="2">
        <v>410</v>
      </c>
      <c r="H41" s="2" t="s">
        <v>33</v>
      </c>
      <c r="I41" s="2">
        <v>260</v>
      </c>
      <c r="J41" s="2">
        <v>193</v>
      </c>
      <c r="K41" s="2">
        <v>6464327</v>
      </c>
      <c r="L41" s="2">
        <v>685150</v>
      </c>
      <c r="M41" s="2">
        <v>5779177</v>
      </c>
    </row>
    <row r="42" spans="1:13">
      <c r="A42" s="2" t="s">
        <v>117</v>
      </c>
      <c r="B42" s="2" t="s">
        <v>2</v>
      </c>
      <c r="C42" s="2" t="s">
        <v>58</v>
      </c>
      <c r="D42" s="2" t="s">
        <v>60</v>
      </c>
      <c r="E42" s="3">
        <v>45332</v>
      </c>
      <c r="F42" s="2" t="str">
        <f t="shared" si="0"/>
        <v>Feb</v>
      </c>
      <c r="G42" s="2">
        <v>215</v>
      </c>
      <c r="H42" s="2" t="s">
        <v>30</v>
      </c>
      <c r="I42" s="2">
        <v>500</v>
      </c>
      <c r="J42" s="2">
        <v>464</v>
      </c>
      <c r="K42" s="2">
        <v>4385024</v>
      </c>
      <c r="L42" s="2">
        <v>1194800</v>
      </c>
      <c r="M42" s="2">
        <v>3190224</v>
      </c>
    </row>
    <row r="43" spans="1:13">
      <c r="A43" s="2" t="s">
        <v>118</v>
      </c>
      <c r="B43" s="2" t="s">
        <v>43</v>
      </c>
      <c r="C43" s="2" t="s">
        <v>60</v>
      </c>
      <c r="D43" s="2" t="s">
        <v>58</v>
      </c>
      <c r="E43" s="3">
        <v>45333</v>
      </c>
      <c r="F43" s="2" t="str">
        <f t="shared" si="0"/>
        <v>Feb</v>
      </c>
      <c r="G43" s="2">
        <v>144</v>
      </c>
      <c r="H43" s="2" t="s">
        <v>31</v>
      </c>
      <c r="I43" s="2">
        <v>72</v>
      </c>
      <c r="J43" s="2">
        <v>47</v>
      </c>
      <c r="K43" s="2">
        <v>547313</v>
      </c>
      <c r="L43" s="2">
        <v>104340</v>
      </c>
      <c r="M43" s="2">
        <v>442973</v>
      </c>
    </row>
    <row r="44" spans="1:13">
      <c r="A44" s="2" t="s">
        <v>119</v>
      </c>
      <c r="B44" s="2" t="s">
        <v>40</v>
      </c>
      <c r="C44" s="2" t="s">
        <v>59</v>
      </c>
      <c r="D44" s="2" t="s">
        <v>62</v>
      </c>
      <c r="E44" s="3">
        <v>45334</v>
      </c>
      <c r="F44" s="2" t="str">
        <f t="shared" si="0"/>
        <v>Feb</v>
      </c>
      <c r="G44" s="2">
        <v>104</v>
      </c>
      <c r="H44" s="2" t="s">
        <v>28</v>
      </c>
      <c r="I44" s="2">
        <v>180</v>
      </c>
      <c r="J44" s="2">
        <v>126</v>
      </c>
      <c r="K44" s="2">
        <v>766354</v>
      </c>
      <c r="L44" s="2">
        <v>509040</v>
      </c>
      <c r="M44" s="2">
        <v>257314</v>
      </c>
    </row>
    <row r="45" spans="1:13">
      <c r="A45" s="2" t="s">
        <v>120</v>
      </c>
      <c r="B45" s="2" t="s">
        <v>51</v>
      </c>
      <c r="C45" s="2" t="s">
        <v>62</v>
      </c>
      <c r="D45" s="2" t="s">
        <v>59</v>
      </c>
      <c r="E45" s="3">
        <v>45335</v>
      </c>
      <c r="F45" s="2" t="str">
        <f t="shared" si="0"/>
        <v>Feb</v>
      </c>
      <c r="G45" s="2">
        <v>343</v>
      </c>
      <c r="H45" s="2" t="s">
        <v>32</v>
      </c>
      <c r="I45" s="2">
        <v>190</v>
      </c>
      <c r="J45" s="2">
        <v>167</v>
      </c>
      <c r="K45" s="2">
        <v>2893488</v>
      </c>
      <c r="L45" s="2">
        <v>1073810</v>
      </c>
      <c r="M45" s="2">
        <v>1819678</v>
      </c>
    </row>
    <row r="46" spans="1:13">
      <c r="A46" s="2" t="s">
        <v>121</v>
      </c>
      <c r="B46" s="2" t="s">
        <v>47</v>
      </c>
      <c r="C46" s="2" t="s">
        <v>61</v>
      </c>
      <c r="D46" s="2" t="s">
        <v>62</v>
      </c>
      <c r="E46" s="3">
        <v>45336</v>
      </c>
      <c r="F46" s="2" t="str">
        <f t="shared" si="0"/>
        <v>Feb</v>
      </c>
      <c r="G46" s="2">
        <v>365</v>
      </c>
      <c r="H46" s="2" t="s">
        <v>29</v>
      </c>
      <c r="I46" s="2">
        <v>200</v>
      </c>
      <c r="J46" s="2">
        <v>181</v>
      </c>
      <c r="K46" s="2">
        <v>3345683</v>
      </c>
      <c r="L46" s="2">
        <v>601825</v>
      </c>
      <c r="M46" s="2">
        <v>2743858</v>
      </c>
    </row>
    <row r="47" spans="1:13">
      <c r="A47" s="2" t="s">
        <v>122</v>
      </c>
      <c r="B47" s="2" t="s">
        <v>8</v>
      </c>
      <c r="C47" s="2" t="s">
        <v>62</v>
      </c>
      <c r="D47" s="2" t="s">
        <v>61</v>
      </c>
      <c r="E47" s="3">
        <v>45337</v>
      </c>
      <c r="F47" s="2" t="str">
        <f t="shared" si="0"/>
        <v>Feb</v>
      </c>
      <c r="G47" s="2">
        <v>527</v>
      </c>
      <c r="H47" s="2" t="s">
        <v>33</v>
      </c>
      <c r="I47" s="2">
        <v>260</v>
      </c>
      <c r="J47" s="2">
        <v>188</v>
      </c>
      <c r="K47" s="2">
        <v>8548195</v>
      </c>
      <c r="L47" s="2">
        <v>777380</v>
      </c>
      <c r="M47" s="2">
        <v>7770815</v>
      </c>
    </row>
    <row r="48" spans="1:13">
      <c r="A48" s="2" t="s">
        <v>123</v>
      </c>
      <c r="B48" s="2" t="s">
        <v>4</v>
      </c>
      <c r="C48" s="2" t="s">
        <v>58</v>
      </c>
      <c r="D48" s="2" t="s">
        <v>66</v>
      </c>
      <c r="E48" s="3">
        <v>45338</v>
      </c>
      <c r="F48" s="2" t="str">
        <f t="shared" si="0"/>
        <v>Feb</v>
      </c>
      <c r="G48" s="2">
        <v>462</v>
      </c>
      <c r="H48" s="2" t="s">
        <v>30</v>
      </c>
      <c r="I48" s="2">
        <v>500</v>
      </c>
      <c r="J48" s="2">
        <v>374</v>
      </c>
      <c r="K48" s="2">
        <v>9827691</v>
      </c>
      <c r="L48" s="2">
        <v>2849880</v>
      </c>
      <c r="M48" s="2">
        <v>6977811</v>
      </c>
    </row>
    <row r="49" spans="1:13">
      <c r="A49" s="2" t="s">
        <v>124</v>
      </c>
      <c r="B49" s="2" t="s">
        <v>54</v>
      </c>
      <c r="C49" s="2" t="s">
        <v>66</v>
      </c>
      <c r="D49" s="2" t="s">
        <v>58</v>
      </c>
      <c r="E49" s="3">
        <v>45339</v>
      </c>
      <c r="F49" s="2" t="str">
        <f t="shared" si="0"/>
        <v>Feb</v>
      </c>
      <c r="G49" s="2">
        <v>134</v>
      </c>
      <c r="H49" s="2" t="s">
        <v>31</v>
      </c>
      <c r="I49" s="2">
        <v>72</v>
      </c>
      <c r="J49" s="2">
        <v>50</v>
      </c>
      <c r="K49" s="2">
        <v>437544</v>
      </c>
      <c r="L49" s="2">
        <v>217000</v>
      </c>
      <c r="M49" s="2">
        <v>220544</v>
      </c>
    </row>
    <row r="50" spans="1:13">
      <c r="A50" s="2" t="s">
        <v>125</v>
      </c>
      <c r="B50" s="2" t="s">
        <v>42</v>
      </c>
      <c r="C50" s="2" t="s">
        <v>59</v>
      </c>
      <c r="D50" s="2" t="s">
        <v>66</v>
      </c>
      <c r="E50" s="3">
        <v>45340</v>
      </c>
      <c r="F50" s="2" t="str">
        <f t="shared" si="0"/>
        <v>Feb</v>
      </c>
      <c r="G50" s="2">
        <v>214</v>
      </c>
      <c r="H50" s="2" t="s">
        <v>28</v>
      </c>
      <c r="I50" s="2">
        <v>180</v>
      </c>
      <c r="J50" s="2">
        <v>134</v>
      </c>
      <c r="K50" s="2">
        <v>1616849</v>
      </c>
      <c r="L50" s="2">
        <v>688760</v>
      </c>
      <c r="M50" s="2">
        <v>928089</v>
      </c>
    </row>
    <row r="51" spans="1:13">
      <c r="A51" s="2" t="s">
        <v>126</v>
      </c>
      <c r="B51" s="2" t="s">
        <v>55</v>
      </c>
      <c r="C51" s="2" t="s">
        <v>66</v>
      </c>
      <c r="D51" s="2" t="s">
        <v>59</v>
      </c>
      <c r="E51" s="3">
        <v>45341</v>
      </c>
      <c r="F51" s="2" t="str">
        <f t="shared" si="0"/>
        <v>Feb</v>
      </c>
      <c r="G51" s="2">
        <v>293</v>
      </c>
      <c r="H51" s="2" t="s">
        <v>32</v>
      </c>
      <c r="I51" s="2">
        <v>190</v>
      </c>
      <c r="J51" s="2">
        <v>136</v>
      </c>
      <c r="K51" s="2">
        <v>2870590</v>
      </c>
      <c r="L51" s="2">
        <v>806480</v>
      </c>
      <c r="M51" s="2">
        <v>2064110</v>
      </c>
    </row>
    <row r="52" spans="1:13">
      <c r="A52" s="2" t="s">
        <v>127</v>
      </c>
      <c r="B52" s="2" t="s">
        <v>50</v>
      </c>
      <c r="C52" s="2" t="s">
        <v>61</v>
      </c>
      <c r="D52" s="2" t="s">
        <v>65</v>
      </c>
      <c r="E52" s="3">
        <v>45342</v>
      </c>
      <c r="F52" s="2" t="str">
        <f t="shared" si="0"/>
        <v>Feb</v>
      </c>
      <c r="G52" s="2">
        <v>239</v>
      </c>
      <c r="H52" s="2" t="s">
        <v>29</v>
      </c>
      <c r="I52" s="2">
        <v>200</v>
      </c>
      <c r="J52" s="2">
        <v>156</v>
      </c>
      <c r="K52" s="2">
        <v>2362690</v>
      </c>
      <c r="L52" s="2">
        <v>840840</v>
      </c>
      <c r="M52" s="2">
        <v>1521850</v>
      </c>
    </row>
    <row r="53" spans="1:13">
      <c r="A53" s="2" t="s">
        <v>128</v>
      </c>
      <c r="B53" s="2" t="s">
        <v>11</v>
      </c>
      <c r="C53" s="2" t="s">
        <v>65</v>
      </c>
      <c r="D53" s="2" t="s">
        <v>61</v>
      </c>
      <c r="E53" s="3">
        <v>45343</v>
      </c>
      <c r="F53" s="2" t="str">
        <f t="shared" si="0"/>
        <v>Feb</v>
      </c>
      <c r="G53" s="2">
        <v>292</v>
      </c>
      <c r="H53" s="2" t="s">
        <v>33</v>
      </c>
      <c r="I53" s="2">
        <v>260</v>
      </c>
      <c r="J53" s="2">
        <v>161</v>
      </c>
      <c r="K53" s="2">
        <v>4164429</v>
      </c>
      <c r="L53" s="2">
        <v>953120</v>
      </c>
      <c r="M53" s="2">
        <v>3211309</v>
      </c>
    </row>
    <row r="54" spans="1:13">
      <c r="A54" s="2" t="s">
        <v>129</v>
      </c>
      <c r="B54" s="2" t="s">
        <v>6</v>
      </c>
      <c r="C54" s="2" t="s">
        <v>59</v>
      </c>
      <c r="D54" s="2" t="s">
        <v>65</v>
      </c>
      <c r="E54" s="3">
        <v>45344</v>
      </c>
      <c r="F54" s="2" t="str">
        <f t="shared" si="0"/>
        <v>Feb</v>
      </c>
      <c r="G54" s="2">
        <v>447</v>
      </c>
      <c r="H54" s="2" t="s">
        <v>30</v>
      </c>
      <c r="I54" s="2">
        <v>500</v>
      </c>
      <c r="J54" s="2">
        <v>344</v>
      </c>
      <c r="K54" s="2">
        <v>8935080</v>
      </c>
      <c r="L54" s="2">
        <v>2569680</v>
      </c>
      <c r="M54" s="2">
        <v>6365400</v>
      </c>
    </row>
    <row r="55" spans="1:13">
      <c r="A55" s="2" t="s">
        <v>130</v>
      </c>
      <c r="B55" s="2" t="s">
        <v>53</v>
      </c>
      <c r="C55" s="2" t="s">
        <v>65</v>
      </c>
      <c r="D55" s="2" t="s">
        <v>59</v>
      </c>
      <c r="E55" s="3">
        <v>45345</v>
      </c>
      <c r="F55" s="2" t="str">
        <f t="shared" si="0"/>
        <v>Feb</v>
      </c>
      <c r="G55" s="2">
        <v>142</v>
      </c>
      <c r="H55" s="2" t="s">
        <v>31</v>
      </c>
      <c r="I55" s="2">
        <v>72</v>
      </c>
      <c r="J55" s="2">
        <v>46</v>
      </c>
      <c r="K55" s="2">
        <v>546475</v>
      </c>
      <c r="L55" s="2">
        <v>203320</v>
      </c>
      <c r="M55" s="2">
        <v>343155</v>
      </c>
    </row>
    <row r="56" spans="1:13">
      <c r="A56" s="2" t="s">
        <v>131</v>
      </c>
      <c r="B56" s="2" t="s">
        <v>49</v>
      </c>
      <c r="C56" s="2" t="s">
        <v>61</v>
      </c>
      <c r="D56" s="2" t="s">
        <v>64</v>
      </c>
      <c r="E56" s="3">
        <v>45346</v>
      </c>
      <c r="F56" s="2" t="str">
        <f t="shared" si="0"/>
        <v>Feb</v>
      </c>
      <c r="G56" s="2">
        <v>246</v>
      </c>
      <c r="H56" s="2" t="s">
        <v>28</v>
      </c>
      <c r="I56" s="2">
        <v>180</v>
      </c>
      <c r="J56" s="2">
        <v>146</v>
      </c>
      <c r="K56" s="2">
        <v>1969054</v>
      </c>
      <c r="L56" s="2">
        <v>797160</v>
      </c>
      <c r="M56" s="2">
        <v>1171894</v>
      </c>
    </row>
    <row r="57" spans="1:13">
      <c r="A57" s="2" t="s">
        <v>132</v>
      </c>
      <c r="B57" s="2" t="s">
        <v>52</v>
      </c>
      <c r="C57" s="2" t="s">
        <v>64</v>
      </c>
      <c r="D57" s="2" t="s">
        <v>61</v>
      </c>
      <c r="E57" s="3">
        <v>45347</v>
      </c>
      <c r="F57" s="2" t="str">
        <f t="shared" si="0"/>
        <v>Feb</v>
      </c>
      <c r="G57" s="2">
        <v>113</v>
      </c>
      <c r="H57" s="2" t="s">
        <v>32</v>
      </c>
      <c r="I57" s="2">
        <v>190</v>
      </c>
      <c r="J57" s="2">
        <v>116</v>
      </c>
      <c r="K57" s="2">
        <v>985487</v>
      </c>
      <c r="L57" s="2">
        <v>479080</v>
      </c>
      <c r="M57" s="2">
        <v>506407</v>
      </c>
    </row>
    <row r="58" spans="1:13">
      <c r="A58" s="2" t="s">
        <v>133</v>
      </c>
      <c r="B58" s="2" t="s">
        <v>37</v>
      </c>
      <c r="C58" s="2" t="s">
        <v>58</v>
      </c>
      <c r="D58" s="2" t="s">
        <v>62</v>
      </c>
      <c r="E58" s="3">
        <v>45348</v>
      </c>
      <c r="F58" s="2" t="str">
        <f t="shared" si="0"/>
        <v>Feb</v>
      </c>
      <c r="G58" s="2">
        <v>205</v>
      </c>
      <c r="H58" s="2" t="s">
        <v>29</v>
      </c>
      <c r="I58" s="2">
        <v>200</v>
      </c>
      <c r="J58" s="2">
        <v>130</v>
      </c>
      <c r="K58" s="2">
        <v>1943391</v>
      </c>
      <c r="L58" s="2">
        <v>656500</v>
      </c>
      <c r="M58" s="2">
        <v>1286891</v>
      </c>
    </row>
    <row r="59" spans="1:13">
      <c r="A59" s="2" t="s">
        <v>134</v>
      </c>
      <c r="B59" s="2" t="s">
        <v>7</v>
      </c>
      <c r="C59" s="2" t="s">
        <v>62</v>
      </c>
      <c r="D59" s="2" t="s">
        <v>58</v>
      </c>
      <c r="E59" s="3">
        <v>45349</v>
      </c>
      <c r="F59" s="2" t="str">
        <f t="shared" si="0"/>
        <v>Feb</v>
      </c>
      <c r="G59" s="2">
        <v>339</v>
      </c>
      <c r="H59" s="2" t="s">
        <v>33</v>
      </c>
      <c r="I59" s="2">
        <v>260</v>
      </c>
      <c r="J59" s="2">
        <v>206</v>
      </c>
      <c r="K59" s="2">
        <v>5179272</v>
      </c>
      <c r="L59" s="2">
        <v>1316340</v>
      </c>
      <c r="M59" s="2">
        <v>3862932</v>
      </c>
    </row>
    <row r="60" spans="1:13">
      <c r="A60" s="2" t="s">
        <v>135</v>
      </c>
      <c r="B60" s="2" t="s">
        <v>9</v>
      </c>
      <c r="C60" s="2" t="s">
        <v>63</v>
      </c>
      <c r="D60" s="2" t="s">
        <v>59</v>
      </c>
      <c r="E60" s="3">
        <v>45350</v>
      </c>
      <c r="F60" s="2" t="str">
        <f t="shared" si="0"/>
        <v>Feb</v>
      </c>
      <c r="G60" s="2">
        <v>382</v>
      </c>
      <c r="H60" s="2" t="s">
        <v>30</v>
      </c>
      <c r="I60" s="2">
        <v>500</v>
      </c>
      <c r="J60" s="2">
        <v>364</v>
      </c>
      <c r="K60" s="2">
        <v>7246020</v>
      </c>
      <c r="L60" s="2">
        <v>1241240</v>
      </c>
      <c r="M60" s="2">
        <v>6004780</v>
      </c>
    </row>
    <row r="61" spans="1:13">
      <c r="A61" s="2" t="s">
        <v>136</v>
      </c>
      <c r="B61" s="2" t="s">
        <v>41</v>
      </c>
      <c r="C61" s="2" t="s">
        <v>59</v>
      </c>
      <c r="D61" s="2" t="s">
        <v>63</v>
      </c>
      <c r="E61" s="3">
        <v>45351</v>
      </c>
      <c r="F61" s="2" t="str">
        <f t="shared" si="0"/>
        <v>Feb</v>
      </c>
      <c r="G61" s="2">
        <v>67</v>
      </c>
      <c r="H61" s="2" t="s">
        <v>31</v>
      </c>
      <c r="I61" s="2">
        <v>72</v>
      </c>
      <c r="J61" s="2">
        <v>52</v>
      </c>
      <c r="K61" s="2">
        <v>240705</v>
      </c>
      <c r="L61" s="2">
        <v>95420</v>
      </c>
      <c r="M61" s="2">
        <v>145285</v>
      </c>
    </row>
    <row r="62" spans="1:13">
      <c r="A62" s="2" t="s">
        <v>137</v>
      </c>
      <c r="B62" s="2" t="s">
        <v>39</v>
      </c>
      <c r="C62" s="2" t="s">
        <v>59</v>
      </c>
      <c r="D62" s="2" t="s">
        <v>61</v>
      </c>
      <c r="E62" s="3">
        <v>45352</v>
      </c>
      <c r="F62" s="2" t="str">
        <f t="shared" si="0"/>
        <v>Mar</v>
      </c>
      <c r="G62" s="2">
        <v>257</v>
      </c>
      <c r="H62" s="2" t="s">
        <v>28</v>
      </c>
      <c r="I62" s="2">
        <v>180</v>
      </c>
      <c r="J62" s="2">
        <v>133</v>
      </c>
      <c r="K62" s="2">
        <v>2186116</v>
      </c>
      <c r="L62" s="2">
        <v>370405</v>
      </c>
      <c r="M62" s="2">
        <v>1815711</v>
      </c>
    </row>
    <row r="63" spans="1:13">
      <c r="A63" s="2" t="s">
        <v>138</v>
      </c>
      <c r="B63" s="2" t="s">
        <v>46</v>
      </c>
      <c r="C63" s="2" t="s">
        <v>61</v>
      </c>
      <c r="D63" s="2" t="s">
        <v>59</v>
      </c>
      <c r="E63" s="3">
        <v>45353</v>
      </c>
      <c r="F63" s="2" t="str">
        <f t="shared" si="0"/>
        <v>Mar</v>
      </c>
      <c r="G63" s="2">
        <v>203</v>
      </c>
      <c r="H63" s="2" t="s">
        <v>32</v>
      </c>
      <c r="I63" s="2">
        <v>190</v>
      </c>
      <c r="J63" s="2">
        <v>169</v>
      </c>
      <c r="K63" s="2">
        <v>1761513</v>
      </c>
      <c r="L63" s="2">
        <v>425035</v>
      </c>
      <c r="M63" s="2">
        <v>1336478</v>
      </c>
    </row>
    <row r="64" spans="1:13">
      <c r="A64" s="2" t="s">
        <v>139</v>
      </c>
      <c r="B64" s="2" t="s">
        <v>45</v>
      </c>
      <c r="C64" s="2" t="s">
        <v>61</v>
      </c>
      <c r="D64" s="2" t="s">
        <v>58</v>
      </c>
      <c r="E64" s="3">
        <v>45354</v>
      </c>
      <c r="F64" s="2" t="str">
        <f t="shared" si="0"/>
        <v>Mar</v>
      </c>
      <c r="G64" s="2">
        <v>338</v>
      </c>
      <c r="H64" s="2" t="s">
        <v>29</v>
      </c>
      <c r="I64" s="2">
        <v>200</v>
      </c>
      <c r="J64" s="2">
        <v>161</v>
      </c>
      <c r="K64" s="2">
        <v>3325031</v>
      </c>
      <c r="L64" s="2">
        <v>513590</v>
      </c>
      <c r="M64" s="2">
        <v>2811441</v>
      </c>
    </row>
    <row r="65" spans="1:13">
      <c r="A65" s="2" t="s">
        <v>140</v>
      </c>
      <c r="B65" s="2" t="s">
        <v>3</v>
      </c>
      <c r="C65" s="2" t="s">
        <v>58</v>
      </c>
      <c r="D65" s="2" t="s">
        <v>61</v>
      </c>
      <c r="E65" s="3">
        <v>45355</v>
      </c>
      <c r="F65" s="2" t="str">
        <f t="shared" si="0"/>
        <v>Mar</v>
      </c>
      <c r="G65" s="2">
        <v>525</v>
      </c>
      <c r="H65" s="2" t="s">
        <v>33</v>
      </c>
      <c r="I65" s="2">
        <v>260</v>
      </c>
      <c r="J65" s="2">
        <v>202</v>
      </c>
      <c r="K65" s="2">
        <v>7444230</v>
      </c>
      <c r="L65" s="2">
        <v>833250</v>
      </c>
      <c r="M65" s="2">
        <v>6610980</v>
      </c>
    </row>
    <row r="66" spans="1:13">
      <c r="A66" s="2" t="s">
        <v>141</v>
      </c>
      <c r="B66" s="2" t="s">
        <v>5</v>
      </c>
      <c r="C66" s="2" t="s">
        <v>59</v>
      </c>
      <c r="D66" s="2" t="s">
        <v>58</v>
      </c>
      <c r="E66" s="3">
        <v>45356</v>
      </c>
      <c r="F66" s="2" t="str">
        <f t="shared" si="0"/>
        <v>Mar</v>
      </c>
      <c r="G66" s="2">
        <v>531</v>
      </c>
      <c r="H66" s="2" t="s">
        <v>30</v>
      </c>
      <c r="I66" s="2">
        <v>500</v>
      </c>
      <c r="J66" s="2">
        <v>316</v>
      </c>
      <c r="K66" s="2">
        <v>11555671</v>
      </c>
      <c r="L66" s="2">
        <v>1312980</v>
      </c>
      <c r="M66" s="2">
        <v>10242691</v>
      </c>
    </row>
    <row r="67" spans="1:13">
      <c r="A67" s="2" t="s">
        <v>142</v>
      </c>
      <c r="B67" s="2" t="s">
        <v>36</v>
      </c>
      <c r="C67" s="2" t="s">
        <v>58</v>
      </c>
      <c r="D67" s="2" t="s">
        <v>59</v>
      </c>
      <c r="E67" s="3">
        <v>45357</v>
      </c>
      <c r="F67" s="2" t="str">
        <f t="shared" ref="F67:F130" si="1">TEXT(E67,"mmm")</f>
        <v>Mar</v>
      </c>
      <c r="G67" s="2">
        <v>69</v>
      </c>
      <c r="H67" s="2" t="s">
        <v>31</v>
      </c>
      <c r="I67" s="2">
        <v>72</v>
      </c>
      <c r="J67" s="2">
        <v>52</v>
      </c>
      <c r="K67" s="2">
        <v>262594</v>
      </c>
      <c r="L67" s="2">
        <v>95940</v>
      </c>
      <c r="M67" s="2">
        <v>166654</v>
      </c>
    </row>
    <row r="68" spans="1:13">
      <c r="A68" s="2" t="s">
        <v>143</v>
      </c>
      <c r="B68" s="2" t="s">
        <v>38</v>
      </c>
      <c r="C68" s="2" t="s">
        <v>59</v>
      </c>
      <c r="D68" s="2" t="s">
        <v>60</v>
      </c>
      <c r="E68" s="3">
        <v>45358</v>
      </c>
      <c r="F68" s="2" t="str">
        <f t="shared" si="1"/>
        <v>Mar</v>
      </c>
      <c r="G68" s="2">
        <v>188</v>
      </c>
      <c r="H68" s="2" t="s">
        <v>28</v>
      </c>
      <c r="I68" s="2">
        <v>180</v>
      </c>
      <c r="J68" s="2">
        <v>150</v>
      </c>
      <c r="K68" s="2">
        <v>1574753</v>
      </c>
      <c r="L68" s="2">
        <v>366000</v>
      </c>
      <c r="M68" s="2">
        <v>1208753</v>
      </c>
    </row>
    <row r="69" spans="1:13">
      <c r="A69" s="2" t="s">
        <v>144</v>
      </c>
      <c r="B69" s="2" t="s">
        <v>44</v>
      </c>
      <c r="C69" s="2" t="s">
        <v>60</v>
      </c>
      <c r="D69" s="2" t="s">
        <v>59</v>
      </c>
      <c r="E69" s="3">
        <v>45359</v>
      </c>
      <c r="F69" s="2" t="str">
        <f t="shared" si="1"/>
        <v>Mar</v>
      </c>
      <c r="G69" s="2">
        <v>210</v>
      </c>
      <c r="H69" s="2" t="s">
        <v>32</v>
      </c>
      <c r="I69" s="2">
        <v>190</v>
      </c>
      <c r="J69" s="2">
        <v>150</v>
      </c>
      <c r="K69" s="2">
        <v>1964006</v>
      </c>
      <c r="L69" s="2">
        <v>382500</v>
      </c>
      <c r="M69" s="2">
        <v>1581506</v>
      </c>
    </row>
    <row r="70" spans="1:13">
      <c r="A70" s="2" t="s">
        <v>145</v>
      </c>
      <c r="B70" s="2" t="s">
        <v>48</v>
      </c>
      <c r="C70" s="2" t="s">
        <v>61</v>
      </c>
      <c r="D70" s="2" t="s">
        <v>63</v>
      </c>
      <c r="E70" s="3">
        <v>45360</v>
      </c>
      <c r="F70" s="2" t="str">
        <f t="shared" si="1"/>
        <v>Mar</v>
      </c>
      <c r="G70" s="2">
        <v>342</v>
      </c>
      <c r="H70" s="2" t="s">
        <v>29</v>
      </c>
      <c r="I70" s="2">
        <v>200</v>
      </c>
      <c r="J70" s="2">
        <v>166</v>
      </c>
      <c r="K70" s="2">
        <v>3455130</v>
      </c>
      <c r="L70" s="2">
        <v>532860</v>
      </c>
      <c r="M70" s="2">
        <v>2922270</v>
      </c>
    </row>
    <row r="71" spans="1:13">
      <c r="A71" s="2" t="s">
        <v>146</v>
      </c>
      <c r="B71" s="2" t="s">
        <v>10</v>
      </c>
      <c r="C71" s="2" t="s">
        <v>63</v>
      </c>
      <c r="D71" s="2" t="s">
        <v>61</v>
      </c>
      <c r="E71" s="3">
        <v>45361</v>
      </c>
      <c r="F71" s="2" t="str">
        <f t="shared" si="1"/>
        <v>Mar</v>
      </c>
      <c r="G71" s="2">
        <v>239</v>
      </c>
      <c r="H71" s="2" t="s">
        <v>33</v>
      </c>
      <c r="I71" s="2">
        <v>260</v>
      </c>
      <c r="J71" s="2">
        <v>179</v>
      </c>
      <c r="K71" s="2">
        <v>3940813</v>
      </c>
      <c r="L71" s="2">
        <v>482405</v>
      </c>
      <c r="M71" s="2">
        <v>3458408</v>
      </c>
    </row>
    <row r="72" spans="1:13">
      <c r="A72" s="2" t="s">
        <v>147</v>
      </c>
      <c r="B72" s="2" t="s">
        <v>2</v>
      </c>
      <c r="C72" s="2" t="s">
        <v>58</v>
      </c>
      <c r="D72" s="2" t="s">
        <v>60</v>
      </c>
      <c r="E72" s="3">
        <v>45362</v>
      </c>
      <c r="F72" s="2" t="str">
        <f t="shared" si="1"/>
        <v>Mar</v>
      </c>
      <c r="G72" s="2">
        <v>433</v>
      </c>
      <c r="H72" s="2" t="s">
        <v>30</v>
      </c>
      <c r="I72" s="2">
        <v>500</v>
      </c>
      <c r="J72" s="2">
        <v>457</v>
      </c>
      <c r="K72" s="2">
        <v>9353524</v>
      </c>
      <c r="L72" s="2">
        <v>1674905</v>
      </c>
      <c r="M72" s="2">
        <v>7678619</v>
      </c>
    </row>
    <row r="73" spans="1:13">
      <c r="A73" s="2" t="s">
        <v>148</v>
      </c>
      <c r="B73" s="2" t="s">
        <v>43</v>
      </c>
      <c r="C73" s="2" t="s">
        <v>60</v>
      </c>
      <c r="D73" s="2" t="s">
        <v>58</v>
      </c>
      <c r="E73" s="3">
        <v>45363</v>
      </c>
      <c r="F73" s="2" t="str">
        <f t="shared" si="1"/>
        <v>Mar</v>
      </c>
      <c r="G73" s="2">
        <v>148</v>
      </c>
      <c r="H73" s="2" t="s">
        <v>31</v>
      </c>
      <c r="I73" s="2">
        <v>72</v>
      </c>
      <c r="J73" s="2">
        <v>51</v>
      </c>
      <c r="K73" s="2">
        <v>502378</v>
      </c>
      <c r="L73" s="2">
        <v>114240</v>
      </c>
      <c r="M73" s="2">
        <v>388138</v>
      </c>
    </row>
    <row r="74" spans="1:13">
      <c r="A74" s="2" t="s">
        <v>149</v>
      </c>
      <c r="B74" s="2" t="s">
        <v>40</v>
      </c>
      <c r="C74" s="2" t="s">
        <v>59</v>
      </c>
      <c r="D74" s="2" t="s">
        <v>62</v>
      </c>
      <c r="E74" s="3">
        <v>45364</v>
      </c>
      <c r="F74" s="2" t="str">
        <f t="shared" si="1"/>
        <v>Mar</v>
      </c>
      <c r="G74" s="2">
        <v>107</v>
      </c>
      <c r="H74" s="2" t="s">
        <v>28</v>
      </c>
      <c r="I74" s="2">
        <v>180</v>
      </c>
      <c r="J74" s="2">
        <v>161</v>
      </c>
      <c r="K74" s="2">
        <v>917002</v>
      </c>
      <c r="L74" s="2">
        <v>655270</v>
      </c>
      <c r="M74" s="2">
        <v>261732</v>
      </c>
    </row>
    <row r="75" spans="1:13">
      <c r="A75" s="2" t="s">
        <v>150</v>
      </c>
      <c r="B75" s="2" t="s">
        <v>51</v>
      </c>
      <c r="C75" s="2" t="s">
        <v>62</v>
      </c>
      <c r="D75" s="2" t="s">
        <v>59</v>
      </c>
      <c r="E75" s="3">
        <v>45365</v>
      </c>
      <c r="F75" s="2" t="str">
        <f t="shared" si="1"/>
        <v>Mar</v>
      </c>
      <c r="G75" s="2">
        <v>113</v>
      </c>
      <c r="H75" s="2" t="s">
        <v>32</v>
      </c>
      <c r="I75" s="2">
        <v>190</v>
      </c>
      <c r="J75" s="2">
        <v>165</v>
      </c>
      <c r="K75" s="2">
        <v>1045889</v>
      </c>
      <c r="L75" s="2">
        <v>681450</v>
      </c>
      <c r="M75" s="2">
        <v>364439</v>
      </c>
    </row>
    <row r="76" spans="1:13">
      <c r="A76" s="2" t="s">
        <v>151</v>
      </c>
      <c r="B76" s="2" t="s">
        <v>47</v>
      </c>
      <c r="C76" s="2" t="s">
        <v>61</v>
      </c>
      <c r="D76" s="2" t="s">
        <v>62</v>
      </c>
      <c r="E76" s="3">
        <v>45366</v>
      </c>
      <c r="F76" s="2" t="str">
        <f t="shared" si="1"/>
        <v>Mar</v>
      </c>
      <c r="G76" s="2">
        <v>154</v>
      </c>
      <c r="H76" s="2" t="s">
        <v>29</v>
      </c>
      <c r="I76" s="2">
        <v>200</v>
      </c>
      <c r="J76" s="2">
        <v>185</v>
      </c>
      <c r="K76" s="2">
        <v>1546490</v>
      </c>
      <c r="L76" s="2">
        <v>419950</v>
      </c>
      <c r="M76" s="2">
        <v>1126540</v>
      </c>
    </row>
    <row r="77" spans="1:13">
      <c r="A77" s="2" t="s">
        <v>152</v>
      </c>
      <c r="B77" s="2" t="s">
        <v>8</v>
      </c>
      <c r="C77" s="2" t="s">
        <v>62</v>
      </c>
      <c r="D77" s="2" t="s">
        <v>61</v>
      </c>
      <c r="E77" s="3">
        <v>45367</v>
      </c>
      <c r="F77" s="2" t="str">
        <f t="shared" si="1"/>
        <v>Mar</v>
      </c>
      <c r="G77" s="2">
        <v>283</v>
      </c>
      <c r="H77" s="2" t="s">
        <v>33</v>
      </c>
      <c r="I77" s="2">
        <v>260</v>
      </c>
      <c r="J77" s="2">
        <v>211</v>
      </c>
      <c r="K77" s="2">
        <v>3828308</v>
      </c>
      <c r="L77" s="2">
        <v>615065</v>
      </c>
      <c r="M77" s="2">
        <v>3213243</v>
      </c>
    </row>
    <row r="78" spans="1:13">
      <c r="A78" s="2" t="s">
        <v>153</v>
      </c>
      <c r="B78" s="2" t="s">
        <v>4</v>
      </c>
      <c r="C78" s="2" t="s">
        <v>58</v>
      </c>
      <c r="D78" s="2" t="s">
        <v>66</v>
      </c>
      <c r="E78" s="3">
        <v>45368</v>
      </c>
      <c r="F78" s="2" t="str">
        <f t="shared" si="1"/>
        <v>Mar</v>
      </c>
      <c r="G78" s="2">
        <v>278</v>
      </c>
      <c r="H78" s="2" t="s">
        <v>30</v>
      </c>
      <c r="I78" s="2">
        <v>500</v>
      </c>
      <c r="J78" s="2">
        <v>470</v>
      </c>
      <c r="K78" s="2">
        <v>5319720</v>
      </c>
      <c r="L78" s="2">
        <v>2716600</v>
      </c>
      <c r="M78" s="2">
        <v>2603120</v>
      </c>
    </row>
    <row r="79" spans="1:13">
      <c r="A79" s="2" t="s">
        <v>154</v>
      </c>
      <c r="B79" s="2" t="s">
        <v>54</v>
      </c>
      <c r="C79" s="2" t="s">
        <v>66</v>
      </c>
      <c r="D79" s="2" t="s">
        <v>58</v>
      </c>
      <c r="E79" s="3">
        <v>45369</v>
      </c>
      <c r="F79" s="2" t="str">
        <f t="shared" si="1"/>
        <v>Mar</v>
      </c>
      <c r="G79" s="2">
        <v>139</v>
      </c>
      <c r="H79" s="2" t="s">
        <v>31</v>
      </c>
      <c r="I79" s="2">
        <v>72</v>
      </c>
      <c r="J79" s="2">
        <v>57</v>
      </c>
      <c r="K79" s="2">
        <v>505171</v>
      </c>
      <c r="L79" s="2">
        <v>250230</v>
      </c>
      <c r="M79" s="2">
        <v>254941</v>
      </c>
    </row>
    <row r="80" spans="1:13">
      <c r="A80" s="2" t="s">
        <v>155</v>
      </c>
      <c r="B80" s="2" t="s">
        <v>42</v>
      </c>
      <c r="C80" s="2" t="s">
        <v>59</v>
      </c>
      <c r="D80" s="2" t="s">
        <v>66</v>
      </c>
      <c r="E80" s="3">
        <v>45370</v>
      </c>
      <c r="F80" s="2" t="str">
        <f t="shared" si="1"/>
        <v>Mar</v>
      </c>
      <c r="G80" s="2">
        <v>267</v>
      </c>
      <c r="H80" s="2" t="s">
        <v>28</v>
      </c>
      <c r="I80" s="2">
        <v>180</v>
      </c>
      <c r="J80" s="2">
        <v>170</v>
      </c>
      <c r="K80" s="2">
        <v>1997555</v>
      </c>
      <c r="L80" s="2">
        <v>963900</v>
      </c>
      <c r="M80" s="2">
        <v>1033655</v>
      </c>
    </row>
    <row r="81" spans="1:13">
      <c r="A81" s="2" t="s">
        <v>156</v>
      </c>
      <c r="B81" s="2" t="s">
        <v>55</v>
      </c>
      <c r="C81" s="2" t="s">
        <v>66</v>
      </c>
      <c r="D81" s="2" t="s">
        <v>59</v>
      </c>
      <c r="E81" s="3">
        <v>45371</v>
      </c>
      <c r="F81" s="2" t="str">
        <f t="shared" si="1"/>
        <v>Mar</v>
      </c>
      <c r="G81" s="2">
        <v>127</v>
      </c>
      <c r="H81" s="2" t="s">
        <v>32</v>
      </c>
      <c r="I81" s="2">
        <v>190</v>
      </c>
      <c r="J81" s="2">
        <v>129</v>
      </c>
      <c r="K81" s="2">
        <v>1103086</v>
      </c>
      <c r="L81" s="2">
        <v>550830</v>
      </c>
      <c r="M81" s="2">
        <v>552256</v>
      </c>
    </row>
    <row r="82" spans="1:13">
      <c r="A82" s="2" t="s">
        <v>157</v>
      </c>
      <c r="B82" s="2" t="s">
        <v>50</v>
      </c>
      <c r="C82" s="2" t="s">
        <v>61</v>
      </c>
      <c r="D82" s="2" t="s">
        <v>65</v>
      </c>
      <c r="E82" s="3">
        <v>45372</v>
      </c>
      <c r="F82" s="2" t="str">
        <f t="shared" si="1"/>
        <v>Mar</v>
      </c>
      <c r="G82" s="2">
        <v>214</v>
      </c>
      <c r="H82" s="2" t="s">
        <v>29</v>
      </c>
      <c r="I82" s="2">
        <v>200</v>
      </c>
      <c r="J82" s="2">
        <v>170</v>
      </c>
      <c r="K82" s="2">
        <v>1954957</v>
      </c>
      <c r="L82" s="2">
        <v>873800</v>
      </c>
      <c r="M82" s="2">
        <v>1081157</v>
      </c>
    </row>
    <row r="83" spans="1:13">
      <c r="A83" s="2" t="s">
        <v>158</v>
      </c>
      <c r="B83" s="2" t="s">
        <v>11</v>
      </c>
      <c r="C83" s="2" t="s">
        <v>65</v>
      </c>
      <c r="D83" s="2" t="s">
        <v>61</v>
      </c>
      <c r="E83" s="3">
        <v>45373</v>
      </c>
      <c r="F83" s="2" t="str">
        <f t="shared" si="1"/>
        <v>Mar</v>
      </c>
      <c r="G83" s="2">
        <v>355</v>
      </c>
      <c r="H83" s="2" t="s">
        <v>33</v>
      </c>
      <c r="I83" s="2">
        <v>260</v>
      </c>
      <c r="J83" s="2">
        <v>164</v>
      </c>
      <c r="K83" s="2">
        <v>5184117</v>
      </c>
      <c r="L83" s="2">
        <v>1074200</v>
      </c>
      <c r="M83" s="2">
        <v>4109917</v>
      </c>
    </row>
    <row r="84" spans="1:13">
      <c r="A84" s="2" t="s">
        <v>159</v>
      </c>
      <c r="B84" s="2" t="s">
        <v>6</v>
      </c>
      <c r="C84" s="2" t="s">
        <v>59</v>
      </c>
      <c r="D84" s="2" t="s">
        <v>65</v>
      </c>
      <c r="E84" s="3">
        <v>45374</v>
      </c>
      <c r="F84" s="2" t="str">
        <f t="shared" si="1"/>
        <v>Mar</v>
      </c>
      <c r="G84" s="2">
        <v>201</v>
      </c>
      <c r="H84" s="2" t="s">
        <v>30</v>
      </c>
      <c r="I84" s="2">
        <v>500</v>
      </c>
      <c r="J84" s="2">
        <v>342</v>
      </c>
      <c r="K84" s="2">
        <v>4400300</v>
      </c>
      <c r="L84" s="2">
        <v>1713420</v>
      </c>
      <c r="M84" s="2">
        <v>2686880</v>
      </c>
    </row>
    <row r="85" spans="1:13">
      <c r="A85" s="2" t="s">
        <v>160</v>
      </c>
      <c r="B85" s="2" t="s">
        <v>53</v>
      </c>
      <c r="C85" s="2" t="s">
        <v>65</v>
      </c>
      <c r="D85" s="2" t="s">
        <v>59</v>
      </c>
      <c r="E85" s="3">
        <v>45375</v>
      </c>
      <c r="F85" s="2" t="str">
        <f t="shared" si="1"/>
        <v>Mar</v>
      </c>
      <c r="G85" s="2">
        <v>138</v>
      </c>
      <c r="H85" s="2" t="s">
        <v>31</v>
      </c>
      <c r="I85" s="2">
        <v>72</v>
      </c>
      <c r="J85" s="2">
        <v>55</v>
      </c>
      <c r="K85" s="2">
        <v>522229</v>
      </c>
      <c r="L85" s="2">
        <v>240900</v>
      </c>
      <c r="M85" s="2">
        <v>281329</v>
      </c>
    </row>
    <row r="86" spans="1:13">
      <c r="A86" s="2" t="s">
        <v>161</v>
      </c>
      <c r="B86" s="2" t="s">
        <v>49</v>
      </c>
      <c r="C86" s="2" t="s">
        <v>61</v>
      </c>
      <c r="D86" s="2" t="s">
        <v>64</v>
      </c>
      <c r="E86" s="3">
        <v>45376</v>
      </c>
      <c r="F86" s="2" t="str">
        <f t="shared" si="1"/>
        <v>Mar</v>
      </c>
      <c r="G86" s="2">
        <v>86</v>
      </c>
      <c r="H86" s="2" t="s">
        <v>28</v>
      </c>
      <c r="I86" s="2">
        <v>180</v>
      </c>
      <c r="J86" s="2">
        <v>158</v>
      </c>
      <c r="K86" s="2">
        <v>688362</v>
      </c>
      <c r="L86" s="2">
        <v>609880</v>
      </c>
      <c r="M86" s="2">
        <v>78482</v>
      </c>
    </row>
    <row r="87" spans="1:13">
      <c r="A87" s="2" t="s">
        <v>162</v>
      </c>
      <c r="B87" s="2" t="s">
        <v>52</v>
      </c>
      <c r="C87" s="2" t="s">
        <v>64</v>
      </c>
      <c r="D87" s="2" t="s">
        <v>61</v>
      </c>
      <c r="E87" s="3">
        <v>45377</v>
      </c>
      <c r="F87" s="2" t="str">
        <f t="shared" si="1"/>
        <v>Mar</v>
      </c>
      <c r="G87" s="2">
        <v>343</v>
      </c>
      <c r="H87" s="2" t="s">
        <v>32</v>
      </c>
      <c r="I87" s="2">
        <v>190</v>
      </c>
      <c r="J87" s="2">
        <v>158</v>
      </c>
      <c r="K87" s="2">
        <v>3311837</v>
      </c>
      <c r="L87" s="2">
        <v>1015940</v>
      </c>
      <c r="M87" s="2">
        <v>2295897</v>
      </c>
    </row>
    <row r="88" spans="1:13">
      <c r="A88" s="2" t="s">
        <v>163</v>
      </c>
      <c r="B88" s="2" t="s">
        <v>37</v>
      </c>
      <c r="C88" s="2" t="s">
        <v>58</v>
      </c>
      <c r="D88" s="2" t="s">
        <v>62</v>
      </c>
      <c r="E88" s="3">
        <v>45378</v>
      </c>
      <c r="F88" s="2" t="str">
        <f t="shared" si="1"/>
        <v>Mar</v>
      </c>
      <c r="G88" s="2">
        <v>396</v>
      </c>
      <c r="H88" s="2" t="s">
        <v>29</v>
      </c>
      <c r="I88" s="2">
        <v>200</v>
      </c>
      <c r="J88" s="2">
        <v>154</v>
      </c>
      <c r="K88" s="2">
        <v>3816175</v>
      </c>
      <c r="L88" s="2">
        <v>1071840</v>
      </c>
      <c r="M88" s="2">
        <v>2744335</v>
      </c>
    </row>
    <row r="89" spans="1:13">
      <c r="A89" s="2" t="s">
        <v>164</v>
      </c>
      <c r="B89" s="2" t="s">
        <v>7</v>
      </c>
      <c r="C89" s="2" t="s">
        <v>62</v>
      </c>
      <c r="D89" s="2" t="s">
        <v>58</v>
      </c>
      <c r="E89" s="3">
        <v>45379</v>
      </c>
      <c r="F89" s="2" t="str">
        <f t="shared" si="1"/>
        <v>Mar</v>
      </c>
      <c r="G89" s="2">
        <v>371</v>
      </c>
      <c r="H89" s="2" t="s">
        <v>33</v>
      </c>
      <c r="I89" s="2">
        <v>260</v>
      </c>
      <c r="J89" s="2">
        <v>214</v>
      </c>
      <c r="K89" s="2">
        <v>5205624</v>
      </c>
      <c r="L89" s="2">
        <v>1435940</v>
      </c>
      <c r="M89" s="2">
        <v>3769684</v>
      </c>
    </row>
    <row r="90" spans="1:13">
      <c r="A90" s="2" t="s">
        <v>165</v>
      </c>
      <c r="B90" s="2" t="s">
        <v>9</v>
      </c>
      <c r="C90" s="2" t="s">
        <v>63</v>
      </c>
      <c r="D90" s="2" t="s">
        <v>59</v>
      </c>
      <c r="E90" s="3">
        <v>45380</v>
      </c>
      <c r="F90" s="2" t="str">
        <f t="shared" si="1"/>
        <v>Mar</v>
      </c>
      <c r="G90" s="2">
        <v>399</v>
      </c>
      <c r="H90" s="2" t="s">
        <v>30</v>
      </c>
      <c r="I90" s="2">
        <v>500</v>
      </c>
      <c r="J90" s="2">
        <v>382</v>
      </c>
      <c r="K90" s="2">
        <v>7628178</v>
      </c>
      <c r="L90" s="2">
        <v>1335090</v>
      </c>
      <c r="M90" s="2">
        <v>6293088</v>
      </c>
    </row>
    <row r="91" spans="1:13">
      <c r="A91" s="2" t="s">
        <v>166</v>
      </c>
      <c r="B91" s="2" t="s">
        <v>41</v>
      </c>
      <c r="C91" s="2" t="s">
        <v>59</v>
      </c>
      <c r="D91" s="2" t="s">
        <v>63</v>
      </c>
      <c r="E91" s="3">
        <v>45381</v>
      </c>
      <c r="F91" s="2" t="str">
        <f t="shared" si="1"/>
        <v>Mar</v>
      </c>
      <c r="G91" s="2">
        <v>35</v>
      </c>
      <c r="H91" s="2" t="s">
        <v>31</v>
      </c>
      <c r="I91" s="2">
        <v>72</v>
      </c>
      <c r="J91" s="2">
        <v>52</v>
      </c>
      <c r="K91" s="2">
        <v>110628</v>
      </c>
      <c r="L91" s="2">
        <v>87100</v>
      </c>
      <c r="M91" s="2">
        <v>23528</v>
      </c>
    </row>
    <row r="92" spans="1:13">
      <c r="A92" s="2" t="s">
        <v>167</v>
      </c>
      <c r="B92" s="2" t="s">
        <v>39</v>
      </c>
      <c r="C92" s="2" t="s">
        <v>59</v>
      </c>
      <c r="D92" s="2" t="s">
        <v>61</v>
      </c>
      <c r="E92" s="3">
        <v>45382</v>
      </c>
      <c r="F92" s="2" t="str">
        <f t="shared" si="1"/>
        <v>Mar</v>
      </c>
      <c r="G92" s="2">
        <v>83</v>
      </c>
      <c r="H92" s="2" t="s">
        <v>28</v>
      </c>
      <c r="I92" s="2">
        <v>180</v>
      </c>
      <c r="J92" s="2">
        <v>128</v>
      </c>
      <c r="K92" s="2">
        <v>671007</v>
      </c>
      <c r="L92" s="2">
        <v>245120</v>
      </c>
      <c r="M92" s="2">
        <v>425887</v>
      </c>
    </row>
    <row r="93" spans="1:13">
      <c r="A93" s="2" t="s">
        <v>168</v>
      </c>
      <c r="B93" s="2" t="s">
        <v>46</v>
      </c>
      <c r="C93" s="2" t="s">
        <v>61</v>
      </c>
      <c r="D93" s="2" t="s">
        <v>59</v>
      </c>
      <c r="E93" s="3">
        <v>45383</v>
      </c>
      <c r="F93" s="2" t="str">
        <f t="shared" si="1"/>
        <v>Apr</v>
      </c>
      <c r="G93" s="2">
        <v>154</v>
      </c>
      <c r="H93" s="2" t="s">
        <v>32</v>
      </c>
      <c r="I93" s="2">
        <v>190</v>
      </c>
      <c r="J93" s="2">
        <v>178</v>
      </c>
      <c r="K93" s="2">
        <v>1483854</v>
      </c>
      <c r="L93" s="2">
        <v>404060</v>
      </c>
      <c r="M93" s="2">
        <v>1079794</v>
      </c>
    </row>
    <row r="94" spans="1:13">
      <c r="A94" s="2" t="s">
        <v>169</v>
      </c>
      <c r="B94" s="2" t="s">
        <v>45</v>
      </c>
      <c r="C94" s="2" t="s">
        <v>61</v>
      </c>
      <c r="D94" s="2" t="s">
        <v>58</v>
      </c>
      <c r="E94" s="3">
        <v>45384</v>
      </c>
      <c r="F94" s="2" t="str">
        <f t="shared" si="1"/>
        <v>Apr</v>
      </c>
      <c r="G94" s="2">
        <v>270</v>
      </c>
      <c r="H94" s="2" t="s">
        <v>29</v>
      </c>
      <c r="I94" s="2">
        <v>200</v>
      </c>
      <c r="J94" s="2">
        <v>141</v>
      </c>
      <c r="K94" s="2">
        <v>2406437</v>
      </c>
      <c r="L94" s="2">
        <v>401850</v>
      </c>
      <c r="M94" s="2">
        <v>2004587</v>
      </c>
    </row>
    <row r="95" spans="1:13">
      <c r="A95" s="2" t="s">
        <v>170</v>
      </c>
      <c r="B95" s="2" t="s">
        <v>3</v>
      </c>
      <c r="C95" s="2" t="s">
        <v>58</v>
      </c>
      <c r="D95" s="2" t="s">
        <v>61</v>
      </c>
      <c r="E95" s="3">
        <v>45385</v>
      </c>
      <c r="F95" s="2" t="str">
        <f t="shared" si="1"/>
        <v>Apr</v>
      </c>
      <c r="G95" s="2">
        <v>340</v>
      </c>
      <c r="H95" s="2" t="s">
        <v>33</v>
      </c>
      <c r="I95" s="2">
        <v>260</v>
      </c>
      <c r="J95" s="2">
        <v>184</v>
      </c>
      <c r="K95" s="2">
        <v>4762882</v>
      </c>
      <c r="L95" s="2">
        <v>588800</v>
      </c>
      <c r="M95" s="2">
        <v>4174082</v>
      </c>
    </row>
    <row r="96" spans="1:13">
      <c r="A96" s="2" t="s">
        <v>171</v>
      </c>
      <c r="B96" s="2" t="s">
        <v>5</v>
      </c>
      <c r="C96" s="2" t="s">
        <v>59</v>
      </c>
      <c r="D96" s="2" t="s">
        <v>58</v>
      </c>
      <c r="E96" s="3">
        <v>45386</v>
      </c>
      <c r="F96" s="2" t="str">
        <f t="shared" si="1"/>
        <v>Apr</v>
      </c>
      <c r="G96" s="2">
        <v>460</v>
      </c>
      <c r="H96" s="2" t="s">
        <v>30</v>
      </c>
      <c r="I96" s="2">
        <v>500</v>
      </c>
      <c r="J96" s="2">
        <v>369</v>
      </c>
      <c r="K96" s="2">
        <v>9833352</v>
      </c>
      <c r="L96" s="2">
        <v>1402200</v>
      </c>
      <c r="M96" s="2">
        <v>8431152</v>
      </c>
    </row>
    <row r="97" spans="1:13">
      <c r="A97" s="2" t="s">
        <v>172</v>
      </c>
      <c r="B97" s="2" t="s">
        <v>36</v>
      </c>
      <c r="C97" s="2" t="s">
        <v>58</v>
      </c>
      <c r="D97" s="2" t="s">
        <v>59</v>
      </c>
      <c r="E97" s="3">
        <v>45387</v>
      </c>
      <c r="F97" s="2" t="str">
        <f t="shared" si="1"/>
        <v>Apr</v>
      </c>
      <c r="G97" s="2">
        <v>96</v>
      </c>
      <c r="H97" s="2" t="s">
        <v>31</v>
      </c>
      <c r="I97" s="2">
        <v>72</v>
      </c>
      <c r="J97" s="2">
        <v>57</v>
      </c>
      <c r="K97" s="2">
        <v>308930</v>
      </c>
      <c r="L97" s="2">
        <v>112860</v>
      </c>
      <c r="M97" s="2">
        <v>196070</v>
      </c>
    </row>
    <row r="98" spans="1:13">
      <c r="A98" s="2" t="s">
        <v>173</v>
      </c>
      <c r="B98" s="2" t="s">
        <v>38</v>
      </c>
      <c r="C98" s="2" t="s">
        <v>59</v>
      </c>
      <c r="D98" s="2" t="s">
        <v>60</v>
      </c>
      <c r="E98" s="3">
        <v>45388</v>
      </c>
      <c r="F98" s="2" t="str">
        <f t="shared" si="1"/>
        <v>Apr</v>
      </c>
      <c r="G98" s="2">
        <v>91</v>
      </c>
      <c r="H98" s="2" t="s">
        <v>28</v>
      </c>
      <c r="I98" s="2">
        <v>180</v>
      </c>
      <c r="J98" s="2">
        <v>150</v>
      </c>
      <c r="K98" s="2">
        <v>707418</v>
      </c>
      <c r="L98" s="2">
        <v>293250</v>
      </c>
      <c r="M98" s="2">
        <v>414168</v>
      </c>
    </row>
    <row r="99" spans="1:13">
      <c r="A99" s="2" t="s">
        <v>174</v>
      </c>
      <c r="B99" s="2" t="s">
        <v>44</v>
      </c>
      <c r="C99" s="2" t="s">
        <v>60</v>
      </c>
      <c r="D99" s="2" t="s">
        <v>59</v>
      </c>
      <c r="E99" s="3">
        <v>45389</v>
      </c>
      <c r="F99" s="2" t="str">
        <f t="shared" si="1"/>
        <v>Apr</v>
      </c>
      <c r="G99" s="2">
        <v>186</v>
      </c>
      <c r="H99" s="2" t="s">
        <v>32</v>
      </c>
      <c r="I99" s="2">
        <v>190</v>
      </c>
      <c r="J99" s="2">
        <v>148</v>
      </c>
      <c r="K99" s="2">
        <v>1800344</v>
      </c>
      <c r="L99" s="2">
        <v>359640</v>
      </c>
      <c r="M99" s="2">
        <v>1440704</v>
      </c>
    </row>
    <row r="100" spans="1:13">
      <c r="A100" s="2" t="s">
        <v>175</v>
      </c>
      <c r="B100" s="2" t="s">
        <v>48</v>
      </c>
      <c r="C100" s="2" t="s">
        <v>61</v>
      </c>
      <c r="D100" s="2" t="s">
        <v>63</v>
      </c>
      <c r="E100" s="3">
        <v>45390</v>
      </c>
      <c r="F100" s="2" t="str">
        <f t="shared" si="1"/>
        <v>Apr</v>
      </c>
      <c r="G100" s="2">
        <v>352</v>
      </c>
      <c r="H100" s="2" t="s">
        <v>29</v>
      </c>
      <c r="I100" s="2">
        <v>200</v>
      </c>
      <c r="J100" s="2">
        <v>179</v>
      </c>
      <c r="K100" s="2">
        <v>3100972</v>
      </c>
      <c r="L100" s="2">
        <v>583540</v>
      </c>
      <c r="M100" s="2">
        <v>2517432</v>
      </c>
    </row>
    <row r="101" spans="1:13">
      <c r="A101" s="2" t="s">
        <v>176</v>
      </c>
      <c r="B101" s="2" t="s">
        <v>10</v>
      </c>
      <c r="C101" s="2" t="s">
        <v>63</v>
      </c>
      <c r="D101" s="2" t="s">
        <v>61</v>
      </c>
      <c r="E101" s="3">
        <v>45391</v>
      </c>
      <c r="F101" s="2" t="str">
        <f t="shared" si="1"/>
        <v>Apr</v>
      </c>
      <c r="G101" s="2">
        <v>425</v>
      </c>
      <c r="H101" s="2" t="s">
        <v>33</v>
      </c>
      <c r="I101" s="2">
        <v>260</v>
      </c>
      <c r="J101" s="2">
        <v>188</v>
      </c>
      <c r="K101" s="2">
        <v>6111829</v>
      </c>
      <c r="L101" s="2">
        <v>681500</v>
      </c>
      <c r="M101" s="2">
        <v>5430329</v>
      </c>
    </row>
    <row r="102" spans="1:13">
      <c r="A102" s="2" t="s">
        <v>177</v>
      </c>
      <c r="B102" s="2" t="s">
        <v>2</v>
      </c>
      <c r="C102" s="2" t="s">
        <v>58</v>
      </c>
      <c r="D102" s="2" t="s">
        <v>60</v>
      </c>
      <c r="E102" s="3">
        <v>45392</v>
      </c>
      <c r="F102" s="2" t="str">
        <f t="shared" si="1"/>
        <v>Apr</v>
      </c>
      <c r="G102" s="2">
        <v>426</v>
      </c>
      <c r="H102" s="2" t="s">
        <v>30</v>
      </c>
      <c r="I102" s="2">
        <v>500</v>
      </c>
      <c r="J102" s="2">
        <v>373</v>
      </c>
      <c r="K102" s="2">
        <v>8104576</v>
      </c>
      <c r="L102" s="2">
        <v>1353990</v>
      </c>
      <c r="M102" s="2">
        <v>6750586</v>
      </c>
    </row>
    <row r="103" spans="1:13">
      <c r="A103" s="2" t="s">
        <v>178</v>
      </c>
      <c r="B103" s="2" t="s">
        <v>43</v>
      </c>
      <c r="C103" s="2" t="s">
        <v>60</v>
      </c>
      <c r="D103" s="2" t="s">
        <v>58</v>
      </c>
      <c r="E103" s="3">
        <v>45393</v>
      </c>
      <c r="F103" s="2" t="str">
        <f t="shared" si="1"/>
        <v>Apr</v>
      </c>
      <c r="G103" s="2">
        <v>53</v>
      </c>
      <c r="H103" s="2" t="s">
        <v>31</v>
      </c>
      <c r="I103" s="2">
        <v>72</v>
      </c>
      <c r="J103" s="2">
        <v>66</v>
      </c>
      <c r="K103" s="2">
        <v>185920</v>
      </c>
      <c r="L103" s="2">
        <v>116490</v>
      </c>
      <c r="M103" s="2">
        <v>69430</v>
      </c>
    </row>
    <row r="104" spans="1:13">
      <c r="A104" s="2" t="s">
        <v>179</v>
      </c>
      <c r="B104" s="2" t="s">
        <v>40</v>
      </c>
      <c r="C104" s="2" t="s">
        <v>59</v>
      </c>
      <c r="D104" s="2" t="s">
        <v>62</v>
      </c>
      <c r="E104" s="3">
        <v>45394</v>
      </c>
      <c r="F104" s="2" t="str">
        <f t="shared" si="1"/>
        <v>Apr</v>
      </c>
      <c r="G104" s="2">
        <v>116</v>
      </c>
      <c r="H104" s="2" t="s">
        <v>28</v>
      </c>
      <c r="I104" s="2">
        <v>180</v>
      </c>
      <c r="J104" s="2">
        <v>147</v>
      </c>
      <c r="K104" s="2">
        <v>871257</v>
      </c>
      <c r="L104" s="2">
        <v>611520</v>
      </c>
      <c r="M104" s="2">
        <v>259737</v>
      </c>
    </row>
    <row r="105" spans="1:13">
      <c r="A105" s="2" t="s">
        <v>180</v>
      </c>
      <c r="B105" s="2" t="s">
        <v>51</v>
      </c>
      <c r="C105" s="2" t="s">
        <v>62</v>
      </c>
      <c r="D105" s="2" t="s">
        <v>59</v>
      </c>
      <c r="E105" s="3">
        <v>45395</v>
      </c>
      <c r="F105" s="2" t="str">
        <f t="shared" si="1"/>
        <v>Apr</v>
      </c>
      <c r="G105" s="2">
        <v>323</v>
      </c>
      <c r="H105" s="2" t="s">
        <v>32</v>
      </c>
      <c r="I105" s="2">
        <v>190</v>
      </c>
      <c r="J105" s="2">
        <v>160</v>
      </c>
      <c r="K105" s="2">
        <v>3078973</v>
      </c>
      <c r="L105" s="2">
        <v>996800</v>
      </c>
      <c r="M105" s="2">
        <v>2082173</v>
      </c>
    </row>
    <row r="106" spans="1:13">
      <c r="A106" s="2" t="s">
        <v>181</v>
      </c>
      <c r="B106" s="2" t="s">
        <v>47</v>
      </c>
      <c r="C106" s="2" t="s">
        <v>61</v>
      </c>
      <c r="D106" s="2" t="s">
        <v>62</v>
      </c>
      <c r="E106" s="3">
        <v>45396</v>
      </c>
      <c r="F106" s="2" t="str">
        <f t="shared" si="1"/>
        <v>Apr</v>
      </c>
      <c r="G106" s="2">
        <v>222</v>
      </c>
      <c r="H106" s="2" t="s">
        <v>29</v>
      </c>
      <c r="I106" s="2">
        <v>200</v>
      </c>
      <c r="J106" s="2">
        <v>146</v>
      </c>
      <c r="K106" s="2">
        <v>1937741</v>
      </c>
      <c r="L106" s="2">
        <v>381060</v>
      </c>
      <c r="M106" s="2">
        <v>1556681</v>
      </c>
    </row>
    <row r="107" spans="1:13">
      <c r="A107" s="2" t="s">
        <v>182</v>
      </c>
      <c r="B107" s="2" t="s">
        <v>8</v>
      </c>
      <c r="C107" s="2" t="s">
        <v>62</v>
      </c>
      <c r="D107" s="2" t="s">
        <v>61</v>
      </c>
      <c r="E107" s="3">
        <v>45397</v>
      </c>
      <c r="F107" s="2" t="str">
        <f t="shared" si="1"/>
        <v>Apr</v>
      </c>
      <c r="G107" s="2">
        <v>394</v>
      </c>
      <c r="H107" s="2" t="s">
        <v>33</v>
      </c>
      <c r="I107" s="2">
        <v>260</v>
      </c>
      <c r="J107" s="2">
        <v>217</v>
      </c>
      <c r="K107" s="2">
        <v>5706876</v>
      </c>
      <c r="L107" s="2">
        <v>752990</v>
      </c>
      <c r="M107" s="2">
        <v>4953886</v>
      </c>
    </row>
    <row r="108" spans="1:13">
      <c r="A108" s="2" t="s">
        <v>183</v>
      </c>
      <c r="B108" s="2" t="s">
        <v>4</v>
      </c>
      <c r="C108" s="2" t="s">
        <v>58</v>
      </c>
      <c r="D108" s="2" t="s">
        <v>66</v>
      </c>
      <c r="E108" s="3">
        <v>45398</v>
      </c>
      <c r="F108" s="2" t="str">
        <f t="shared" si="1"/>
        <v>Apr</v>
      </c>
      <c r="G108" s="2">
        <v>365</v>
      </c>
      <c r="H108" s="2" t="s">
        <v>30</v>
      </c>
      <c r="I108" s="2">
        <v>500</v>
      </c>
      <c r="J108" s="2">
        <v>394</v>
      </c>
      <c r="K108" s="2">
        <v>6988350</v>
      </c>
      <c r="L108" s="2">
        <v>2620100</v>
      </c>
      <c r="M108" s="2">
        <v>4368250</v>
      </c>
    </row>
    <row r="109" spans="1:13">
      <c r="A109" s="2" t="s">
        <v>184</v>
      </c>
      <c r="B109" s="2" t="s">
        <v>54</v>
      </c>
      <c r="C109" s="2" t="s">
        <v>66</v>
      </c>
      <c r="D109" s="2" t="s">
        <v>58</v>
      </c>
      <c r="E109" s="3">
        <v>45399</v>
      </c>
      <c r="F109" s="2" t="str">
        <f t="shared" si="1"/>
        <v>Apr</v>
      </c>
      <c r="G109" s="2">
        <v>87</v>
      </c>
      <c r="H109" s="2" t="s">
        <v>31</v>
      </c>
      <c r="I109" s="2">
        <v>72</v>
      </c>
      <c r="J109" s="2">
        <v>64</v>
      </c>
      <c r="K109" s="2">
        <v>289290</v>
      </c>
      <c r="L109" s="2">
        <v>247680</v>
      </c>
      <c r="M109" s="2">
        <v>41610</v>
      </c>
    </row>
    <row r="110" spans="1:13">
      <c r="A110" s="2" t="s">
        <v>185</v>
      </c>
      <c r="B110" s="2" t="s">
        <v>42</v>
      </c>
      <c r="C110" s="2" t="s">
        <v>59</v>
      </c>
      <c r="D110" s="2" t="s">
        <v>66</v>
      </c>
      <c r="E110" s="3">
        <v>45400</v>
      </c>
      <c r="F110" s="2" t="str">
        <f t="shared" si="1"/>
        <v>Apr</v>
      </c>
      <c r="G110" s="2">
        <v>229</v>
      </c>
      <c r="H110" s="2" t="s">
        <v>28</v>
      </c>
      <c r="I110" s="2">
        <v>180</v>
      </c>
      <c r="J110" s="2">
        <v>159</v>
      </c>
      <c r="K110" s="2">
        <v>1780773</v>
      </c>
      <c r="L110" s="2">
        <v>841110</v>
      </c>
      <c r="M110" s="2">
        <v>939663</v>
      </c>
    </row>
    <row r="111" spans="1:13">
      <c r="A111" s="2" t="s">
        <v>186</v>
      </c>
      <c r="B111" s="2" t="s">
        <v>55</v>
      </c>
      <c r="C111" s="2" t="s">
        <v>66</v>
      </c>
      <c r="D111" s="2" t="s">
        <v>59</v>
      </c>
      <c r="E111" s="3">
        <v>45401</v>
      </c>
      <c r="F111" s="2" t="str">
        <f t="shared" si="1"/>
        <v>Apr</v>
      </c>
      <c r="G111" s="2">
        <v>160</v>
      </c>
      <c r="H111" s="2" t="s">
        <v>32</v>
      </c>
      <c r="I111" s="2">
        <v>190</v>
      </c>
      <c r="J111" s="2">
        <v>148</v>
      </c>
      <c r="K111" s="2">
        <v>1517758</v>
      </c>
      <c r="L111" s="2">
        <v>680800</v>
      </c>
      <c r="M111" s="2">
        <v>836958</v>
      </c>
    </row>
    <row r="112" spans="1:13">
      <c r="A112" s="2" t="s">
        <v>187</v>
      </c>
      <c r="B112" s="2" t="s">
        <v>50</v>
      </c>
      <c r="C112" s="2" t="s">
        <v>61</v>
      </c>
      <c r="D112" s="2" t="s">
        <v>65</v>
      </c>
      <c r="E112" s="3">
        <v>45402</v>
      </c>
      <c r="F112" s="2" t="str">
        <f t="shared" si="1"/>
        <v>Apr</v>
      </c>
      <c r="G112" s="2">
        <v>187</v>
      </c>
      <c r="H112" s="2" t="s">
        <v>29</v>
      </c>
      <c r="I112" s="2">
        <v>200</v>
      </c>
      <c r="J112" s="2">
        <v>163</v>
      </c>
      <c r="K112" s="2">
        <v>1629173</v>
      </c>
      <c r="L112" s="2">
        <v>793810</v>
      </c>
      <c r="M112" s="2">
        <v>835363</v>
      </c>
    </row>
    <row r="113" spans="1:13">
      <c r="A113" s="2" t="s">
        <v>188</v>
      </c>
      <c r="B113" s="2" t="s">
        <v>11</v>
      </c>
      <c r="C113" s="2" t="s">
        <v>65</v>
      </c>
      <c r="D113" s="2" t="s">
        <v>61</v>
      </c>
      <c r="E113" s="3">
        <v>45403</v>
      </c>
      <c r="F113" s="2" t="str">
        <f t="shared" si="1"/>
        <v>Apr</v>
      </c>
      <c r="G113" s="2">
        <v>544</v>
      </c>
      <c r="H113" s="2" t="s">
        <v>33</v>
      </c>
      <c r="I113" s="2">
        <v>260</v>
      </c>
      <c r="J113" s="2">
        <v>173</v>
      </c>
      <c r="K113" s="2">
        <v>8015329</v>
      </c>
      <c r="L113" s="2">
        <v>1460120</v>
      </c>
      <c r="M113" s="2">
        <v>6555209</v>
      </c>
    </row>
    <row r="114" spans="1:13">
      <c r="A114" s="2" t="s">
        <v>189</v>
      </c>
      <c r="B114" s="2" t="s">
        <v>6</v>
      </c>
      <c r="C114" s="2" t="s">
        <v>59</v>
      </c>
      <c r="D114" s="2" t="s">
        <v>65</v>
      </c>
      <c r="E114" s="3">
        <v>45404</v>
      </c>
      <c r="F114" s="2" t="str">
        <f t="shared" si="1"/>
        <v>Apr</v>
      </c>
      <c r="G114" s="2">
        <v>534</v>
      </c>
      <c r="H114" s="2" t="s">
        <v>30</v>
      </c>
      <c r="I114" s="2">
        <v>500</v>
      </c>
      <c r="J114" s="2">
        <v>411</v>
      </c>
      <c r="K114" s="2">
        <v>11162931</v>
      </c>
      <c r="L114" s="2">
        <v>3427740</v>
      </c>
      <c r="M114" s="2">
        <v>7735191</v>
      </c>
    </row>
    <row r="115" spans="1:13">
      <c r="A115" s="2" t="s">
        <v>190</v>
      </c>
      <c r="B115" s="2" t="s">
        <v>53</v>
      </c>
      <c r="C115" s="2" t="s">
        <v>65</v>
      </c>
      <c r="D115" s="2" t="s">
        <v>59</v>
      </c>
      <c r="E115" s="3">
        <v>45405</v>
      </c>
      <c r="F115" s="2" t="str">
        <f t="shared" si="1"/>
        <v>Apr</v>
      </c>
      <c r="G115" s="2">
        <v>42</v>
      </c>
      <c r="H115" s="2" t="s">
        <v>31</v>
      </c>
      <c r="I115" s="2">
        <v>72</v>
      </c>
      <c r="J115" s="2">
        <v>67</v>
      </c>
      <c r="K115" s="2">
        <v>153309</v>
      </c>
      <c r="L115" s="2">
        <v>229140</v>
      </c>
      <c r="M115" s="2">
        <v>-75831</v>
      </c>
    </row>
    <row r="116" spans="1:13">
      <c r="A116" s="2" t="s">
        <v>191</v>
      </c>
      <c r="B116" s="2" t="s">
        <v>49</v>
      </c>
      <c r="C116" s="2" t="s">
        <v>61</v>
      </c>
      <c r="D116" s="2" t="s">
        <v>64</v>
      </c>
      <c r="E116" s="3">
        <v>45406</v>
      </c>
      <c r="F116" s="2" t="str">
        <f t="shared" si="1"/>
        <v>Apr</v>
      </c>
      <c r="G116" s="2">
        <v>206</v>
      </c>
      <c r="H116" s="2" t="s">
        <v>28</v>
      </c>
      <c r="I116" s="2">
        <v>180</v>
      </c>
      <c r="J116" s="2">
        <v>158</v>
      </c>
      <c r="K116" s="2">
        <v>1572466</v>
      </c>
      <c r="L116" s="2">
        <v>799480</v>
      </c>
      <c r="M116" s="2">
        <v>772986</v>
      </c>
    </row>
    <row r="117" spans="1:13">
      <c r="A117" s="2" t="s">
        <v>192</v>
      </c>
      <c r="B117" s="2" t="s">
        <v>52</v>
      </c>
      <c r="C117" s="2" t="s">
        <v>64</v>
      </c>
      <c r="D117" s="2" t="s">
        <v>61</v>
      </c>
      <c r="E117" s="3">
        <v>45407</v>
      </c>
      <c r="F117" s="2" t="str">
        <f t="shared" si="1"/>
        <v>Apr</v>
      </c>
      <c r="G117" s="2">
        <v>151</v>
      </c>
      <c r="H117" s="2" t="s">
        <v>32</v>
      </c>
      <c r="I117" s="2">
        <v>190</v>
      </c>
      <c r="J117" s="2">
        <v>163</v>
      </c>
      <c r="K117" s="2">
        <v>1291283</v>
      </c>
      <c r="L117" s="2">
        <v>735130</v>
      </c>
      <c r="M117" s="2">
        <v>556153</v>
      </c>
    </row>
    <row r="118" spans="1:13">
      <c r="A118" s="2" t="s">
        <v>193</v>
      </c>
      <c r="B118" s="2" t="s">
        <v>37</v>
      </c>
      <c r="C118" s="2" t="s">
        <v>58</v>
      </c>
      <c r="D118" s="2" t="s">
        <v>62</v>
      </c>
      <c r="E118" s="3">
        <v>45408</v>
      </c>
      <c r="F118" s="2" t="str">
        <f t="shared" si="1"/>
        <v>Apr</v>
      </c>
      <c r="G118" s="2">
        <v>196</v>
      </c>
      <c r="H118" s="2" t="s">
        <v>29</v>
      </c>
      <c r="I118" s="2">
        <v>200</v>
      </c>
      <c r="J118" s="2">
        <v>125</v>
      </c>
      <c r="K118" s="2">
        <v>1835304</v>
      </c>
      <c r="L118" s="2">
        <v>620000</v>
      </c>
      <c r="M118" s="2">
        <v>1215304</v>
      </c>
    </row>
    <row r="119" spans="1:13">
      <c r="A119" s="2" t="s">
        <v>194</v>
      </c>
      <c r="B119" s="2" t="s">
        <v>7</v>
      </c>
      <c r="C119" s="2" t="s">
        <v>62</v>
      </c>
      <c r="D119" s="2" t="s">
        <v>58</v>
      </c>
      <c r="E119" s="3">
        <v>45409</v>
      </c>
      <c r="F119" s="2" t="str">
        <f t="shared" si="1"/>
        <v>Apr</v>
      </c>
      <c r="G119" s="2">
        <v>308</v>
      </c>
      <c r="H119" s="2" t="s">
        <v>33</v>
      </c>
      <c r="I119" s="2">
        <v>260</v>
      </c>
      <c r="J119" s="2">
        <v>171</v>
      </c>
      <c r="K119" s="2">
        <v>4302547</v>
      </c>
      <c r="L119" s="2">
        <v>1039680</v>
      </c>
      <c r="M119" s="2">
        <v>3262867</v>
      </c>
    </row>
    <row r="120" spans="1:13">
      <c r="A120" s="2" t="s">
        <v>195</v>
      </c>
      <c r="B120" s="2" t="s">
        <v>9</v>
      </c>
      <c r="C120" s="2" t="s">
        <v>63</v>
      </c>
      <c r="D120" s="2" t="s">
        <v>59</v>
      </c>
      <c r="E120" s="3">
        <v>45410</v>
      </c>
      <c r="F120" s="2" t="str">
        <f t="shared" si="1"/>
        <v>Apr</v>
      </c>
      <c r="G120" s="2">
        <v>469</v>
      </c>
      <c r="H120" s="2" t="s">
        <v>30</v>
      </c>
      <c r="I120" s="2">
        <v>500</v>
      </c>
      <c r="J120" s="2">
        <v>341</v>
      </c>
      <c r="K120" s="2">
        <v>8618106</v>
      </c>
      <c r="L120" s="2">
        <v>1311145</v>
      </c>
      <c r="M120" s="2">
        <v>7306961</v>
      </c>
    </row>
    <row r="121" spans="1:13">
      <c r="A121" s="2" t="s">
        <v>196</v>
      </c>
      <c r="B121" s="2" t="s">
        <v>41</v>
      </c>
      <c r="C121" s="2" t="s">
        <v>59</v>
      </c>
      <c r="D121" s="2" t="s">
        <v>63</v>
      </c>
      <c r="E121" s="3">
        <v>45411</v>
      </c>
      <c r="F121" s="2" t="str">
        <f t="shared" si="1"/>
        <v>Apr</v>
      </c>
      <c r="G121" s="2">
        <v>118</v>
      </c>
      <c r="H121" s="2" t="s">
        <v>31</v>
      </c>
      <c r="I121" s="2">
        <v>72</v>
      </c>
      <c r="J121" s="2">
        <v>59</v>
      </c>
      <c r="K121" s="2">
        <v>394822</v>
      </c>
      <c r="L121" s="2">
        <v>123310</v>
      </c>
      <c r="M121" s="2">
        <v>271512</v>
      </c>
    </row>
    <row r="122" spans="1:13">
      <c r="A122" s="2" t="s">
        <v>197</v>
      </c>
      <c r="B122" s="2" t="s">
        <v>39</v>
      </c>
      <c r="C122" s="2" t="s">
        <v>59</v>
      </c>
      <c r="D122" s="2" t="s">
        <v>61</v>
      </c>
      <c r="E122" s="3">
        <v>45412</v>
      </c>
      <c r="F122" s="2" t="str">
        <f t="shared" si="1"/>
        <v>Apr</v>
      </c>
      <c r="G122" s="2">
        <v>75</v>
      </c>
      <c r="H122" s="2" t="s">
        <v>28</v>
      </c>
      <c r="I122" s="2">
        <v>180</v>
      </c>
      <c r="J122" s="2">
        <v>140</v>
      </c>
      <c r="K122" s="2">
        <v>618853</v>
      </c>
      <c r="L122" s="2">
        <v>262500</v>
      </c>
      <c r="M122" s="2">
        <v>356353</v>
      </c>
    </row>
    <row r="123" spans="1:13">
      <c r="A123" s="2" t="s">
        <v>198</v>
      </c>
      <c r="B123" s="2" t="s">
        <v>46</v>
      </c>
      <c r="C123" s="2" t="s">
        <v>61</v>
      </c>
      <c r="D123" s="2" t="s">
        <v>59</v>
      </c>
      <c r="E123" s="3">
        <v>45413</v>
      </c>
      <c r="F123" s="2" t="str">
        <f t="shared" si="1"/>
        <v>May</v>
      </c>
      <c r="G123" s="2">
        <v>128</v>
      </c>
      <c r="H123" s="2" t="s">
        <v>32</v>
      </c>
      <c r="I123" s="2">
        <v>190</v>
      </c>
      <c r="J123" s="2">
        <v>154</v>
      </c>
      <c r="K123" s="2">
        <v>1133475</v>
      </c>
      <c r="L123" s="2">
        <v>329560</v>
      </c>
      <c r="M123" s="2">
        <v>803915</v>
      </c>
    </row>
    <row r="124" spans="1:13">
      <c r="A124" s="2" t="s">
        <v>199</v>
      </c>
      <c r="B124" s="2" t="s">
        <v>45</v>
      </c>
      <c r="C124" s="2" t="s">
        <v>61</v>
      </c>
      <c r="D124" s="2" t="s">
        <v>58</v>
      </c>
      <c r="E124" s="3">
        <v>45414</v>
      </c>
      <c r="F124" s="2" t="str">
        <f t="shared" si="1"/>
        <v>May</v>
      </c>
      <c r="G124" s="2">
        <v>155</v>
      </c>
      <c r="H124" s="2" t="s">
        <v>29</v>
      </c>
      <c r="I124" s="2">
        <v>200</v>
      </c>
      <c r="J124" s="2">
        <v>159</v>
      </c>
      <c r="K124" s="2">
        <v>1371971</v>
      </c>
      <c r="L124" s="2">
        <v>361725</v>
      </c>
      <c r="M124" s="2">
        <v>1010246</v>
      </c>
    </row>
    <row r="125" spans="1:13">
      <c r="A125" s="2" t="s">
        <v>200</v>
      </c>
      <c r="B125" s="2" t="s">
        <v>3</v>
      </c>
      <c r="C125" s="2" t="s">
        <v>58</v>
      </c>
      <c r="D125" s="2" t="s">
        <v>61</v>
      </c>
      <c r="E125" s="3">
        <v>45415</v>
      </c>
      <c r="F125" s="2" t="str">
        <f t="shared" si="1"/>
        <v>May</v>
      </c>
      <c r="G125" s="2">
        <v>265</v>
      </c>
      <c r="H125" s="2" t="s">
        <v>33</v>
      </c>
      <c r="I125" s="2">
        <v>260</v>
      </c>
      <c r="J125" s="2">
        <v>157</v>
      </c>
      <c r="K125" s="2">
        <v>3669777</v>
      </c>
      <c r="L125" s="2">
        <v>443525</v>
      </c>
      <c r="M125" s="2">
        <v>3226252</v>
      </c>
    </row>
    <row r="126" spans="1:13">
      <c r="A126" s="2" t="s">
        <v>201</v>
      </c>
      <c r="B126" s="2" t="s">
        <v>5</v>
      </c>
      <c r="C126" s="2" t="s">
        <v>59</v>
      </c>
      <c r="D126" s="2" t="s">
        <v>58</v>
      </c>
      <c r="E126" s="3">
        <v>45416</v>
      </c>
      <c r="F126" s="2" t="str">
        <f t="shared" si="1"/>
        <v>May</v>
      </c>
      <c r="G126" s="2">
        <v>248</v>
      </c>
      <c r="H126" s="2" t="s">
        <v>30</v>
      </c>
      <c r="I126" s="2">
        <v>500</v>
      </c>
      <c r="J126" s="2">
        <v>316</v>
      </c>
      <c r="K126" s="2">
        <v>4772922</v>
      </c>
      <c r="L126" s="2">
        <v>865840</v>
      </c>
      <c r="M126" s="2">
        <v>3907082</v>
      </c>
    </row>
    <row r="127" spans="1:13">
      <c r="A127" s="2" t="s">
        <v>202</v>
      </c>
      <c r="B127" s="2" t="s">
        <v>36</v>
      </c>
      <c r="C127" s="2" t="s">
        <v>58</v>
      </c>
      <c r="D127" s="2" t="s">
        <v>59</v>
      </c>
      <c r="E127" s="3">
        <v>45417</v>
      </c>
      <c r="F127" s="2" t="str">
        <f t="shared" si="1"/>
        <v>May</v>
      </c>
      <c r="G127" s="2">
        <v>91</v>
      </c>
      <c r="H127" s="2" t="s">
        <v>31</v>
      </c>
      <c r="I127" s="2">
        <v>72</v>
      </c>
      <c r="J127" s="2">
        <v>60</v>
      </c>
      <c r="K127" s="2">
        <v>316854</v>
      </c>
      <c r="L127" s="2">
        <v>117300</v>
      </c>
      <c r="M127" s="2">
        <v>199554</v>
      </c>
    </row>
    <row r="128" spans="1:13">
      <c r="A128" s="2" t="s">
        <v>203</v>
      </c>
      <c r="B128" s="2" t="s">
        <v>38</v>
      </c>
      <c r="C128" s="2" t="s">
        <v>59</v>
      </c>
      <c r="D128" s="2" t="s">
        <v>60</v>
      </c>
      <c r="E128" s="3">
        <v>45418</v>
      </c>
      <c r="F128" s="2" t="str">
        <f t="shared" si="1"/>
        <v>May</v>
      </c>
      <c r="G128" s="2">
        <v>277</v>
      </c>
      <c r="H128" s="2" t="s">
        <v>28</v>
      </c>
      <c r="I128" s="2">
        <v>180</v>
      </c>
      <c r="J128" s="2">
        <v>156</v>
      </c>
      <c r="K128" s="2">
        <v>2352023</v>
      </c>
      <c r="L128" s="2">
        <v>450060</v>
      </c>
      <c r="M128" s="2">
        <v>1901963</v>
      </c>
    </row>
    <row r="129" spans="1:13">
      <c r="A129" s="2" t="s">
        <v>204</v>
      </c>
      <c r="B129" s="2" t="s">
        <v>44</v>
      </c>
      <c r="C129" s="2" t="s">
        <v>60</v>
      </c>
      <c r="D129" s="2" t="s">
        <v>59</v>
      </c>
      <c r="E129" s="3">
        <v>45419</v>
      </c>
      <c r="F129" s="2" t="str">
        <f t="shared" si="1"/>
        <v>May</v>
      </c>
      <c r="G129" s="2">
        <v>159</v>
      </c>
      <c r="H129" s="2" t="s">
        <v>32</v>
      </c>
      <c r="I129" s="2">
        <v>190</v>
      </c>
      <c r="J129" s="2">
        <v>125</v>
      </c>
      <c r="K129" s="2">
        <v>1412068</v>
      </c>
      <c r="L129" s="2">
        <v>286875</v>
      </c>
      <c r="M129" s="2">
        <v>1125193</v>
      </c>
    </row>
    <row r="130" spans="1:13">
      <c r="A130" s="2" t="s">
        <v>205</v>
      </c>
      <c r="B130" s="2" t="s">
        <v>48</v>
      </c>
      <c r="C130" s="2" t="s">
        <v>61</v>
      </c>
      <c r="D130" s="2" t="s">
        <v>63</v>
      </c>
      <c r="E130" s="3">
        <v>45420</v>
      </c>
      <c r="F130" s="2" t="str">
        <f t="shared" si="1"/>
        <v>May</v>
      </c>
      <c r="G130" s="2">
        <v>102</v>
      </c>
      <c r="H130" s="2" t="s">
        <v>29</v>
      </c>
      <c r="I130" s="2">
        <v>200</v>
      </c>
      <c r="J130" s="2">
        <v>123</v>
      </c>
      <c r="K130" s="2">
        <v>1056044</v>
      </c>
      <c r="L130" s="2">
        <v>247230</v>
      </c>
      <c r="M130" s="2">
        <v>808814</v>
      </c>
    </row>
    <row r="131" spans="1:13">
      <c r="A131" s="2" t="s">
        <v>206</v>
      </c>
      <c r="B131" s="2" t="s">
        <v>10</v>
      </c>
      <c r="C131" s="2" t="s">
        <v>63</v>
      </c>
      <c r="D131" s="2" t="s">
        <v>61</v>
      </c>
      <c r="E131" s="3">
        <v>45421</v>
      </c>
      <c r="F131" s="2" t="str">
        <f t="shared" ref="F131:F194" si="2">TEXT(E131,"mmm")</f>
        <v>May</v>
      </c>
      <c r="G131" s="2">
        <v>279</v>
      </c>
      <c r="H131" s="2" t="s">
        <v>33</v>
      </c>
      <c r="I131" s="2">
        <v>260</v>
      </c>
      <c r="J131" s="2">
        <v>160</v>
      </c>
      <c r="K131" s="2">
        <v>4080050</v>
      </c>
      <c r="L131" s="2">
        <v>463200</v>
      </c>
      <c r="M131" s="2">
        <v>3616850</v>
      </c>
    </row>
    <row r="132" spans="1:13">
      <c r="A132" s="2" t="s">
        <v>207</v>
      </c>
      <c r="B132" s="2" t="s">
        <v>2</v>
      </c>
      <c r="C132" s="2" t="s">
        <v>58</v>
      </c>
      <c r="D132" s="2" t="s">
        <v>60</v>
      </c>
      <c r="E132" s="3">
        <v>45422</v>
      </c>
      <c r="F132" s="2" t="str">
        <f t="shared" si="2"/>
        <v>May</v>
      </c>
      <c r="G132" s="2">
        <v>429</v>
      </c>
      <c r="H132" s="2" t="s">
        <v>30</v>
      </c>
      <c r="I132" s="2">
        <v>500</v>
      </c>
      <c r="J132" s="2">
        <v>463</v>
      </c>
      <c r="K132" s="2">
        <v>8581784</v>
      </c>
      <c r="L132" s="2">
        <v>1687635</v>
      </c>
      <c r="M132" s="2">
        <v>6894149</v>
      </c>
    </row>
    <row r="133" spans="1:13">
      <c r="A133" s="2" t="s">
        <v>208</v>
      </c>
      <c r="B133" s="2" t="s">
        <v>43</v>
      </c>
      <c r="C133" s="2" t="s">
        <v>60</v>
      </c>
      <c r="D133" s="2" t="s">
        <v>58</v>
      </c>
      <c r="E133" s="3">
        <v>45423</v>
      </c>
      <c r="F133" s="2" t="str">
        <f t="shared" si="2"/>
        <v>May</v>
      </c>
      <c r="G133" s="2">
        <v>149</v>
      </c>
      <c r="H133" s="2" t="s">
        <v>31</v>
      </c>
      <c r="I133" s="2">
        <v>72</v>
      </c>
      <c r="J133" s="2">
        <v>59</v>
      </c>
      <c r="K133" s="2">
        <v>486344</v>
      </c>
      <c r="L133" s="2">
        <v>132455</v>
      </c>
      <c r="M133" s="2">
        <v>353889</v>
      </c>
    </row>
    <row r="134" spans="1:13">
      <c r="A134" s="2" t="s">
        <v>209</v>
      </c>
      <c r="B134" s="2" t="s">
        <v>40</v>
      </c>
      <c r="C134" s="2" t="s">
        <v>59</v>
      </c>
      <c r="D134" s="2" t="s">
        <v>62</v>
      </c>
      <c r="E134" s="3">
        <v>45424</v>
      </c>
      <c r="F134" s="2" t="str">
        <f t="shared" si="2"/>
        <v>May</v>
      </c>
      <c r="G134" s="2">
        <v>83</v>
      </c>
      <c r="H134" s="2" t="s">
        <v>28</v>
      </c>
      <c r="I134" s="2">
        <v>180</v>
      </c>
      <c r="J134" s="2">
        <v>167</v>
      </c>
      <c r="K134" s="2">
        <v>722996</v>
      </c>
      <c r="L134" s="2">
        <v>639610</v>
      </c>
      <c r="M134" s="2">
        <v>83386</v>
      </c>
    </row>
    <row r="135" spans="1:13">
      <c r="A135" s="2" t="s">
        <v>210</v>
      </c>
      <c r="B135" s="2" t="s">
        <v>51</v>
      </c>
      <c r="C135" s="2" t="s">
        <v>62</v>
      </c>
      <c r="D135" s="2" t="s">
        <v>59</v>
      </c>
      <c r="E135" s="3">
        <v>45425</v>
      </c>
      <c r="F135" s="2" t="str">
        <f t="shared" si="2"/>
        <v>May</v>
      </c>
      <c r="G135" s="2">
        <v>219</v>
      </c>
      <c r="H135" s="2" t="s">
        <v>32</v>
      </c>
      <c r="I135" s="2">
        <v>190</v>
      </c>
      <c r="J135" s="2">
        <v>176</v>
      </c>
      <c r="K135" s="2">
        <v>2000751</v>
      </c>
      <c r="L135" s="2">
        <v>913440</v>
      </c>
      <c r="M135" s="2">
        <v>1087311</v>
      </c>
    </row>
    <row r="136" spans="1:13">
      <c r="A136" s="2" t="s">
        <v>211</v>
      </c>
      <c r="B136" s="2" t="s">
        <v>47</v>
      </c>
      <c r="C136" s="2" t="s">
        <v>61</v>
      </c>
      <c r="D136" s="2" t="s">
        <v>62</v>
      </c>
      <c r="E136" s="3">
        <v>45426</v>
      </c>
      <c r="F136" s="2" t="str">
        <f t="shared" si="2"/>
        <v>May</v>
      </c>
      <c r="G136" s="2">
        <v>257</v>
      </c>
      <c r="H136" s="2" t="s">
        <v>29</v>
      </c>
      <c r="I136" s="2">
        <v>200</v>
      </c>
      <c r="J136" s="2">
        <v>160</v>
      </c>
      <c r="K136" s="2">
        <v>2260096</v>
      </c>
      <c r="L136" s="2">
        <v>445600</v>
      </c>
      <c r="M136" s="2">
        <v>1814496</v>
      </c>
    </row>
    <row r="137" spans="1:13">
      <c r="A137" s="2" t="s">
        <v>212</v>
      </c>
      <c r="B137" s="2" t="s">
        <v>8</v>
      </c>
      <c r="C137" s="2" t="s">
        <v>62</v>
      </c>
      <c r="D137" s="2" t="s">
        <v>61</v>
      </c>
      <c r="E137" s="3">
        <v>45427</v>
      </c>
      <c r="F137" s="2" t="str">
        <f t="shared" si="2"/>
        <v>May</v>
      </c>
      <c r="G137" s="2">
        <v>358</v>
      </c>
      <c r="H137" s="2" t="s">
        <v>33</v>
      </c>
      <c r="I137" s="2">
        <v>260</v>
      </c>
      <c r="J137" s="2">
        <v>230</v>
      </c>
      <c r="K137" s="2">
        <v>5505259</v>
      </c>
      <c r="L137" s="2">
        <v>756700</v>
      </c>
      <c r="M137" s="2">
        <v>4748559</v>
      </c>
    </row>
    <row r="138" spans="1:13">
      <c r="A138" s="2" t="s">
        <v>213</v>
      </c>
      <c r="B138" s="2" t="s">
        <v>4</v>
      </c>
      <c r="C138" s="2" t="s">
        <v>58</v>
      </c>
      <c r="D138" s="2" t="s">
        <v>66</v>
      </c>
      <c r="E138" s="3">
        <v>45428</v>
      </c>
      <c r="F138" s="2" t="str">
        <f t="shared" si="2"/>
        <v>May</v>
      </c>
      <c r="G138" s="2">
        <v>244</v>
      </c>
      <c r="H138" s="2" t="s">
        <v>30</v>
      </c>
      <c r="I138" s="2">
        <v>500</v>
      </c>
      <c r="J138" s="2">
        <v>468</v>
      </c>
      <c r="K138" s="2">
        <v>5275622</v>
      </c>
      <c r="L138" s="2">
        <v>2545920</v>
      </c>
      <c r="M138" s="2">
        <v>2729702</v>
      </c>
    </row>
    <row r="139" spans="1:13">
      <c r="A139" s="2" t="s">
        <v>214</v>
      </c>
      <c r="B139" s="2" t="s">
        <v>54</v>
      </c>
      <c r="C139" s="2" t="s">
        <v>66</v>
      </c>
      <c r="D139" s="2" t="s">
        <v>58</v>
      </c>
      <c r="E139" s="3">
        <v>45429</v>
      </c>
      <c r="F139" s="2" t="str">
        <f t="shared" si="2"/>
        <v>May</v>
      </c>
      <c r="G139" s="2">
        <v>73</v>
      </c>
      <c r="H139" s="2" t="s">
        <v>31</v>
      </c>
      <c r="I139" s="2">
        <v>72</v>
      </c>
      <c r="J139" s="2">
        <v>50</v>
      </c>
      <c r="K139" s="2">
        <v>240915</v>
      </c>
      <c r="L139" s="2">
        <v>186500</v>
      </c>
      <c r="M139" s="2">
        <v>54415</v>
      </c>
    </row>
    <row r="140" spans="1:13">
      <c r="A140" s="2" t="s">
        <v>215</v>
      </c>
      <c r="B140" s="2" t="s">
        <v>42</v>
      </c>
      <c r="C140" s="2" t="s">
        <v>59</v>
      </c>
      <c r="D140" s="2" t="s">
        <v>66</v>
      </c>
      <c r="E140" s="3">
        <v>45430</v>
      </c>
      <c r="F140" s="2" t="str">
        <f t="shared" si="2"/>
        <v>May</v>
      </c>
      <c r="G140" s="2">
        <v>105</v>
      </c>
      <c r="H140" s="2" t="s">
        <v>28</v>
      </c>
      <c r="I140" s="2">
        <v>180</v>
      </c>
      <c r="J140" s="2">
        <v>109</v>
      </c>
      <c r="K140" s="2">
        <v>771866</v>
      </c>
      <c r="L140" s="2">
        <v>441450</v>
      </c>
      <c r="M140" s="2">
        <v>330416</v>
      </c>
    </row>
    <row r="141" spans="1:13">
      <c r="A141" s="2" t="s">
        <v>216</v>
      </c>
      <c r="B141" s="2" t="s">
        <v>55</v>
      </c>
      <c r="C141" s="2" t="s">
        <v>66</v>
      </c>
      <c r="D141" s="2" t="s">
        <v>59</v>
      </c>
      <c r="E141" s="3">
        <v>45431</v>
      </c>
      <c r="F141" s="2" t="str">
        <f t="shared" si="2"/>
        <v>May</v>
      </c>
      <c r="G141" s="2">
        <v>94</v>
      </c>
      <c r="H141" s="2" t="s">
        <v>32</v>
      </c>
      <c r="I141" s="2">
        <v>190</v>
      </c>
      <c r="J141" s="2">
        <v>136</v>
      </c>
      <c r="K141" s="2">
        <v>872348</v>
      </c>
      <c r="L141" s="2">
        <v>535840</v>
      </c>
      <c r="M141" s="2">
        <v>336508</v>
      </c>
    </row>
    <row r="142" spans="1:13">
      <c r="A142" s="2" t="s">
        <v>217</v>
      </c>
      <c r="B142" s="2" t="s">
        <v>50</v>
      </c>
      <c r="C142" s="2" t="s">
        <v>61</v>
      </c>
      <c r="D142" s="2" t="s">
        <v>65</v>
      </c>
      <c r="E142" s="3">
        <v>45432</v>
      </c>
      <c r="F142" s="2" t="str">
        <f t="shared" si="2"/>
        <v>May</v>
      </c>
      <c r="G142" s="2">
        <v>172</v>
      </c>
      <c r="H142" s="2" t="s">
        <v>29</v>
      </c>
      <c r="I142" s="2">
        <v>200</v>
      </c>
      <c r="J142" s="2">
        <v>179</v>
      </c>
      <c r="K142" s="2">
        <v>1478205</v>
      </c>
      <c r="L142" s="2">
        <v>844880</v>
      </c>
      <c r="M142" s="2">
        <v>633325</v>
      </c>
    </row>
    <row r="143" spans="1:13">
      <c r="A143" s="2" t="s">
        <v>218</v>
      </c>
      <c r="B143" s="2" t="s">
        <v>11</v>
      </c>
      <c r="C143" s="2" t="s">
        <v>65</v>
      </c>
      <c r="D143" s="2" t="s">
        <v>61</v>
      </c>
      <c r="E143" s="3">
        <v>45433</v>
      </c>
      <c r="F143" s="2" t="str">
        <f t="shared" si="2"/>
        <v>May</v>
      </c>
      <c r="G143" s="2">
        <v>294</v>
      </c>
      <c r="H143" s="2" t="s">
        <v>33</v>
      </c>
      <c r="I143" s="2">
        <v>260</v>
      </c>
      <c r="J143" s="2">
        <v>181</v>
      </c>
      <c r="K143" s="2">
        <v>4073221</v>
      </c>
      <c r="L143" s="2">
        <v>1075140</v>
      </c>
      <c r="M143" s="2">
        <v>2998081</v>
      </c>
    </row>
    <row r="144" spans="1:13">
      <c r="A144" s="2" t="s">
        <v>219</v>
      </c>
      <c r="B144" s="2" t="s">
        <v>6</v>
      </c>
      <c r="C144" s="2" t="s">
        <v>59</v>
      </c>
      <c r="D144" s="2" t="s">
        <v>65</v>
      </c>
      <c r="E144" s="3">
        <v>45434</v>
      </c>
      <c r="F144" s="2" t="str">
        <f t="shared" si="2"/>
        <v>May</v>
      </c>
      <c r="G144" s="2">
        <v>293</v>
      </c>
      <c r="H144" s="2" t="s">
        <v>30</v>
      </c>
      <c r="I144" s="2">
        <v>500</v>
      </c>
      <c r="J144" s="2">
        <v>410</v>
      </c>
      <c r="K144" s="2">
        <v>6302397</v>
      </c>
      <c r="L144" s="2">
        <v>2431300</v>
      </c>
      <c r="M144" s="2">
        <v>3871097</v>
      </c>
    </row>
    <row r="145" spans="1:13">
      <c r="A145" s="2" t="s">
        <v>220</v>
      </c>
      <c r="B145" s="2" t="s">
        <v>53</v>
      </c>
      <c r="C145" s="2" t="s">
        <v>65</v>
      </c>
      <c r="D145" s="2" t="s">
        <v>59</v>
      </c>
      <c r="E145" s="3">
        <v>45435</v>
      </c>
      <c r="F145" s="2" t="str">
        <f t="shared" si="2"/>
        <v>May</v>
      </c>
      <c r="G145" s="2">
        <v>65</v>
      </c>
      <c r="H145" s="2" t="s">
        <v>31</v>
      </c>
      <c r="I145" s="2">
        <v>72</v>
      </c>
      <c r="J145" s="2">
        <v>53</v>
      </c>
      <c r="K145" s="2">
        <v>248774</v>
      </c>
      <c r="L145" s="2">
        <v>193450</v>
      </c>
      <c r="M145" s="2">
        <v>55324</v>
      </c>
    </row>
    <row r="146" spans="1:13">
      <c r="A146" s="2" t="s">
        <v>221</v>
      </c>
      <c r="B146" s="2" t="s">
        <v>49</v>
      </c>
      <c r="C146" s="2" t="s">
        <v>61</v>
      </c>
      <c r="D146" s="2" t="s">
        <v>64</v>
      </c>
      <c r="E146" s="3">
        <v>45436</v>
      </c>
      <c r="F146" s="2" t="str">
        <f t="shared" si="2"/>
        <v>May</v>
      </c>
      <c r="G146" s="2">
        <v>223</v>
      </c>
      <c r="H146" s="2" t="s">
        <v>28</v>
      </c>
      <c r="I146" s="2">
        <v>180</v>
      </c>
      <c r="J146" s="2">
        <v>119</v>
      </c>
      <c r="K146" s="2">
        <v>1873419</v>
      </c>
      <c r="L146" s="2">
        <v>622370</v>
      </c>
      <c r="M146" s="2">
        <v>1251049</v>
      </c>
    </row>
    <row r="147" spans="1:13">
      <c r="A147" s="2" t="s">
        <v>222</v>
      </c>
      <c r="B147" s="2" t="s">
        <v>52</v>
      </c>
      <c r="C147" s="2" t="s">
        <v>64</v>
      </c>
      <c r="D147" s="2" t="s">
        <v>61</v>
      </c>
      <c r="E147" s="3">
        <v>45437</v>
      </c>
      <c r="F147" s="2" t="str">
        <f t="shared" si="2"/>
        <v>May</v>
      </c>
      <c r="G147" s="2">
        <v>251</v>
      </c>
      <c r="H147" s="2" t="s">
        <v>32</v>
      </c>
      <c r="I147" s="2">
        <v>190</v>
      </c>
      <c r="J147" s="2">
        <v>152</v>
      </c>
      <c r="K147" s="2">
        <v>2363658</v>
      </c>
      <c r="L147" s="2">
        <v>837520</v>
      </c>
      <c r="M147" s="2">
        <v>1526138</v>
      </c>
    </row>
    <row r="148" spans="1:13">
      <c r="A148" s="2" t="s">
        <v>223</v>
      </c>
      <c r="B148" s="2" t="s">
        <v>37</v>
      </c>
      <c r="C148" s="2" t="s">
        <v>58</v>
      </c>
      <c r="D148" s="2" t="s">
        <v>62</v>
      </c>
      <c r="E148" s="3">
        <v>45438</v>
      </c>
      <c r="F148" s="2" t="str">
        <f t="shared" si="2"/>
        <v>May</v>
      </c>
      <c r="G148" s="2">
        <v>115</v>
      </c>
      <c r="H148" s="2" t="s">
        <v>29</v>
      </c>
      <c r="I148" s="2">
        <v>200</v>
      </c>
      <c r="J148" s="2">
        <v>146</v>
      </c>
      <c r="K148" s="2">
        <v>1152896</v>
      </c>
      <c r="L148" s="2">
        <v>605900</v>
      </c>
      <c r="M148" s="2">
        <v>546996</v>
      </c>
    </row>
    <row r="149" spans="1:13">
      <c r="A149" s="2" t="s">
        <v>224</v>
      </c>
      <c r="B149" s="2" t="s">
        <v>7</v>
      </c>
      <c r="C149" s="2" t="s">
        <v>62</v>
      </c>
      <c r="D149" s="2" t="s">
        <v>58</v>
      </c>
      <c r="E149" s="3">
        <v>45439</v>
      </c>
      <c r="F149" s="2" t="str">
        <f t="shared" si="2"/>
        <v>May</v>
      </c>
      <c r="G149" s="2">
        <v>331</v>
      </c>
      <c r="H149" s="2" t="s">
        <v>33</v>
      </c>
      <c r="I149" s="2">
        <v>260</v>
      </c>
      <c r="J149" s="2">
        <v>234</v>
      </c>
      <c r="K149" s="2">
        <v>5026433</v>
      </c>
      <c r="L149" s="2">
        <v>1476540</v>
      </c>
      <c r="M149" s="2">
        <v>3549893</v>
      </c>
    </row>
    <row r="150" spans="1:13">
      <c r="A150" s="2" t="s">
        <v>225</v>
      </c>
      <c r="B150" s="2" t="s">
        <v>9</v>
      </c>
      <c r="C150" s="2" t="s">
        <v>63</v>
      </c>
      <c r="D150" s="2" t="s">
        <v>59</v>
      </c>
      <c r="E150" s="3">
        <v>45440</v>
      </c>
      <c r="F150" s="2" t="str">
        <f t="shared" si="2"/>
        <v>May</v>
      </c>
      <c r="G150" s="2">
        <v>447</v>
      </c>
      <c r="H150" s="2" t="s">
        <v>30</v>
      </c>
      <c r="I150" s="2">
        <v>500</v>
      </c>
      <c r="J150" s="2">
        <v>375</v>
      </c>
      <c r="K150" s="2">
        <v>9388557</v>
      </c>
      <c r="L150" s="2">
        <v>1400625</v>
      </c>
      <c r="M150" s="2">
        <v>7987932</v>
      </c>
    </row>
    <row r="151" spans="1:13">
      <c r="A151" s="2" t="s">
        <v>226</v>
      </c>
      <c r="B151" s="2" t="s">
        <v>41</v>
      </c>
      <c r="C151" s="2" t="s">
        <v>59</v>
      </c>
      <c r="D151" s="2" t="s">
        <v>63</v>
      </c>
      <c r="E151" s="3">
        <v>45441</v>
      </c>
      <c r="F151" s="2" t="str">
        <f t="shared" si="2"/>
        <v>May</v>
      </c>
      <c r="G151" s="2">
        <v>118</v>
      </c>
      <c r="H151" s="2" t="s">
        <v>31</v>
      </c>
      <c r="I151" s="2">
        <v>72</v>
      </c>
      <c r="J151" s="2">
        <v>49</v>
      </c>
      <c r="K151" s="2">
        <v>402900</v>
      </c>
      <c r="L151" s="2">
        <v>102410</v>
      </c>
      <c r="M151" s="2">
        <v>300490</v>
      </c>
    </row>
    <row r="152" spans="1:13">
      <c r="A152" s="2" t="s">
        <v>227</v>
      </c>
      <c r="B152" s="2" t="s">
        <v>39</v>
      </c>
      <c r="C152" s="2" t="s">
        <v>59</v>
      </c>
      <c r="D152" s="2" t="s">
        <v>61</v>
      </c>
      <c r="E152" s="3">
        <v>45442</v>
      </c>
      <c r="F152" s="2" t="str">
        <f t="shared" si="2"/>
        <v>May</v>
      </c>
      <c r="G152" s="2">
        <v>172</v>
      </c>
      <c r="H152" s="2" t="s">
        <v>28</v>
      </c>
      <c r="I152" s="2">
        <v>180</v>
      </c>
      <c r="J152" s="2">
        <v>139</v>
      </c>
      <c r="K152" s="2">
        <v>1465841</v>
      </c>
      <c r="L152" s="2">
        <v>328040</v>
      </c>
      <c r="M152" s="2">
        <v>1137801</v>
      </c>
    </row>
    <row r="153" spans="1:13">
      <c r="A153" s="2" t="s">
        <v>228</v>
      </c>
      <c r="B153" s="2" t="s">
        <v>46</v>
      </c>
      <c r="C153" s="2" t="s">
        <v>61</v>
      </c>
      <c r="D153" s="2" t="s">
        <v>59</v>
      </c>
      <c r="E153" s="3">
        <v>45443</v>
      </c>
      <c r="F153" s="2" t="str">
        <f t="shared" si="2"/>
        <v>May</v>
      </c>
      <c r="G153" s="2">
        <v>246</v>
      </c>
      <c r="H153" s="2" t="s">
        <v>32</v>
      </c>
      <c r="I153" s="2">
        <v>190</v>
      </c>
      <c r="J153" s="2">
        <v>120</v>
      </c>
      <c r="K153" s="2">
        <v>2016283</v>
      </c>
      <c r="L153" s="2">
        <v>327600</v>
      </c>
      <c r="M153" s="2">
        <v>1688683</v>
      </c>
    </row>
    <row r="154" spans="1:13">
      <c r="A154" s="2" t="s">
        <v>229</v>
      </c>
      <c r="B154" s="2" t="s">
        <v>45</v>
      </c>
      <c r="C154" s="2" t="s">
        <v>61</v>
      </c>
      <c r="D154" s="2" t="s">
        <v>58</v>
      </c>
      <c r="E154" s="3">
        <v>45444</v>
      </c>
      <c r="F154" s="2" t="str">
        <f t="shared" si="2"/>
        <v>Jun</v>
      </c>
      <c r="G154" s="2">
        <v>312</v>
      </c>
      <c r="H154" s="2" t="s">
        <v>29</v>
      </c>
      <c r="I154" s="2">
        <v>200</v>
      </c>
      <c r="J154" s="2">
        <v>179</v>
      </c>
      <c r="K154" s="2">
        <v>2877987</v>
      </c>
      <c r="L154" s="2">
        <v>547740</v>
      </c>
      <c r="M154" s="2">
        <v>2330247</v>
      </c>
    </row>
    <row r="155" spans="1:13">
      <c r="A155" s="2" t="s">
        <v>230</v>
      </c>
      <c r="B155" s="2" t="s">
        <v>3</v>
      </c>
      <c r="C155" s="2" t="s">
        <v>58</v>
      </c>
      <c r="D155" s="2" t="s">
        <v>61</v>
      </c>
      <c r="E155" s="3">
        <v>45445</v>
      </c>
      <c r="F155" s="2" t="str">
        <f t="shared" si="2"/>
        <v>Jun</v>
      </c>
      <c r="G155" s="2">
        <v>463</v>
      </c>
      <c r="H155" s="2" t="s">
        <v>33</v>
      </c>
      <c r="I155" s="2">
        <v>260</v>
      </c>
      <c r="J155" s="2">
        <v>242</v>
      </c>
      <c r="K155" s="2">
        <v>7570893</v>
      </c>
      <c r="L155" s="2">
        <v>923230</v>
      </c>
      <c r="M155" s="2">
        <v>6647663</v>
      </c>
    </row>
    <row r="156" spans="1:13">
      <c r="A156" s="2" t="s">
        <v>231</v>
      </c>
      <c r="B156" s="2" t="s">
        <v>5</v>
      </c>
      <c r="C156" s="2" t="s">
        <v>59</v>
      </c>
      <c r="D156" s="2" t="s">
        <v>58</v>
      </c>
      <c r="E156" s="3">
        <v>45446</v>
      </c>
      <c r="F156" s="2" t="str">
        <f t="shared" si="2"/>
        <v>Jun</v>
      </c>
      <c r="G156" s="2">
        <v>518</v>
      </c>
      <c r="H156" s="2" t="s">
        <v>30</v>
      </c>
      <c r="I156" s="2">
        <v>500</v>
      </c>
      <c r="J156" s="2">
        <v>386</v>
      </c>
      <c r="K156" s="2">
        <v>9496565</v>
      </c>
      <c r="L156" s="2">
        <v>1578740</v>
      </c>
      <c r="M156" s="2">
        <v>7917825</v>
      </c>
    </row>
    <row r="157" spans="1:13">
      <c r="A157" s="2" t="s">
        <v>232</v>
      </c>
      <c r="B157" s="2" t="s">
        <v>36</v>
      </c>
      <c r="C157" s="2" t="s">
        <v>58</v>
      </c>
      <c r="D157" s="2" t="s">
        <v>59</v>
      </c>
      <c r="E157" s="3">
        <v>45447</v>
      </c>
      <c r="F157" s="2" t="str">
        <f t="shared" si="2"/>
        <v>Jun</v>
      </c>
      <c r="G157" s="2">
        <v>98</v>
      </c>
      <c r="H157" s="2" t="s">
        <v>31</v>
      </c>
      <c r="I157" s="2">
        <v>72</v>
      </c>
      <c r="J157" s="2">
        <v>50</v>
      </c>
      <c r="K157" s="2">
        <v>331246</v>
      </c>
      <c r="L157" s="2">
        <v>99500</v>
      </c>
      <c r="M157" s="2">
        <v>231746</v>
      </c>
    </row>
    <row r="158" spans="1:13">
      <c r="A158" s="2" t="s">
        <v>233</v>
      </c>
      <c r="B158" s="2" t="s">
        <v>38</v>
      </c>
      <c r="C158" s="2" t="s">
        <v>59</v>
      </c>
      <c r="D158" s="2" t="s">
        <v>60</v>
      </c>
      <c r="E158" s="3">
        <v>45448</v>
      </c>
      <c r="F158" s="2" t="str">
        <f t="shared" si="2"/>
        <v>Jun</v>
      </c>
      <c r="G158" s="2">
        <v>182</v>
      </c>
      <c r="H158" s="2" t="s">
        <v>28</v>
      </c>
      <c r="I158" s="2">
        <v>180</v>
      </c>
      <c r="J158" s="2">
        <v>121</v>
      </c>
      <c r="K158" s="2">
        <v>1585931</v>
      </c>
      <c r="L158" s="2">
        <v>291610</v>
      </c>
      <c r="M158" s="2">
        <v>1294321</v>
      </c>
    </row>
    <row r="159" spans="1:13">
      <c r="A159" s="2" t="s">
        <v>234</v>
      </c>
      <c r="B159" s="2" t="s">
        <v>44</v>
      </c>
      <c r="C159" s="2" t="s">
        <v>60</v>
      </c>
      <c r="D159" s="2" t="s">
        <v>59</v>
      </c>
      <c r="E159" s="3">
        <v>45449</v>
      </c>
      <c r="F159" s="2" t="str">
        <f t="shared" si="2"/>
        <v>Jun</v>
      </c>
      <c r="G159" s="2">
        <v>203</v>
      </c>
      <c r="H159" s="2" t="s">
        <v>32</v>
      </c>
      <c r="I159" s="2">
        <v>190</v>
      </c>
      <c r="J159" s="2">
        <v>166</v>
      </c>
      <c r="K159" s="2">
        <v>1677626</v>
      </c>
      <c r="L159" s="2">
        <v>417490</v>
      </c>
      <c r="M159" s="2">
        <v>1260136</v>
      </c>
    </row>
    <row r="160" spans="1:13">
      <c r="A160" s="2" t="s">
        <v>235</v>
      </c>
      <c r="B160" s="2" t="s">
        <v>48</v>
      </c>
      <c r="C160" s="2" t="s">
        <v>61</v>
      </c>
      <c r="D160" s="2" t="s">
        <v>63</v>
      </c>
      <c r="E160" s="3">
        <v>45450</v>
      </c>
      <c r="F160" s="2" t="str">
        <f t="shared" si="2"/>
        <v>Jun</v>
      </c>
      <c r="G160" s="2">
        <v>121</v>
      </c>
      <c r="H160" s="2" t="s">
        <v>29</v>
      </c>
      <c r="I160" s="2">
        <v>200</v>
      </c>
      <c r="J160" s="2">
        <v>188</v>
      </c>
      <c r="K160" s="2">
        <v>1263514</v>
      </c>
      <c r="L160" s="2">
        <v>395740</v>
      </c>
      <c r="M160" s="2">
        <v>867774</v>
      </c>
    </row>
    <row r="161" spans="1:13">
      <c r="A161" s="2" t="s">
        <v>236</v>
      </c>
      <c r="B161" s="2" t="s">
        <v>10</v>
      </c>
      <c r="C161" s="2" t="s">
        <v>63</v>
      </c>
      <c r="D161" s="2" t="s">
        <v>61</v>
      </c>
      <c r="E161" s="3">
        <v>45451</v>
      </c>
      <c r="F161" s="2" t="str">
        <f t="shared" si="2"/>
        <v>Jun</v>
      </c>
      <c r="G161" s="2">
        <v>301</v>
      </c>
      <c r="H161" s="2" t="s">
        <v>33</v>
      </c>
      <c r="I161" s="2">
        <v>260</v>
      </c>
      <c r="J161" s="2">
        <v>196</v>
      </c>
      <c r="K161" s="2">
        <v>4865096</v>
      </c>
      <c r="L161" s="2">
        <v>588980</v>
      </c>
      <c r="M161" s="2">
        <v>4276116</v>
      </c>
    </row>
    <row r="162" spans="1:13">
      <c r="A162" s="2" t="s">
        <v>237</v>
      </c>
      <c r="B162" s="2" t="s">
        <v>2</v>
      </c>
      <c r="C162" s="2" t="s">
        <v>58</v>
      </c>
      <c r="D162" s="2" t="s">
        <v>60</v>
      </c>
      <c r="E162" s="3">
        <v>45452</v>
      </c>
      <c r="F162" s="2" t="str">
        <f t="shared" si="2"/>
        <v>Jun</v>
      </c>
      <c r="G162" s="2">
        <v>414</v>
      </c>
      <c r="H162" s="2" t="s">
        <v>30</v>
      </c>
      <c r="I162" s="2">
        <v>500</v>
      </c>
      <c r="J162" s="2">
        <v>423</v>
      </c>
      <c r="K162" s="2">
        <v>9056087</v>
      </c>
      <c r="L162" s="2">
        <v>1510110</v>
      </c>
      <c r="M162" s="2">
        <v>7545977</v>
      </c>
    </row>
    <row r="163" spans="1:13">
      <c r="A163" s="2" t="s">
        <v>238</v>
      </c>
      <c r="B163" s="2" t="s">
        <v>43</v>
      </c>
      <c r="C163" s="2" t="s">
        <v>60</v>
      </c>
      <c r="D163" s="2" t="s">
        <v>58</v>
      </c>
      <c r="E163" s="3">
        <v>45453</v>
      </c>
      <c r="F163" s="2" t="str">
        <f t="shared" si="2"/>
        <v>Jun</v>
      </c>
      <c r="G163" s="2">
        <v>38</v>
      </c>
      <c r="H163" s="2" t="s">
        <v>31</v>
      </c>
      <c r="I163" s="2">
        <v>72</v>
      </c>
      <c r="J163" s="2">
        <v>62</v>
      </c>
      <c r="K163" s="2">
        <v>136144</v>
      </c>
      <c r="L163" s="2">
        <v>104780</v>
      </c>
      <c r="M163" s="2">
        <v>31364</v>
      </c>
    </row>
    <row r="164" spans="1:13">
      <c r="A164" s="2" t="s">
        <v>239</v>
      </c>
      <c r="B164" s="2" t="s">
        <v>40</v>
      </c>
      <c r="C164" s="2" t="s">
        <v>59</v>
      </c>
      <c r="D164" s="2" t="s">
        <v>62</v>
      </c>
      <c r="E164" s="3">
        <v>45454</v>
      </c>
      <c r="F164" s="2" t="str">
        <f t="shared" si="2"/>
        <v>Jun</v>
      </c>
      <c r="G164" s="2">
        <v>289</v>
      </c>
      <c r="H164" s="2" t="s">
        <v>28</v>
      </c>
      <c r="I164" s="2">
        <v>180</v>
      </c>
      <c r="J164" s="2">
        <v>113</v>
      </c>
      <c r="K164" s="2">
        <v>2404928</v>
      </c>
      <c r="L164" s="2">
        <v>665570</v>
      </c>
      <c r="M164" s="2">
        <v>1739358</v>
      </c>
    </row>
    <row r="165" spans="1:13">
      <c r="A165" s="2" t="s">
        <v>240</v>
      </c>
      <c r="B165" s="2" t="s">
        <v>51</v>
      </c>
      <c r="C165" s="2" t="s">
        <v>62</v>
      </c>
      <c r="D165" s="2" t="s">
        <v>59</v>
      </c>
      <c r="E165" s="3">
        <v>45455</v>
      </c>
      <c r="F165" s="2" t="str">
        <f t="shared" si="2"/>
        <v>Jun</v>
      </c>
      <c r="G165" s="2">
        <v>229</v>
      </c>
      <c r="H165" s="2" t="s">
        <v>32</v>
      </c>
      <c r="I165" s="2">
        <v>190</v>
      </c>
      <c r="J165" s="2">
        <v>140</v>
      </c>
      <c r="K165" s="2">
        <v>2222539</v>
      </c>
      <c r="L165" s="2">
        <v>740600</v>
      </c>
      <c r="M165" s="2">
        <v>1481939</v>
      </c>
    </row>
    <row r="166" spans="1:13">
      <c r="A166" s="2" t="s">
        <v>241</v>
      </c>
      <c r="B166" s="2" t="s">
        <v>47</v>
      </c>
      <c r="C166" s="2" t="s">
        <v>61</v>
      </c>
      <c r="D166" s="2" t="s">
        <v>62</v>
      </c>
      <c r="E166" s="3">
        <v>45456</v>
      </c>
      <c r="F166" s="2" t="str">
        <f t="shared" si="2"/>
        <v>Jun</v>
      </c>
      <c r="G166" s="2">
        <v>273</v>
      </c>
      <c r="H166" s="2" t="s">
        <v>29</v>
      </c>
      <c r="I166" s="2">
        <v>200</v>
      </c>
      <c r="J166" s="2">
        <v>125</v>
      </c>
      <c r="K166" s="2">
        <v>2378155</v>
      </c>
      <c r="L166" s="2">
        <v>358125</v>
      </c>
      <c r="M166" s="2">
        <v>2020030</v>
      </c>
    </row>
    <row r="167" spans="1:13">
      <c r="A167" s="2" t="s">
        <v>242</v>
      </c>
      <c r="B167" s="2" t="s">
        <v>8</v>
      </c>
      <c r="C167" s="2" t="s">
        <v>62</v>
      </c>
      <c r="D167" s="2" t="s">
        <v>61</v>
      </c>
      <c r="E167" s="3">
        <v>45457</v>
      </c>
      <c r="F167" s="2" t="str">
        <f t="shared" si="2"/>
        <v>Jun</v>
      </c>
      <c r="G167" s="2">
        <v>518</v>
      </c>
      <c r="H167" s="2" t="s">
        <v>33</v>
      </c>
      <c r="I167" s="2">
        <v>260</v>
      </c>
      <c r="J167" s="2">
        <v>208</v>
      </c>
      <c r="K167" s="2">
        <v>8334317</v>
      </c>
      <c r="L167" s="2">
        <v>850720</v>
      </c>
      <c r="M167" s="2">
        <v>7483597</v>
      </c>
    </row>
    <row r="168" spans="1:13">
      <c r="A168" s="2" t="s">
        <v>243</v>
      </c>
      <c r="B168" s="2" t="s">
        <v>4</v>
      </c>
      <c r="C168" s="2" t="s">
        <v>58</v>
      </c>
      <c r="D168" s="2" t="s">
        <v>66</v>
      </c>
      <c r="E168" s="3">
        <v>45458</v>
      </c>
      <c r="F168" s="2" t="str">
        <f t="shared" si="2"/>
        <v>Jun</v>
      </c>
      <c r="G168" s="2">
        <v>521</v>
      </c>
      <c r="H168" s="2" t="s">
        <v>30</v>
      </c>
      <c r="I168" s="2">
        <v>500</v>
      </c>
      <c r="J168" s="2">
        <v>442</v>
      </c>
      <c r="K168" s="2">
        <v>11352066</v>
      </c>
      <c r="L168" s="2">
        <v>3628820</v>
      </c>
      <c r="M168" s="2">
        <v>7723246</v>
      </c>
    </row>
    <row r="169" spans="1:13">
      <c r="A169" s="2" t="s">
        <v>244</v>
      </c>
      <c r="B169" s="2" t="s">
        <v>54</v>
      </c>
      <c r="C169" s="2" t="s">
        <v>66</v>
      </c>
      <c r="D169" s="2" t="s">
        <v>58</v>
      </c>
      <c r="E169" s="3">
        <v>45459</v>
      </c>
      <c r="F169" s="2" t="str">
        <f t="shared" si="2"/>
        <v>Jun</v>
      </c>
      <c r="G169" s="2">
        <v>118</v>
      </c>
      <c r="H169" s="2" t="s">
        <v>31</v>
      </c>
      <c r="I169" s="2">
        <v>72</v>
      </c>
      <c r="J169" s="2">
        <v>58</v>
      </c>
      <c r="K169" s="2">
        <v>400628</v>
      </c>
      <c r="L169" s="2">
        <v>242440</v>
      </c>
      <c r="M169" s="2">
        <v>158188</v>
      </c>
    </row>
    <row r="170" spans="1:13">
      <c r="A170" s="2" t="s">
        <v>245</v>
      </c>
      <c r="B170" s="2" t="s">
        <v>42</v>
      </c>
      <c r="C170" s="2" t="s">
        <v>59</v>
      </c>
      <c r="D170" s="2" t="s">
        <v>66</v>
      </c>
      <c r="E170" s="3">
        <v>45460</v>
      </c>
      <c r="F170" s="2" t="str">
        <f t="shared" si="2"/>
        <v>Jun</v>
      </c>
      <c r="G170" s="2">
        <v>218</v>
      </c>
      <c r="H170" s="2" t="s">
        <v>28</v>
      </c>
      <c r="I170" s="2">
        <v>180</v>
      </c>
      <c r="J170" s="2">
        <v>138</v>
      </c>
      <c r="K170" s="2">
        <v>1701442</v>
      </c>
      <c r="L170" s="2">
        <v>714840</v>
      </c>
      <c r="M170" s="2">
        <v>986602</v>
      </c>
    </row>
    <row r="171" spans="1:13">
      <c r="A171" s="2" t="s">
        <v>246</v>
      </c>
      <c r="B171" s="2" t="s">
        <v>55</v>
      </c>
      <c r="C171" s="2" t="s">
        <v>66</v>
      </c>
      <c r="D171" s="2" t="s">
        <v>59</v>
      </c>
      <c r="E171" s="3">
        <v>45461</v>
      </c>
      <c r="F171" s="2" t="str">
        <f t="shared" si="2"/>
        <v>Jun</v>
      </c>
      <c r="G171" s="2">
        <v>226</v>
      </c>
      <c r="H171" s="2" t="s">
        <v>32</v>
      </c>
      <c r="I171" s="2">
        <v>190</v>
      </c>
      <c r="J171" s="2">
        <v>142</v>
      </c>
      <c r="K171" s="2">
        <v>2199304</v>
      </c>
      <c r="L171" s="2">
        <v>746920</v>
      </c>
      <c r="M171" s="2">
        <v>1452384</v>
      </c>
    </row>
    <row r="172" spans="1:13">
      <c r="A172" s="2" t="s">
        <v>247</v>
      </c>
      <c r="B172" s="2" t="s">
        <v>50</v>
      </c>
      <c r="C172" s="2" t="s">
        <v>61</v>
      </c>
      <c r="D172" s="2" t="s">
        <v>65</v>
      </c>
      <c r="E172" s="3">
        <v>45462</v>
      </c>
      <c r="F172" s="2" t="str">
        <f t="shared" si="2"/>
        <v>Jun</v>
      </c>
      <c r="G172" s="2">
        <v>118</v>
      </c>
      <c r="H172" s="2" t="s">
        <v>29</v>
      </c>
      <c r="I172" s="2">
        <v>200</v>
      </c>
      <c r="J172" s="2">
        <v>150</v>
      </c>
      <c r="K172" s="2">
        <v>1065775</v>
      </c>
      <c r="L172" s="2">
        <v>627000</v>
      </c>
      <c r="M172" s="2">
        <v>438775</v>
      </c>
    </row>
    <row r="173" spans="1:13">
      <c r="A173" s="2" t="s">
        <v>248</v>
      </c>
      <c r="B173" s="2" t="s">
        <v>11</v>
      </c>
      <c r="C173" s="2" t="s">
        <v>65</v>
      </c>
      <c r="D173" s="2" t="s">
        <v>61</v>
      </c>
      <c r="E173" s="3">
        <v>45463</v>
      </c>
      <c r="F173" s="2" t="str">
        <f t="shared" si="2"/>
        <v>Jun</v>
      </c>
      <c r="G173" s="2">
        <v>421</v>
      </c>
      <c r="H173" s="2" t="s">
        <v>33</v>
      </c>
      <c r="I173" s="2">
        <v>260</v>
      </c>
      <c r="J173" s="2">
        <v>198</v>
      </c>
      <c r="K173" s="2">
        <v>5754611</v>
      </c>
      <c r="L173" s="2">
        <v>1427580</v>
      </c>
      <c r="M173" s="2">
        <v>4327031</v>
      </c>
    </row>
    <row r="174" spans="1:13">
      <c r="A174" s="2" t="s">
        <v>249</v>
      </c>
      <c r="B174" s="2" t="s">
        <v>6</v>
      </c>
      <c r="C174" s="2" t="s">
        <v>59</v>
      </c>
      <c r="D174" s="2" t="s">
        <v>65</v>
      </c>
      <c r="E174" s="3">
        <v>45464</v>
      </c>
      <c r="F174" s="2" t="str">
        <f t="shared" si="2"/>
        <v>Jun</v>
      </c>
      <c r="G174" s="2">
        <v>496</v>
      </c>
      <c r="H174" s="2" t="s">
        <v>30</v>
      </c>
      <c r="I174" s="2">
        <v>500</v>
      </c>
      <c r="J174" s="2">
        <v>443</v>
      </c>
      <c r="K174" s="2">
        <v>10404515</v>
      </c>
      <c r="L174" s="2">
        <v>3526280</v>
      </c>
      <c r="M174" s="2">
        <v>6878235</v>
      </c>
    </row>
    <row r="175" spans="1:13">
      <c r="A175" s="2" t="s">
        <v>250</v>
      </c>
      <c r="B175" s="2" t="s">
        <v>53</v>
      </c>
      <c r="C175" s="2" t="s">
        <v>65</v>
      </c>
      <c r="D175" s="2" t="s">
        <v>59</v>
      </c>
      <c r="E175" s="3">
        <v>45465</v>
      </c>
      <c r="F175" s="2" t="str">
        <f t="shared" si="2"/>
        <v>Jun</v>
      </c>
      <c r="G175" s="2">
        <v>32</v>
      </c>
      <c r="H175" s="2" t="s">
        <v>31</v>
      </c>
      <c r="I175" s="2">
        <v>72</v>
      </c>
      <c r="J175" s="2">
        <v>57</v>
      </c>
      <c r="K175" s="2">
        <v>122352</v>
      </c>
      <c r="L175" s="2">
        <v>189240</v>
      </c>
      <c r="M175" s="2">
        <v>-66888</v>
      </c>
    </row>
    <row r="176" spans="1:13">
      <c r="A176" s="2" t="s">
        <v>251</v>
      </c>
      <c r="B176" s="2" t="s">
        <v>49</v>
      </c>
      <c r="C176" s="2" t="s">
        <v>61</v>
      </c>
      <c r="D176" s="2" t="s">
        <v>64</v>
      </c>
      <c r="E176" s="3">
        <v>45466</v>
      </c>
      <c r="F176" s="2" t="str">
        <f t="shared" si="2"/>
        <v>Jun</v>
      </c>
      <c r="G176" s="2">
        <v>250</v>
      </c>
      <c r="H176" s="2" t="s">
        <v>28</v>
      </c>
      <c r="I176" s="2">
        <v>180</v>
      </c>
      <c r="J176" s="2">
        <v>138</v>
      </c>
      <c r="K176" s="2">
        <v>1833156</v>
      </c>
      <c r="L176" s="2">
        <v>759000</v>
      </c>
      <c r="M176" s="2">
        <v>1074156</v>
      </c>
    </row>
    <row r="177" spans="1:13">
      <c r="A177" s="2" t="s">
        <v>252</v>
      </c>
      <c r="B177" s="2" t="s">
        <v>52</v>
      </c>
      <c r="C177" s="2" t="s">
        <v>64</v>
      </c>
      <c r="D177" s="2" t="s">
        <v>61</v>
      </c>
      <c r="E177" s="3">
        <v>45467</v>
      </c>
      <c r="F177" s="2" t="str">
        <f t="shared" si="2"/>
        <v>Jun</v>
      </c>
      <c r="G177" s="2">
        <v>176</v>
      </c>
      <c r="H177" s="2" t="s">
        <v>32</v>
      </c>
      <c r="I177" s="2">
        <v>190</v>
      </c>
      <c r="J177" s="2">
        <v>178</v>
      </c>
      <c r="K177" s="2">
        <v>1429450</v>
      </c>
      <c r="L177" s="2">
        <v>847280</v>
      </c>
      <c r="M177" s="2">
        <v>582170</v>
      </c>
    </row>
    <row r="178" spans="1:13">
      <c r="A178" s="2" t="s">
        <v>253</v>
      </c>
      <c r="B178" s="2" t="s">
        <v>37</v>
      </c>
      <c r="C178" s="2" t="s">
        <v>58</v>
      </c>
      <c r="D178" s="2" t="s">
        <v>62</v>
      </c>
      <c r="E178" s="3">
        <v>45468</v>
      </c>
      <c r="F178" s="2" t="str">
        <f t="shared" si="2"/>
        <v>Jun</v>
      </c>
      <c r="G178" s="2">
        <v>239</v>
      </c>
      <c r="H178" s="2" t="s">
        <v>29</v>
      </c>
      <c r="I178" s="2">
        <v>200</v>
      </c>
      <c r="J178" s="2">
        <v>158</v>
      </c>
      <c r="K178" s="2">
        <v>2189981</v>
      </c>
      <c r="L178" s="2">
        <v>851620</v>
      </c>
      <c r="M178" s="2">
        <v>1338361</v>
      </c>
    </row>
    <row r="179" spans="1:13">
      <c r="A179" s="2" t="s">
        <v>254</v>
      </c>
      <c r="B179" s="2" t="s">
        <v>7</v>
      </c>
      <c r="C179" s="2" t="s">
        <v>62</v>
      </c>
      <c r="D179" s="2" t="s">
        <v>58</v>
      </c>
      <c r="E179" s="3">
        <v>45469</v>
      </c>
      <c r="F179" s="2" t="str">
        <f t="shared" si="2"/>
        <v>Jun</v>
      </c>
      <c r="G179" s="2">
        <v>259</v>
      </c>
      <c r="H179" s="2" t="s">
        <v>33</v>
      </c>
      <c r="I179" s="2">
        <v>260</v>
      </c>
      <c r="J179" s="2">
        <v>204</v>
      </c>
      <c r="K179" s="2">
        <v>4268033</v>
      </c>
      <c r="L179" s="2">
        <v>1140360</v>
      </c>
      <c r="M179" s="2">
        <v>3127673</v>
      </c>
    </row>
    <row r="180" spans="1:13">
      <c r="A180" s="2" t="s">
        <v>255</v>
      </c>
      <c r="B180" s="2" t="s">
        <v>9</v>
      </c>
      <c r="C180" s="2" t="s">
        <v>63</v>
      </c>
      <c r="D180" s="2" t="s">
        <v>59</v>
      </c>
      <c r="E180" s="3">
        <v>45470</v>
      </c>
      <c r="F180" s="2" t="str">
        <f t="shared" si="2"/>
        <v>Jun</v>
      </c>
      <c r="G180" s="2">
        <v>408</v>
      </c>
      <c r="H180" s="2" t="s">
        <v>30</v>
      </c>
      <c r="I180" s="2">
        <v>500</v>
      </c>
      <c r="J180" s="2">
        <v>344</v>
      </c>
      <c r="K180" s="2">
        <v>8478910</v>
      </c>
      <c r="L180" s="2">
        <v>1217760</v>
      </c>
      <c r="M180" s="2">
        <v>7261150</v>
      </c>
    </row>
    <row r="181" spans="1:13">
      <c r="A181" s="2" t="s">
        <v>256</v>
      </c>
      <c r="B181" s="2" t="s">
        <v>41</v>
      </c>
      <c r="C181" s="2" t="s">
        <v>59</v>
      </c>
      <c r="D181" s="2" t="s">
        <v>63</v>
      </c>
      <c r="E181" s="3">
        <v>45471</v>
      </c>
      <c r="F181" s="2" t="str">
        <f t="shared" si="2"/>
        <v>Jun</v>
      </c>
      <c r="G181" s="2">
        <v>86</v>
      </c>
      <c r="H181" s="2" t="s">
        <v>31</v>
      </c>
      <c r="I181" s="2">
        <v>72</v>
      </c>
      <c r="J181" s="2">
        <v>56</v>
      </c>
      <c r="K181" s="2">
        <v>308789</v>
      </c>
      <c r="L181" s="2">
        <v>108080</v>
      </c>
      <c r="M181" s="2">
        <v>200709</v>
      </c>
    </row>
    <row r="182" spans="1:13">
      <c r="A182" s="2" t="s">
        <v>257</v>
      </c>
      <c r="B182" s="2" t="s">
        <v>39</v>
      </c>
      <c r="C182" s="2" t="s">
        <v>59</v>
      </c>
      <c r="D182" s="2" t="s">
        <v>61</v>
      </c>
      <c r="E182" s="3">
        <v>45472</v>
      </c>
      <c r="F182" s="2" t="str">
        <f t="shared" si="2"/>
        <v>Jun</v>
      </c>
      <c r="G182" s="2">
        <v>73</v>
      </c>
      <c r="H182" s="2" t="s">
        <v>28</v>
      </c>
      <c r="I182" s="2">
        <v>180</v>
      </c>
      <c r="J182" s="2">
        <v>126</v>
      </c>
      <c r="K182" s="2">
        <v>641913</v>
      </c>
      <c r="L182" s="2">
        <v>234990</v>
      </c>
      <c r="M182" s="2">
        <v>406923</v>
      </c>
    </row>
    <row r="183" spans="1:13">
      <c r="A183" s="2" t="s">
        <v>258</v>
      </c>
      <c r="B183" s="2" t="s">
        <v>46</v>
      </c>
      <c r="C183" s="2" t="s">
        <v>61</v>
      </c>
      <c r="D183" s="2" t="s">
        <v>59</v>
      </c>
      <c r="E183" s="3">
        <v>45473</v>
      </c>
      <c r="F183" s="2" t="str">
        <f t="shared" si="2"/>
        <v>Jun</v>
      </c>
      <c r="G183" s="2">
        <v>113</v>
      </c>
      <c r="H183" s="2" t="s">
        <v>32</v>
      </c>
      <c r="I183" s="2">
        <v>190</v>
      </c>
      <c r="J183" s="2">
        <v>152</v>
      </c>
      <c r="K183" s="2">
        <v>1098595</v>
      </c>
      <c r="L183" s="2">
        <v>313880</v>
      </c>
      <c r="M183" s="2">
        <v>784715</v>
      </c>
    </row>
    <row r="184" spans="1:13">
      <c r="A184" s="2" t="s">
        <v>259</v>
      </c>
      <c r="B184" s="2" t="s">
        <v>45</v>
      </c>
      <c r="C184" s="2" t="s">
        <v>61</v>
      </c>
      <c r="D184" s="2" t="s">
        <v>58</v>
      </c>
      <c r="E184" s="3">
        <v>45474</v>
      </c>
      <c r="F184" s="2" t="str">
        <f t="shared" si="2"/>
        <v>Jul</v>
      </c>
      <c r="G184" s="2">
        <v>91</v>
      </c>
      <c r="H184" s="2" t="s">
        <v>29</v>
      </c>
      <c r="I184" s="2">
        <v>200</v>
      </c>
      <c r="J184" s="2">
        <v>187</v>
      </c>
      <c r="K184" s="2">
        <v>788054</v>
      </c>
      <c r="L184" s="2">
        <v>365585</v>
      </c>
      <c r="M184" s="2">
        <v>422469</v>
      </c>
    </row>
    <row r="185" spans="1:13">
      <c r="A185" s="2" t="s">
        <v>260</v>
      </c>
      <c r="B185" s="2" t="s">
        <v>3</v>
      </c>
      <c r="C185" s="2" t="s">
        <v>58</v>
      </c>
      <c r="D185" s="2" t="s">
        <v>61</v>
      </c>
      <c r="E185" s="3">
        <v>45475</v>
      </c>
      <c r="F185" s="2" t="str">
        <f t="shared" si="2"/>
        <v>Jul</v>
      </c>
      <c r="G185" s="2">
        <v>537</v>
      </c>
      <c r="H185" s="2" t="s">
        <v>33</v>
      </c>
      <c r="I185" s="2">
        <v>260</v>
      </c>
      <c r="J185" s="2">
        <v>197</v>
      </c>
      <c r="K185" s="2">
        <v>8248533</v>
      </c>
      <c r="L185" s="2">
        <v>824445</v>
      </c>
      <c r="M185" s="2">
        <v>7424088</v>
      </c>
    </row>
    <row r="186" spans="1:13">
      <c r="A186" s="2" t="s">
        <v>261</v>
      </c>
      <c r="B186" s="2" t="s">
        <v>5</v>
      </c>
      <c r="C186" s="2" t="s">
        <v>59</v>
      </c>
      <c r="D186" s="2" t="s">
        <v>58</v>
      </c>
      <c r="E186" s="3">
        <v>45476</v>
      </c>
      <c r="F186" s="2" t="str">
        <f t="shared" si="2"/>
        <v>Jul</v>
      </c>
      <c r="G186" s="2">
        <v>187</v>
      </c>
      <c r="H186" s="2" t="s">
        <v>30</v>
      </c>
      <c r="I186" s="2">
        <v>500</v>
      </c>
      <c r="J186" s="2">
        <v>329</v>
      </c>
      <c r="K186" s="2">
        <v>3849842</v>
      </c>
      <c r="L186" s="2">
        <v>801115</v>
      </c>
      <c r="M186" s="2">
        <v>3048727</v>
      </c>
    </row>
    <row r="187" spans="1:13">
      <c r="A187" s="2" t="s">
        <v>262</v>
      </c>
      <c r="B187" s="2" t="s">
        <v>36</v>
      </c>
      <c r="C187" s="2" t="s">
        <v>58</v>
      </c>
      <c r="D187" s="2" t="s">
        <v>59</v>
      </c>
      <c r="E187" s="3">
        <v>45477</v>
      </c>
      <c r="F187" s="2" t="str">
        <f t="shared" si="2"/>
        <v>Jul</v>
      </c>
      <c r="G187" s="2">
        <v>37</v>
      </c>
      <c r="H187" s="2" t="s">
        <v>31</v>
      </c>
      <c r="I187" s="2">
        <v>72</v>
      </c>
      <c r="J187" s="2">
        <v>52</v>
      </c>
      <c r="K187" s="2">
        <v>131666</v>
      </c>
      <c r="L187" s="2">
        <v>87620</v>
      </c>
      <c r="M187" s="2">
        <v>44046</v>
      </c>
    </row>
    <row r="188" spans="1:13">
      <c r="A188" s="2" t="s">
        <v>263</v>
      </c>
      <c r="B188" s="2" t="s">
        <v>38</v>
      </c>
      <c r="C188" s="2" t="s">
        <v>59</v>
      </c>
      <c r="D188" s="2" t="s">
        <v>60</v>
      </c>
      <c r="E188" s="3">
        <v>45478</v>
      </c>
      <c r="F188" s="2" t="str">
        <f t="shared" si="2"/>
        <v>Jul</v>
      </c>
      <c r="G188" s="2">
        <v>279</v>
      </c>
      <c r="H188" s="2" t="s">
        <v>28</v>
      </c>
      <c r="I188" s="2">
        <v>180</v>
      </c>
      <c r="J188" s="2">
        <v>130</v>
      </c>
      <c r="K188" s="2">
        <v>2124841</v>
      </c>
      <c r="L188" s="2">
        <v>376350</v>
      </c>
      <c r="M188" s="2">
        <v>1748491</v>
      </c>
    </row>
    <row r="189" spans="1:13">
      <c r="A189" s="2" t="s">
        <v>264</v>
      </c>
      <c r="B189" s="2" t="s">
        <v>44</v>
      </c>
      <c r="C189" s="2" t="s">
        <v>60</v>
      </c>
      <c r="D189" s="2" t="s">
        <v>59</v>
      </c>
      <c r="E189" s="3">
        <v>45479</v>
      </c>
      <c r="F189" s="2" t="str">
        <f t="shared" si="2"/>
        <v>Jul</v>
      </c>
      <c r="G189" s="2">
        <v>204</v>
      </c>
      <c r="H189" s="2" t="s">
        <v>32</v>
      </c>
      <c r="I189" s="2">
        <v>190</v>
      </c>
      <c r="J189" s="2">
        <v>132</v>
      </c>
      <c r="K189" s="2">
        <v>1803395</v>
      </c>
      <c r="L189" s="2">
        <v>332640</v>
      </c>
      <c r="M189" s="2">
        <v>1470755</v>
      </c>
    </row>
    <row r="190" spans="1:13">
      <c r="A190" s="2" t="s">
        <v>265</v>
      </c>
      <c r="B190" s="2" t="s">
        <v>48</v>
      </c>
      <c r="C190" s="2" t="s">
        <v>61</v>
      </c>
      <c r="D190" s="2" t="s">
        <v>63</v>
      </c>
      <c r="E190" s="3">
        <v>45480</v>
      </c>
      <c r="F190" s="2" t="str">
        <f t="shared" si="2"/>
        <v>Jul</v>
      </c>
      <c r="G190" s="2">
        <v>299</v>
      </c>
      <c r="H190" s="2" t="s">
        <v>29</v>
      </c>
      <c r="I190" s="2">
        <v>200</v>
      </c>
      <c r="J190" s="2">
        <v>138</v>
      </c>
      <c r="K190" s="2">
        <v>2632112</v>
      </c>
      <c r="L190" s="2">
        <v>413310</v>
      </c>
      <c r="M190" s="2">
        <v>2218802</v>
      </c>
    </row>
    <row r="191" spans="1:13">
      <c r="A191" s="2" t="s">
        <v>266</v>
      </c>
      <c r="B191" s="2" t="s">
        <v>10</v>
      </c>
      <c r="C191" s="2" t="s">
        <v>63</v>
      </c>
      <c r="D191" s="2" t="s">
        <v>61</v>
      </c>
      <c r="E191" s="3">
        <v>45481</v>
      </c>
      <c r="F191" s="2" t="str">
        <f t="shared" si="2"/>
        <v>Jul</v>
      </c>
      <c r="G191" s="2">
        <v>214</v>
      </c>
      <c r="H191" s="2" t="s">
        <v>33</v>
      </c>
      <c r="I191" s="2">
        <v>260</v>
      </c>
      <c r="J191" s="2">
        <v>230</v>
      </c>
      <c r="K191" s="2">
        <v>3498771</v>
      </c>
      <c r="L191" s="2">
        <v>591100</v>
      </c>
      <c r="M191" s="2">
        <v>2907671</v>
      </c>
    </row>
    <row r="192" spans="1:13">
      <c r="A192" s="2" t="s">
        <v>267</v>
      </c>
      <c r="B192" s="2" t="s">
        <v>2</v>
      </c>
      <c r="C192" s="2" t="s">
        <v>58</v>
      </c>
      <c r="D192" s="2" t="s">
        <v>60</v>
      </c>
      <c r="E192" s="3">
        <v>45482</v>
      </c>
      <c r="F192" s="2" t="str">
        <f t="shared" si="2"/>
        <v>Jul</v>
      </c>
      <c r="G192" s="2">
        <v>435</v>
      </c>
      <c r="H192" s="2" t="s">
        <v>30</v>
      </c>
      <c r="I192" s="2">
        <v>500</v>
      </c>
      <c r="J192" s="2">
        <v>401</v>
      </c>
      <c r="K192" s="2">
        <v>9429367</v>
      </c>
      <c r="L192" s="2">
        <v>1473675</v>
      </c>
      <c r="M192" s="2">
        <v>7955692</v>
      </c>
    </row>
    <row r="193" spans="1:13">
      <c r="A193" s="2" t="s">
        <v>268</v>
      </c>
      <c r="B193" s="2" t="s">
        <v>43</v>
      </c>
      <c r="C193" s="2" t="s">
        <v>60</v>
      </c>
      <c r="D193" s="2" t="s">
        <v>58</v>
      </c>
      <c r="E193" s="3">
        <v>45483</v>
      </c>
      <c r="F193" s="2" t="str">
        <f t="shared" si="2"/>
        <v>Jul</v>
      </c>
      <c r="G193" s="2">
        <v>39</v>
      </c>
      <c r="H193" s="2" t="s">
        <v>31</v>
      </c>
      <c r="I193" s="2">
        <v>72</v>
      </c>
      <c r="J193" s="2">
        <v>66</v>
      </c>
      <c r="K193" s="2">
        <v>146493</v>
      </c>
      <c r="L193" s="2">
        <v>111870</v>
      </c>
      <c r="M193" s="2">
        <v>34623</v>
      </c>
    </row>
    <row r="194" spans="1:13">
      <c r="A194" s="2" t="s">
        <v>269</v>
      </c>
      <c r="B194" s="2" t="s">
        <v>40</v>
      </c>
      <c r="C194" s="2" t="s">
        <v>59</v>
      </c>
      <c r="D194" s="2" t="s">
        <v>62</v>
      </c>
      <c r="E194" s="3">
        <v>45484</v>
      </c>
      <c r="F194" s="2" t="str">
        <f t="shared" si="2"/>
        <v>Jul</v>
      </c>
      <c r="G194" s="2">
        <v>168</v>
      </c>
      <c r="H194" s="2" t="s">
        <v>28</v>
      </c>
      <c r="I194" s="2">
        <v>180</v>
      </c>
      <c r="J194" s="2">
        <v>118</v>
      </c>
      <c r="K194" s="2">
        <v>1320145</v>
      </c>
      <c r="L194" s="2">
        <v>552240</v>
      </c>
      <c r="M194" s="2">
        <v>767905</v>
      </c>
    </row>
    <row r="195" spans="1:13">
      <c r="A195" s="2" t="s">
        <v>270</v>
      </c>
      <c r="B195" s="2" t="s">
        <v>51</v>
      </c>
      <c r="C195" s="2" t="s">
        <v>62</v>
      </c>
      <c r="D195" s="2" t="s">
        <v>59</v>
      </c>
      <c r="E195" s="3">
        <v>45485</v>
      </c>
      <c r="F195" s="2" t="str">
        <f t="shared" ref="F195:F258" si="3">TEXT(E195,"mmm")</f>
        <v>Jul</v>
      </c>
      <c r="G195" s="2">
        <v>124</v>
      </c>
      <c r="H195" s="2" t="s">
        <v>32</v>
      </c>
      <c r="I195" s="2">
        <v>190</v>
      </c>
      <c r="J195" s="2">
        <v>145</v>
      </c>
      <c r="K195" s="2">
        <v>1224315</v>
      </c>
      <c r="L195" s="2">
        <v>614800</v>
      </c>
      <c r="M195" s="2">
        <v>609515</v>
      </c>
    </row>
    <row r="196" spans="1:13">
      <c r="A196" s="2" t="s">
        <v>271</v>
      </c>
      <c r="B196" s="2" t="s">
        <v>47</v>
      </c>
      <c r="C196" s="2" t="s">
        <v>61</v>
      </c>
      <c r="D196" s="2" t="s">
        <v>62</v>
      </c>
      <c r="E196" s="3">
        <v>45486</v>
      </c>
      <c r="F196" s="2" t="str">
        <f t="shared" si="3"/>
        <v>Jul</v>
      </c>
      <c r="G196" s="2">
        <v>346</v>
      </c>
      <c r="H196" s="2" t="s">
        <v>29</v>
      </c>
      <c r="I196" s="2">
        <v>200</v>
      </c>
      <c r="J196" s="2">
        <v>161</v>
      </c>
      <c r="K196" s="2">
        <v>3208697</v>
      </c>
      <c r="L196" s="2">
        <v>520030</v>
      </c>
      <c r="M196" s="2">
        <v>2688667</v>
      </c>
    </row>
    <row r="197" spans="1:13">
      <c r="A197" s="2" t="s">
        <v>272</v>
      </c>
      <c r="B197" s="2" t="s">
        <v>8</v>
      </c>
      <c r="C197" s="2" t="s">
        <v>62</v>
      </c>
      <c r="D197" s="2" t="s">
        <v>61</v>
      </c>
      <c r="E197" s="3">
        <v>45487</v>
      </c>
      <c r="F197" s="2" t="str">
        <f t="shared" si="3"/>
        <v>Jul</v>
      </c>
      <c r="G197" s="2">
        <v>521</v>
      </c>
      <c r="H197" s="2" t="s">
        <v>33</v>
      </c>
      <c r="I197" s="2">
        <v>260</v>
      </c>
      <c r="J197" s="2">
        <v>231</v>
      </c>
      <c r="K197" s="2">
        <v>7922974</v>
      </c>
      <c r="L197" s="2">
        <v>948255</v>
      </c>
      <c r="M197" s="2">
        <v>6974719</v>
      </c>
    </row>
    <row r="198" spans="1:13">
      <c r="A198" s="2" t="s">
        <v>273</v>
      </c>
      <c r="B198" s="2" t="s">
        <v>4</v>
      </c>
      <c r="C198" s="2" t="s">
        <v>58</v>
      </c>
      <c r="D198" s="2" t="s">
        <v>66</v>
      </c>
      <c r="E198" s="3">
        <v>45488</v>
      </c>
      <c r="F198" s="2" t="str">
        <f t="shared" si="3"/>
        <v>Jul</v>
      </c>
      <c r="G198" s="2">
        <v>277</v>
      </c>
      <c r="H198" s="2" t="s">
        <v>30</v>
      </c>
      <c r="I198" s="2">
        <v>500</v>
      </c>
      <c r="J198" s="2">
        <v>306</v>
      </c>
      <c r="K198" s="2">
        <v>5134308</v>
      </c>
      <c r="L198" s="2">
        <v>1765620</v>
      </c>
      <c r="M198" s="2">
        <v>3368688</v>
      </c>
    </row>
    <row r="199" spans="1:13">
      <c r="A199" s="2" t="s">
        <v>274</v>
      </c>
      <c r="B199" s="2" t="s">
        <v>54</v>
      </c>
      <c r="C199" s="2" t="s">
        <v>66</v>
      </c>
      <c r="D199" s="2" t="s">
        <v>58</v>
      </c>
      <c r="E199" s="3">
        <v>45489</v>
      </c>
      <c r="F199" s="2" t="str">
        <f t="shared" si="3"/>
        <v>Jul</v>
      </c>
      <c r="G199" s="2">
        <v>50</v>
      </c>
      <c r="H199" s="2" t="s">
        <v>31</v>
      </c>
      <c r="I199" s="2">
        <v>72</v>
      </c>
      <c r="J199" s="2">
        <v>44</v>
      </c>
      <c r="K199" s="2">
        <v>187765</v>
      </c>
      <c r="L199" s="2">
        <v>154000</v>
      </c>
      <c r="M199" s="2">
        <v>33765</v>
      </c>
    </row>
    <row r="200" spans="1:13">
      <c r="A200" s="2" t="s">
        <v>275</v>
      </c>
      <c r="B200" s="2" t="s">
        <v>42</v>
      </c>
      <c r="C200" s="2" t="s">
        <v>59</v>
      </c>
      <c r="D200" s="2" t="s">
        <v>66</v>
      </c>
      <c r="E200" s="3">
        <v>45490</v>
      </c>
      <c r="F200" s="2" t="str">
        <f t="shared" si="3"/>
        <v>Jul</v>
      </c>
      <c r="G200" s="2">
        <v>268</v>
      </c>
      <c r="H200" s="2" t="s">
        <v>28</v>
      </c>
      <c r="I200" s="2">
        <v>180</v>
      </c>
      <c r="J200" s="2">
        <v>141</v>
      </c>
      <c r="K200" s="2">
        <v>2251161</v>
      </c>
      <c r="L200" s="2">
        <v>800880</v>
      </c>
      <c r="M200" s="2">
        <v>1450281</v>
      </c>
    </row>
    <row r="201" spans="1:13">
      <c r="A201" s="2" t="s">
        <v>276</v>
      </c>
      <c r="B201" s="2" t="s">
        <v>55</v>
      </c>
      <c r="C201" s="2" t="s">
        <v>66</v>
      </c>
      <c r="D201" s="2" t="s">
        <v>59</v>
      </c>
      <c r="E201" s="3">
        <v>45491</v>
      </c>
      <c r="F201" s="2" t="str">
        <f t="shared" si="3"/>
        <v>Jul</v>
      </c>
      <c r="G201" s="2">
        <v>318</v>
      </c>
      <c r="H201" s="2" t="s">
        <v>32</v>
      </c>
      <c r="I201" s="2">
        <v>190</v>
      </c>
      <c r="J201" s="2">
        <v>150</v>
      </c>
      <c r="K201" s="2">
        <v>3015968</v>
      </c>
      <c r="L201" s="2">
        <v>927000</v>
      </c>
      <c r="M201" s="2">
        <v>2088968</v>
      </c>
    </row>
    <row r="202" spans="1:13">
      <c r="A202" s="2" t="s">
        <v>277</v>
      </c>
      <c r="B202" s="2" t="s">
        <v>50</v>
      </c>
      <c r="C202" s="2" t="s">
        <v>61</v>
      </c>
      <c r="D202" s="2" t="s">
        <v>65</v>
      </c>
      <c r="E202" s="3">
        <v>45492</v>
      </c>
      <c r="F202" s="2" t="str">
        <f t="shared" si="3"/>
        <v>Jul</v>
      </c>
      <c r="G202" s="2">
        <v>244</v>
      </c>
      <c r="H202" s="2" t="s">
        <v>29</v>
      </c>
      <c r="I202" s="2">
        <v>200</v>
      </c>
      <c r="J202" s="2">
        <v>172</v>
      </c>
      <c r="K202" s="2">
        <v>2261371</v>
      </c>
      <c r="L202" s="2">
        <v>935680</v>
      </c>
      <c r="M202" s="2">
        <v>1325691</v>
      </c>
    </row>
    <row r="203" spans="1:13">
      <c r="A203" s="2" t="s">
        <v>278</v>
      </c>
      <c r="B203" s="2" t="s">
        <v>11</v>
      </c>
      <c r="C203" s="2" t="s">
        <v>65</v>
      </c>
      <c r="D203" s="2" t="s">
        <v>61</v>
      </c>
      <c r="E203" s="3">
        <v>45493</v>
      </c>
      <c r="F203" s="2" t="str">
        <f t="shared" si="3"/>
        <v>Jul</v>
      </c>
      <c r="G203" s="2">
        <v>264</v>
      </c>
      <c r="H203" s="2" t="s">
        <v>33</v>
      </c>
      <c r="I203" s="2">
        <v>260</v>
      </c>
      <c r="J203" s="2">
        <v>196</v>
      </c>
      <c r="K203" s="2">
        <v>3666294</v>
      </c>
      <c r="L203" s="2">
        <v>1105440</v>
      </c>
      <c r="M203" s="2">
        <v>2560854</v>
      </c>
    </row>
    <row r="204" spans="1:13">
      <c r="A204" s="2" t="s">
        <v>279</v>
      </c>
      <c r="B204" s="2" t="s">
        <v>6</v>
      </c>
      <c r="C204" s="2" t="s">
        <v>59</v>
      </c>
      <c r="D204" s="2" t="s">
        <v>65</v>
      </c>
      <c r="E204" s="3">
        <v>45494</v>
      </c>
      <c r="F204" s="2" t="str">
        <f t="shared" si="3"/>
        <v>Jul</v>
      </c>
      <c r="G204" s="2">
        <v>230</v>
      </c>
      <c r="H204" s="2" t="s">
        <v>30</v>
      </c>
      <c r="I204" s="2">
        <v>500</v>
      </c>
      <c r="J204" s="2">
        <v>348</v>
      </c>
      <c r="K204" s="2">
        <v>4330649</v>
      </c>
      <c r="L204" s="2">
        <v>1844400</v>
      </c>
      <c r="M204" s="2">
        <v>2486249</v>
      </c>
    </row>
    <row r="205" spans="1:13">
      <c r="A205" s="2" t="s">
        <v>280</v>
      </c>
      <c r="B205" s="2" t="s">
        <v>53</v>
      </c>
      <c r="C205" s="2" t="s">
        <v>65</v>
      </c>
      <c r="D205" s="2" t="s">
        <v>59</v>
      </c>
      <c r="E205" s="3">
        <v>45495</v>
      </c>
      <c r="F205" s="2" t="str">
        <f t="shared" si="3"/>
        <v>Jul</v>
      </c>
      <c r="G205" s="2">
        <v>94</v>
      </c>
      <c r="H205" s="2" t="s">
        <v>31</v>
      </c>
      <c r="I205" s="2">
        <v>72</v>
      </c>
      <c r="J205" s="2">
        <v>60</v>
      </c>
      <c r="K205" s="2">
        <v>336772</v>
      </c>
      <c r="L205" s="2">
        <v>236400</v>
      </c>
      <c r="M205" s="2">
        <v>100372</v>
      </c>
    </row>
    <row r="206" spans="1:13">
      <c r="A206" s="2" t="s">
        <v>281</v>
      </c>
      <c r="B206" s="2" t="s">
        <v>49</v>
      </c>
      <c r="C206" s="2" t="s">
        <v>61</v>
      </c>
      <c r="D206" s="2" t="s">
        <v>64</v>
      </c>
      <c r="E206" s="3">
        <v>45496</v>
      </c>
      <c r="F206" s="2" t="str">
        <f t="shared" si="3"/>
        <v>Jul</v>
      </c>
      <c r="G206" s="2">
        <v>151</v>
      </c>
      <c r="H206" s="2" t="s">
        <v>28</v>
      </c>
      <c r="I206" s="2">
        <v>180</v>
      </c>
      <c r="J206" s="2">
        <v>124</v>
      </c>
      <c r="K206" s="2">
        <v>1092559</v>
      </c>
      <c r="L206" s="2">
        <v>559240</v>
      </c>
      <c r="M206" s="2">
        <v>533319</v>
      </c>
    </row>
    <row r="207" spans="1:13">
      <c r="A207" s="2" t="s">
        <v>282</v>
      </c>
      <c r="B207" s="2" t="s">
        <v>52</v>
      </c>
      <c r="C207" s="2" t="s">
        <v>64</v>
      </c>
      <c r="D207" s="2" t="s">
        <v>61</v>
      </c>
      <c r="E207" s="3">
        <v>45497</v>
      </c>
      <c r="F207" s="2" t="str">
        <f t="shared" si="3"/>
        <v>Jul</v>
      </c>
      <c r="G207" s="2">
        <v>309</v>
      </c>
      <c r="H207" s="2" t="s">
        <v>32</v>
      </c>
      <c r="I207" s="2">
        <v>190</v>
      </c>
      <c r="J207" s="2">
        <v>148</v>
      </c>
      <c r="K207" s="2">
        <v>2932463</v>
      </c>
      <c r="L207" s="2">
        <v>901320</v>
      </c>
      <c r="M207" s="2">
        <v>2031143</v>
      </c>
    </row>
    <row r="208" spans="1:13">
      <c r="A208" s="2" t="s">
        <v>283</v>
      </c>
      <c r="B208" s="2" t="s">
        <v>37</v>
      </c>
      <c r="C208" s="2" t="s">
        <v>58</v>
      </c>
      <c r="D208" s="2" t="s">
        <v>62</v>
      </c>
      <c r="E208" s="3">
        <v>45498</v>
      </c>
      <c r="F208" s="2" t="str">
        <f t="shared" si="3"/>
        <v>Jul</v>
      </c>
      <c r="G208" s="2">
        <v>385</v>
      </c>
      <c r="H208" s="2" t="s">
        <v>29</v>
      </c>
      <c r="I208" s="2">
        <v>200</v>
      </c>
      <c r="J208" s="2">
        <v>179</v>
      </c>
      <c r="K208" s="2">
        <v>3695469</v>
      </c>
      <c r="L208" s="2">
        <v>1226150</v>
      </c>
      <c r="M208" s="2">
        <v>2469319</v>
      </c>
    </row>
    <row r="209" spans="1:13">
      <c r="A209" s="2" t="s">
        <v>284</v>
      </c>
      <c r="B209" s="2" t="s">
        <v>7</v>
      </c>
      <c r="C209" s="2" t="s">
        <v>62</v>
      </c>
      <c r="D209" s="2" t="s">
        <v>58</v>
      </c>
      <c r="E209" s="3">
        <v>45499</v>
      </c>
      <c r="F209" s="2" t="str">
        <f t="shared" si="3"/>
        <v>Jul</v>
      </c>
      <c r="G209" s="2">
        <v>401</v>
      </c>
      <c r="H209" s="2" t="s">
        <v>33</v>
      </c>
      <c r="I209" s="2">
        <v>260</v>
      </c>
      <c r="J209" s="2">
        <v>228</v>
      </c>
      <c r="K209" s="2">
        <v>6123216</v>
      </c>
      <c r="L209" s="2">
        <v>1598280</v>
      </c>
      <c r="M209" s="2">
        <v>4524936</v>
      </c>
    </row>
    <row r="210" spans="1:13">
      <c r="A210" s="2" t="s">
        <v>285</v>
      </c>
      <c r="B210" s="2" t="s">
        <v>9</v>
      </c>
      <c r="C210" s="2" t="s">
        <v>63</v>
      </c>
      <c r="D210" s="2" t="s">
        <v>59</v>
      </c>
      <c r="E210" s="3">
        <v>45500</v>
      </c>
      <c r="F210" s="2" t="str">
        <f t="shared" si="3"/>
        <v>Jul</v>
      </c>
      <c r="G210" s="2">
        <v>434</v>
      </c>
      <c r="H210" s="2" t="s">
        <v>30</v>
      </c>
      <c r="I210" s="2">
        <v>500</v>
      </c>
      <c r="J210" s="2">
        <v>305</v>
      </c>
      <c r="K210" s="2">
        <v>9122918</v>
      </c>
      <c r="L210" s="2">
        <v>1119350</v>
      </c>
      <c r="M210" s="2">
        <v>8003568</v>
      </c>
    </row>
    <row r="211" spans="1:13">
      <c r="A211" s="2" t="s">
        <v>286</v>
      </c>
      <c r="B211" s="2" t="s">
        <v>41</v>
      </c>
      <c r="C211" s="2" t="s">
        <v>59</v>
      </c>
      <c r="D211" s="2" t="s">
        <v>63</v>
      </c>
      <c r="E211" s="3">
        <v>45501</v>
      </c>
      <c r="F211" s="2" t="str">
        <f t="shared" si="3"/>
        <v>Jul</v>
      </c>
      <c r="G211" s="2">
        <v>114</v>
      </c>
      <c r="H211" s="2" t="s">
        <v>31</v>
      </c>
      <c r="I211" s="2">
        <v>72</v>
      </c>
      <c r="J211" s="2">
        <v>59</v>
      </c>
      <c r="K211" s="2">
        <v>423342</v>
      </c>
      <c r="L211" s="2">
        <v>122130</v>
      </c>
      <c r="M211" s="2">
        <v>301212</v>
      </c>
    </row>
    <row r="212" spans="1:13">
      <c r="A212" s="2" t="s">
        <v>287</v>
      </c>
      <c r="B212" s="2" t="s">
        <v>39</v>
      </c>
      <c r="C212" s="2" t="s">
        <v>59</v>
      </c>
      <c r="D212" s="2" t="s">
        <v>61</v>
      </c>
      <c r="E212" s="3">
        <v>45502</v>
      </c>
      <c r="F212" s="2" t="str">
        <f t="shared" si="3"/>
        <v>Jul</v>
      </c>
      <c r="G212" s="2">
        <v>162</v>
      </c>
      <c r="H212" s="2" t="s">
        <v>28</v>
      </c>
      <c r="I212" s="2">
        <v>180</v>
      </c>
      <c r="J212" s="2">
        <v>116</v>
      </c>
      <c r="K212" s="2">
        <v>1170169</v>
      </c>
      <c r="L212" s="2">
        <v>267960</v>
      </c>
      <c r="M212" s="2">
        <v>902209</v>
      </c>
    </row>
    <row r="213" spans="1:13">
      <c r="A213" s="2" t="s">
        <v>288</v>
      </c>
      <c r="B213" s="2" t="s">
        <v>46</v>
      </c>
      <c r="C213" s="2" t="s">
        <v>61</v>
      </c>
      <c r="D213" s="2" t="s">
        <v>59</v>
      </c>
      <c r="E213" s="3">
        <v>45503</v>
      </c>
      <c r="F213" s="2" t="str">
        <f t="shared" si="3"/>
        <v>Jul</v>
      </c>
      <c r="G213" s="2">
        <v>157</v>
      </c>
      <c r="H213" s="2" t="s">
        <v>32</v>
      </c>
      <c r="I213" s="2">
        <v>190</v>
      </c>
      <c r="J213" s="2">
        <v>156</v>
      </c>
      <c r="K213" s="2">
        <v>1428490</v>
      </c>
      <c r="L213" s="2">
        <v>356460</v>
      </c>
      <c r="M213" s="2">
        <v>1072030</v>
      </c>
    </row>
    <row r="214" spans="1:13">
      <c r="A214" s="2" t="s">
        <v>289</v>
      </c>
      <c r="B214" s="2" t="s">
        <v>45</v>
      </c>
      <c r="C214" s="2" t="s">
        <v>61</v>
      </c>
      <c r="D214" s="2" t="s">
        <v>58</v>
      </c>
      <c r="E214" s="3">
        <v>45504</v>
      </c>
      <c r="F214" s="2" t="str">
        <f t="shared" si="3"/>
        <v>Jul</v>
      </c>
      <c r="G214" s="2">
        <v>387</v>
      </c>
      <c r="H214" s="2" t="s">
        <v>29</v>
      </c>
      <c r="I214" s="2">
        <v>200</v>
      </c>
      <c r="J214" s="2">
        <v>158</v>
      </c>
      <c r="K214" s="2">
        <v>3640404</v>
      </c>
      <c r="L214" s="2">
        <v>542730</v>
      </c>
      <c r="M214" s="2">
        <v>3097674</v>
      </c>
    </row>
    <row r="215" spans="1:13">
      <c r="A215" s="2" t="s">
        <v>290</v>
      </c>
      <c r="B215" s="2" t="s">
        <v>3</v>
      </c>
      <c r="C215" s="2" t="s">
        <v>58</v>
      </c>
      <c r="D215" s="2" t="s">
        <v>61</v>
      </c>
      <c r="E215" s="3">
        <v>45505</v>
      </c>
      <c r="F215" s="2" t="str">
        <f t="shared" si="3"/>
        <v>Aug</v>
      </c>
      <c r="G215" s="2">
        <v>514</v>
      </c>
      <c r="H215" s="2" t="s">
        <v>33</v>
      </c>
      <c r="I215" s="2">
        <v>260</v>
      </c>
      <c r="J215" s="2">
        <v>192</v>
      </c>
      <c r="K215" s="2">
        <v>7898257</v>
      </c>
      <c r="L215" s="2">
        <v>781440</v>
      </c>
      <c r="M215" s="2">
        <v>7116817</v>
      </c>
    </row>
    <row r="216" spans="1:13">
      <c r="A216" s="2" t="s">
        <v>291</v>
      </c>
      <c r="B216" s="2" t="s">
        <v>5</v>
      </c>
      <c r="C216" s="2" t="s">
        <v>59</v>
      </c>
      <c r="D216" s="2" t="s">
        <v>58</v>
      </c>
      <c r="E216" s="3">
        <v>45506</v>
      </c>
      <c r="F216" s="2" t="str">
        <f t="shared" si="3"/>
        <v>Aug</v>
      </c>
      <c r="G216" s="2">
        <v>230</v>
      </c>
      <c r="H216" s="2" t="s">
        <v>30</v>
      </c>
      <c r="I216" s="2">
        <v>500</v>
      </c>
      <c r="J216" s="2">
        <v>422</v>
      </c>
      <c r="K216" s="2">
        <v>4872754</v>
      </c>
      <c r="L216" s="2">
        <v>1118300</v>
      </c>
      <c r="M216" s="2">
        <v>3754454</v>
      </c>
    </row>
    <row r="217" spans="1:13">
      <c r="A217" s="2" t="s">
        <v>292</v>
      </c>
      <c r="B217" s="2" t="s">
        <v>36</v>
      </c>
      <c r="C217" s="2" t="s">
        <v>58</v>
      </c>
      <c r="D217" s="2" t="s">
        <v>59</v>
      </c>
      <c r="E217" s="3">
        <v>45507</v>
      </c>
      <c r="F217" s="2" t="str">
        <f t="shared" si="3"/>
        <v>Aug</v>
      </c>
      <c r="G217" s="2">
        <v>39</v>
      </c>
      <c r="H217" s="2" t="s">
        <v>31</v>
      </c>
      <c r="I217" s="2">
        <v>72</v>
      </c>
      <c r="J217" s="2">
        <v>66</v>
      </c>
      <c r="K217" s="2">
        <v>136284</v>
      </c>
      <c r="L217" s="2">
        <v>111870</v>
      </c>
      <c r="M217" s="2">
        <v>24414</v>
      </c>
    </row>
    <row r="218" spans="1:13">
      <c r="A218" s="2" t="s">
        <v>293</v>
      </c>
      <c r="B218" s="2" t="s">
        <v>38</v>
      </c>
      <c r="C218" s="2" t="s">
        <v>59</v>
      </c>
      <c r="D218" s="2" t="s">
        <v>60</v>
      </c>
      <c r="E218" s="3">
        <v>45508</v>
      </c>
      <c r="F218" s="2" t="str">
        <f t="shared" si="3"/>
        <v>Aug</v>
      </c>
      <c r="G218" s="2">
        <v>143</v>
      </c>
      <c r="H218" s="2" t="s">
        <v>28</v>
      </c>
      <c r="I218" s="2">
        <v>180</v>
      </c>
      <c r="J218" s="2">
        <v>136</v>
      </c>
      <c r="K218" s="2">
        <v>1253831</v>
      </c>
      <c r="L218" s="2">
        <v>301240</v>
      </c>
      <c r="M218" s="2">
        <v>952591</v>
      </c>
    </row>
    <row r="219" spans="1:13">
      <c r="A219" s="2" t="s">
        <v>294</v>
      </c>
      <c r="B219" s="2" t="s">
        <v>44</v>
      </c>
      <c r="C219" s="2" t="s">
        <v>60</v>
      </c>
      <c r="D219" s="2" t="s">
        <v>59</v>
      </c>
      <c r="E219" s="3">
        <v>45509</v>
      </c>
      <c r="F219" s="2" t="str">
        <f t="shared" si="3"/>
        <v>Aug</v>
      </c>
      <c r="G219" s="2">
        <v>112</v>
      </c>
      <c r="H219" s="2" t="s">
        <v>32</v>
      </c>
      <c r="I219" s="2">
        <v>190</v>
      </c>
      <c r="J219" s="2">
        <v>137</v>
      </c>
      <c r="K219" s="2">
        <v>949360</v>
      </c>
      <c r="L219" s="2">
        <v>282220</v>
      </c>
      <c r="M219" s="2">
        <v>667140</v>
      </c>
    </row>
    <row r="220" spans="1:13">
      <c r="A220" s="2" t="s">
        <v>295</v>
      </c>
      <c r="B220" s="2" t="s">
        <v>48</v>
      </c>
      <c r="C220" s="2" t="s">
        <v>61</v>
      </c>
      <c r="D220" s="2" t="s">
        <v>63</v>
      </c>
      <c r="E220" s="3">
        <v>45510</v>
      </c>
      <c r="F220" s="2" t="str">
        <f t="shared" si="3"/>
        <v>Aug</v>
      </c>
      <c r="G220" s="2">
        <v>122</v>
      </c>
      <c r="H220" s="2" t="s">
        <v>29</v>
      </c>
      <c r="I220" s="2">
        <v>200</v>
      </c>
      <c r="J220" s="2">
        <v>136</v>
      </c>
      <c r="K220" s="2">
        <v>1060685</v>
      </c>
      <c r="L220" s="2">
        <v>286960</v>
      </c>
      <c r="M220" s="2">
        <v>773725</v>
      </c>
    </row>
    <row r="221" spans="1:13">
      <c r="A221" s="2" t="s">
        <v>296</v>
      </c>
      <c r="B221" s="2" t="s">
        <v>10</v>
      </c>
      <c r="C221" s="2" t="s">
        <v>63</v>
      </c>
      <c r="D221" s="2" t="s">
        <v>61</v>
      </c>
      <c r="E221" s="3">
        <v>45511</v>
      </c>
      <c r="F221" s="2" t="str">
        <f t="shared" si="3"/>
        <v>Aug</v>
      </c>
      <c r="G221" s="2">
        <v>428</v>
      </c>
      <c r="H221" s="2" t="s">
        <v>33</v>
      </c>
      <c r="I221" s="2">
        <v>260</v>
      </c>
      <c r="J221" s="2">
        <v>197</v>
      </c>
      <c r="K221" s="2">
        <v>6528839</v>
      </c>
      <c r="L221" s="2">
        <v>717080</v>
      </c>
      <c r="M221" s="2">
        <v>5811759</v>
      </c>
    </row>
    <row r="222" spans="1:13">
      <c r="A222" s="2" t="s">
        <v>297</v>
      </c>
      <c r="B222" s="2" t="s">
        <v>2</v>
      </c>
      <c r="C222" s="2" t="s">
        <v>58</v>
      </c>
      <c r="D222" s="2" t="s">
        <v>60</v>
      </c>
      <c r="E222" s="3">
        <v>45512</v>
      </c>
      <c r="F222" s="2" t="str">
        <f t="shared" si="3"/>
        <v>Aug</v>
      </c>
      <c r="G222" s="2">
        <v>187</v>
      </c>
      <c r="H222" s="2" t="s">
        <v>30</v>
      </c>
      <c r="I222" s="2">
        <v>500</v>
      </c>
      <c r="J222" s="2">
        <v>331</v>
      </c>
      <c r="K222" s="2">
        <v>3886983</v>
      </c>
      <c r="L222" s="2">
        <v>805985</v>
      </c>
      <c r="M222" s="2">
        <v>3080998</v>
      </c>
    </row>
    <row r="223" spans="1:13">
      <c r="A223" s="2" t="s">
        <v>298</v>
      </c>
      <c r="B223" s="2" t="s">
        <v>43</v>
      </c>
      <c r="C223" s="2" t="s">
        <v>60</v>
      </c>
      <c r="D223" s="2" t="s">
        <v>58</v>
      </c>
      <c r="E223" s="3">
        <v>45513</v>
      </c>
      <c r="F223" s="2" t="str">
        <f t="shared" si="3"/>
        <v>Aug</v>
      </c>
      <c r="G223" s="2">
        <v>54</v>
      </c>
      <c r="H223" s="2" t="s">
        <v>31</v>
      </c>
      <c r="I223" s="2">
        <v>72</v>
      </c>
      <c r="J223" s="2">
        <v>65</v>
      </c>
      <c r="K223" s="2">
        <v>188015</v>
      </c>
      <c r="L223" s="2">
        <v>115050</v>
      </c>
      <c r="M223" s="2">
        <v>72965</v>
      </c>
    </row>
    <row r="224" spans="1:13">
      <c r="A224" s="2" t="s">
        <v>299</v>
      </c>
      <c r="B224" s="2" t="s">
        <v>40</v>
      </c>
      <c r="C224" s="2" t="s">
        <v>59</v>
      </c>
      <c r="D224" s="2" t="s">
        <v>62</v>
      </c>
      <c r="E224" s="3">
        <v>45514</v>
      </c>
      <c r="F224" s="2" t="str">
        <f t="shared" si="3"/>
        <v>Aug</v>
      </c>
      <c r="G224" s="2">
        <v>152</v>
      </c>
      <c r="H224" s="2" t="s">
        <v>28</v>
      </c>
      <c r="I224" s="2">
        <v>180</v>
      </c>
      <c r="J224" s="2">
        <v>169</v>
      </c>
      <c r="K224" s="2">
        <v>1240790</v>
      </c>
      <c r="L224" s="2">
        <v>763880</v>
      </c>
      <c r="M224" s="2">
        <v>476910</v>
      </c>
    </row>
    <row r="225" spans="1:13">
      <c r="A225" s="2" t="s">
        <v>300</v>
      </c>
      <c r="B225" s="2" t="s">
        <v>51</v>
      </c>
      <c r="C225" s="2" t="s">
        <v>62</v>
      </c>
      <c r="D225" s="2" t="s">
        <v>59</v>
      </c>
      <c r="E225" s="3">
        <v>45515</v>
      </c>
      <c r="F225" s="2" t="str">
        <f t="shared" si="3"/>
        <v>Aug</v>
      </c>
      <c r="G225" s="2">
        <v>110</v>
      </c>
      <c r="H225" s="2" t="s">
        <v>32</v>
      </c>
      <c r="I225" s="2">
        <v>190</v>
      </c>
      <c r="J225" s="2">
        <v>116</v>
      </c>
      <c r="K225" s="2">
        <v>924449</v>
      </c>
      <c r="L225" s="2">
        <v>475600</v>
      </c>
      <c r="M225" s="2">
        <v>448849</v>
      </c>
    </row>
    <row r="226" spans="1:13">
      <c r="A226" s="2" t="s">
        <v>301</v>
      </c>
      <c r="B226" s="2" t="s">
        <v>47</v>
      </c>
      <c r="C226" s="2" t="s">
        <v>61</v>
      </c>
      <c r="D226" s="2" t="s">
        <v>62</v>
      </c>
      <c r="E226" s="3">
        <v>45516</v>
      </c>
      <c r="F226" s="2" t="str">
        <f t="shared" si="3"/>
        <v>Aug</v>
      </c>
      <c r="G226" s="2">
        <v>171</v>
      </c>
      <c r="H226" s="2" t="s">
        <v>29</v>
      </c>
      <c r="I226" s="2">
        <v>200</v>
      </c>
      <c r="J226" s="2">
        <v>144</v>
      </c>
      <c r="K226" s="2">
        <v>1472383</v>
      </c>
      <c r="L226" s="2">
        <v>339120</v>
      </c>
      <c r="M226" s="2">
        <v>1133263</v>
      </c>
    </row>
    <row r="227" spans="1:13">
      <c r="A227" s="2" t="s">
        <v>302</v>
      </c>
      <c r="B227" s="2" t="s">
        <v>8</v>
      </c>
      <c r="C227" s="2" t="s">
        <v>62</v>
      </c>
      <c r="D227" s="2" t="s">
        <v>61</v>
      </c>
      <c r="E227" s="3">
        <v>45517</v>
      </c>
      <c r="F227" s="2" t="str">
        <f t="shared" si="3"/>
        <v>Aug</v>
      </c>
      <c r="G227" s="2">
        <v>505</v>
      </c>
      <c r="H227" s="2" t="s">
        <v>33</v>
      </c>
      <c r="I227" s="2">
        <v>260</v>
      </c>
      <c r="J227" s="2">
        <v>166</v>
      </c>
      <c r="K227" s="2">
        <v>7515579</v>
      </c>
      <c r="L227" s="2">
        <v>668150</v>
      </c>
      <c r="M227" s="2">
        <v>6847429</v>
      </c>
    </row>
    <row r="228" spans="1:13">
      <c r="A228" s="2" t="s">
        <v>303</v>
      </c>
      <c r="B228" s="2" t="s">
        <v>4</v>
      </c>
      <c r="C228" s="2" t="s">
        <v>58</v>
      </c>
      <c r="D228" s="2" t="s">
        <v>66</v>
      </c>
      <c r="E228" s="3">
        <v>45518</v>
      </c>
      <c r="F228" s="2" t="str">
        <f t="shared" si="3"/>
        <v>Aug</v>
      </c>
      <c r="G228" s="2">
        <v>525</v>
      </c>
      <c r="H228" s="2" t="s">
        <v>30</v>
      </c>
      <c r="I228" s="2">
        <v>500</v>
      </c>
      <c r="J228" s="2">
        <v>456</v>
      </c>
      <c r="K228" s="2">
        <v>9720371</v>
      </c>
      <c r="L228" s="2">
        <v>3762000</v>
      </c>
      <c r="M228" s="2">
        <v>5958371</v>
      </c>
    </row>
    <row r="229" spans="1:13">
      <c r="A229" s="2" t="s">
        <v>304</v>
      </c>
      <c r="B229" s="2" t="s">
        <v>54</v>
      </c>
      <c r="C229" s="2" t="s">
        <v>66</v>
      </c>
      <c r="D229" s="2" t="s">
        <v>58</v>
      </c>
      <c r="E229" s="3">
        <v>45519</v>
      </c>
      <c r="F229" s="2" t="str">
        <f t="shared" si="3"/>
        <v>Aug</v>
      </c>
      <c r="G229" s="2">
        <v>119</v>
      </c>
      <c r="H229" s="2" t="s">
        <v>31</v>
      </c>
      <c r="I229" s="2">
        <v>72</v>
      </c>
      <c r="J229" s="2">
        <v>60</v>
      </c>
      <c r="K229" s="2">
        <v>378124</v>
      </c>
      <c r="L229" s="2">
        <v>251400</v>
      </c>
      <c r="M229" s="2">
        <v>126724</v>
      </c>
    </row>
    <row r="230" spans="1:13">
      <c r="A230" s="2" t="s">
        <v>305</v>
      </c>
      <c r="B230" s="2" t="s">
        <v>42</v>
      </c>
      <c r="C230" s="2" t="s">
        <v>59</v>
      </c>
      <c r="D230" s="2" t="s">
        <v>66</v>
      </c>
      <c r="E230" s="3">
        <v>45520</v>
      </c>
      <c r="F230" s="2" t="str">
        <f t="shared" si="3"/>
        <v>Aug</v>
      </c>
      <c r="G230" s="2">
        <v>106</v>
      </c>
      <c r="H230" s="2" t="s">
        <v>28</v>
      </c>
      <c r="I230" s="2">
        <v>180</v>
      </c>
      <c r="J230" s="2">
        <v>147</v>
      </c>
      <c r="K230" s="2">
        <v>777066</v>
      </c>
      <c r="L230" s="2">
        <v>596820</v>
      </c>
      <c r="M230" s="2">
        <v>180246</v>
      </c>
    </row>
    <row r="231" spans="1:13">
      <c r="A231" s="2" t="s">
        <v>306</v>
      </c>
      <c r="B231" s="2" t="s">
        <v>55</v>
      </c>
      <c r="C231" s="2" t="s">
        <v>66</v>
      </c>
      <c r="D231" s="2" t="s">
        <v>59</v>
      </c>
      <c r="E231" s="3">
        <v>45521</v>
      </c>
      <c r="F231" s="2" t="str">
        <f t="shared" si="3"/>
        <v>Aug</v>
      </c>
      <c r="G231" s="2">
        <v>166</v>
      </c>
      <c r="H231" s="2" t="s">
        <v>32</v>
      </c>
      <c r="I231" s="2">
        <v>190</v>
      </c>
      <c r="J231" s="2">
        <v>175</v>
      </c>
      <c r="K231" s="2">
        <v>1362850</v>
      </c>
      <c r="L231" s="2">
        <v>815500</v>
      </c>
      <c r="M231" s="2">
        <v>547350</v>
      </c>
    </row>
    <row r="232" spans="1:13">
      <c r="A232" s="2" t="s">
        <v>307</v>
      </c>
      <c r="B232" s="2" t="s">
        <v>50</v>
      </c>
      <c r="C232" s="2" t="s">
        <v>61</v>
      </c>
      <c r="D232" s="2" t="s">
        <v>65</v>
      </c>
      <c r="E232" s="3">
        <v>45522</v>
      </c>
      <c r="F232" s="2" t="str">
        <f t="shared" si="3"/>
        <v>Aug</v>
      </c>
      <c r="G232" s="2">
        <v>105</v>
      </c>
      <c r="H232" s="2" t="s">
        <v>29</v>
      </c>
      <c r="I232" s="2">
        <v>200</v>
      </c>
      <c r="J232" s="2">
        <v>180</v>
      </c>
      <c r="K232" s="2">
        <v>914611</v>
      </c>
      <c r="L232" s="2">
        <v>729000</v>
      </c>
      <c r="M232" s="2">
        <v>185611</v>
      </c>
    </row>
    <row r="233" spans="1:13">
      <c r="A233" s="2" t="s">
        <v>308</v>
      </c>
      <c r="B233" s="2" t="s">
        <v>11</v>
      </c>
      <c r="C233" s="2" t="s">
        <v>65</v>
      </c>
      <c r="D233" s="2" t="s">
        <v>61</v>
      </c>
      <c r="E233" s="3">
        <v>45523</v>
      </c>
      <c r="F233" s="2" t="str">
        <f t="shared" si="3"/>
        <v>Aug</v>
      </c>
      <c r="G233" s="2">
        <v>534</v>
      </c>
      <c r="H233" s="2" t="s">
        <v>33</v>
      </c>
      <c r="I233" s="2">
        <v>260</v>
      </c>
      <c r="J233" s="2">
        <v>172</v>
      </c>
      <c r="K233" s="2">
        <v>7544377</v>
      </c>
      <c r="L233" s="2">
        <v>1434480</v>
      </c>
      <c r="M233" s="2">
        <v>6109897</v>
      </c>
    </row>
    <row r="234" spans="1:13">
      <c r="A234" s="2" t="s">
        <v>309</v>
      </c>
      <c r="B234" s="2" t="s">
        <v>6</v>
      </c>
      <c r="C234" s="2" t="s">
        <v>59</v>
      </c>
      <c r="D234" s="2" t="s">
        <v>65</v>
      </c>
      <c r="E234" s="3">
        <v>45524</v>
      </c>
      <c r="F234" s="2" t="str">
        <f t="shared" si="3"/>
        <v>Aug</v>
      </c>
      <c r="G234" s="2">
        <v>306</v>
      </c>
      <c r="H234" s="2" t="s">
        <v>30</v>
      </c>
      <c r="I234" s="2">
        <v>500</v>
      </c>
      <c r="J234" s="2">
        <v>461</v>
      </c>
      <c r="K234" s="2">
        <v>5797006</v>
      </c>
      <c r="L234" s="2">
        <v>2793660</v>
      </c>
      <c r="M234" s="2">
        <v>3003346</v>
      </c>
    </row>
    <row r="235" spans="1:13">
      <c r="A235" s="2" t="s">
        <v>310</v>
      </c>
      <c r="B235" s="2" t="s">
        <v>53</v>
      </c>
      <c r="C235" s="2" t="s">
        <v>65</v>
      </c>
      <c r="D235" s="2" t="s">
        <v>59</v>
      </c>
      <c r="E235" s="3">
        <v>45525</v>
      </c>
      <c r="F235" s="2" t="str">
        <f t="shared" si="3"/>
        <v>Aug</v>
      </c>
      <c r="G235" s="2">
        <v>57</v>
      </c>
      <c r="H235" s="2" t="s">
        <v>31</v>
      </c>
      <c r="I235" s="2">
        <v>72</v>
      </c>
      <c r="J235" s="2">
        <v>52</v>
      </c>
      <c r="K235" s="2">
        <v>198005</v>
      </c>
      <c r="L235" s="2">
        <v>185640</v>
      </c>
      <c r="M235" s="2">
        <v>12365</v>
      </c>
    </row>
    <row r="236" spans="1:13">
      <c r="A236" s="2" t="s">
        <v>311</v>
      </c>
      <c r="B236" s="2" t="s">
        <v>49</v>
      </c>
      <c r="C236" s="2" t="s">
        <v>61</v>
      </c>
      <c r="D236" s="2" t="s">
        <v>64</v>
      </c>
      <c r="E236" s="3">
        <v>45526</v>
      </c>
      <c r="F236" s="2" t="str">
        <f t="shared" si="3"/>
        <v>Aug</v>
      </c>
      <c r="G236" s="2">
        <v>168</v>
      </c>
      <c r="H236" s="2" t="s">
        <v>28</v>
      </c>
      <c r="I236" s="2">
        <v>180</v>
      </c>
      <c r="J236" s="2">
        <v>111</v>
      </c>
      <c r="K236" s="2">
        <v>1249312</v>
      </c>
      <c r="L236" s="2">
        <v>519480</v>
      </c>
      <c r="M236" s="2">
        <v>729832</v>
      </c>
    </row>
    <row r="237" spans="1:13">
      <c r="A237" s="2" t="s">
        <v>312</v>
      </c>
      <c r="B237" s="2" t="s">
        <v>52</v>
      </c>
      <c r="C237" s="2" t="s">
        <v>64</v>
      </c>
      <c r="D237" s="2" t="s">
        <v>61</v>
      </c>
      <c r="E237" s="3">
        <v>45527</v>
      </c>
      <c r="F237" s="2" t="str">
        <f t="shared" si="3"/>
        <v>Aug</v>
      </c>
      <c r="G237" s="2">
        <v>66</v>
      </c>
      <c r="H237" s="2" t="s">
        <v>32</v>
      </c>
      <c r="I237" s="2">
        <v>190</v>
      </c>
      <c r="J237" s="2">
        <v>159</v>
      </c>
      <c r="K237" s="2">
        <v>634919</v>
      </c>
      <c r="L237" s="2">
        <v>581940</v>
      </c>
      <c r="M237" s="2">
        <v>52979</v>
      </c>
    </row>
    <row r="238" spans="1:13">
      <c r="A238" s="2" t="s">
        <v>313</v>
      </c>
      <c r="B238" s="2" t="s">
        <v>37</v>
      </c>
      <c r="C238" s="2" t="s">
        <v>58</v>
      </c>
      <c r="D238" s="2" t="s">
        <v>62</v>
      </c>
      <c r="E238" s="3">
        <v>45528</v>
      </c>
      <c r="F238" s="2" t="str">
        <f t="shared" si="3"/>
        <v>Aug</v>
      </c>
      <c r="G238" s="2">
        <v>318</v>
      </c>
      <c r="H238" s="2" t="s">
        <v>29</v>
      </c>
      <c r="I238" s="2">
        <v>200</v>
      </c>
      <c r="J238" s="2">
        <v>122</v>
      </c>
      <c r="K238" s="2">
        <v>3242871</v>
      </c>
      <c r="L238" s="2">
        <v>753960</v>
      </c>
      <c r="M238" s="2">
        <v>2488911</v>
      </c>
    </row>
    <row r="239" spans="1:13">
      <c r="A239" s="2" t="s">
        <v>314</v>
      </c>
      <c r="B239" s="2" t="s">
        <v>7</v>
      </c>
      <c r="C239" s="2" t="s">
        <v>62</v>
      </c>
      <c r="D239" s="2" t="s">
        <v>58</v>
      </c>
      <c r="E239" s="3">
        <v>45529</v>
      </c>
      <c r="F239" s="2" t="str">
        <f t="shared" si="3"/>
        <v>Aug</v>
      </c>
      <c r="G239" s="2">
        <v>473</v>
      </c>
      <c r="H239" s="2" t="s">
        <v>33</v>
      </c>
      <c r="I239" s="2">
        <v>260</v>
      </c>
      <c r="J239" s="2">
        <v>204</v>
      </c>
      <c r="K239" s="2">
        <v>6729565</v>
      </c>
      <c r="L239" s="2">
        <v>1576920</v>
      </c>
      <c r="M239" s="2">
        <v>5152645</v>
      </c>
    </row>
    <row r="240" spans="1:13">
      <c r="A240" s="2" t="s">
        <v>315</v>
      </c>
      <c r="B240" s="2" t="s">
        <v>9</v>
      </c>
      <c r="C240" s="2" t="s">
        <v>63</v>
      </c>
      <c r="D240" s="2" t="s">
        <v>59</v>
      </c>
      <c r="E240" s="3">
        <v>45530</v>
      </c>
      <c r="F240" s="2" t="str">
        <f t="shared" si="3"/>
        <v>Aug</v>
      </c>
      <c r="G240" s="2">
        <v>298</v>
      </c>
      <c r="H240" s="2" t="s">
        <v>30</v>
      </c>
      <c r="I240" s="2">
        <v>500</v>
      </c>
      <c r="J240" s="2">
        <v>366</v>
      </c>
      <c r="K240" s="2">
        <v>5387924</v>
      </c>
      <c r="L240" s="2">
        <v>1094340</v>
      </c>
      <c r="M240" s="2">
        <v>4293584</v>
      </c>
    </row>
    <row r="241" spans="1:13">
      <c r="A241" s="2" t="s">
        <v>316</v>
      </c>
      <c r="B241" s="2" t="s">
        <v>41</v>
      </c>
      <c r="C241" s="2" t="s">
        <v>59</v>
      </c>
      <c r="D241" s="2" t="s">
        <v>63</v>
      </c>
      <c r="E241" s="3">
        <v>45531</v>
      </c>
      <c r="F241" s="2" t="str">
        <f t="shared" si="3"/>
        <v>Aug</v>
      </c>
      <c r="G241" s="2">
        <v>86</v>
      </c>
      <c r="H241" s="2" t="s">
        <v>31</v>
      </c>
      <c r="I241" s="2">
        <v>72</v>
      </c>
      <c r="J241" s="2">
        <v>64</v>
      </c>
      <c r="K241" s="2">
        <v>276270</v>
      </c>
      <c r="L241" s="2">
        <v>123520</v>
      </c>
      <c r="M241" s="2">
        <v>152750</v>
      </c>
    </row>
    <row r="242" spans="1:13">
      <c r="A242" s="2" t="s">
        <v>317</v>
      </c>
      <c r="B242" s="2" t="s">
        <v>39</v>
      </c>
      <c r="C242" s="2" t="s">
        <v>59</v>
      </c>
      <c r="D242" s="2" t="s">
        <v>61</v>
      </c>
      <c r="E242" s="3">
        <v>45532</v>
      </c>
      <c r="F242" s="2" t="str">
        <f t="shared" si="3"/>
        <v>Aug</v>
      </c>
      <c r="G242" s="2">
        <v>185</v>
      </c>
      <c r="H242" s="2" t="s">
        <v>28</v>
      </c>
      <c r="I242" s="2">
        <v>180</v>
      </c>
      <c r="J242" s="2">
        <v>115</v>
      </c>
      <c r="K242" s="2">
        <v>1595596</v>
      </c>
      <c r="L242" s="2">
        <v>278875</v>
      </c>
      <c r="M242" s="2">
        <v>1316721</v>
      </c>
    </row>
    <row r="243" spans="1:13">
      <c r="A243" s="2" t="s">
        <v>318</v>
      </c>
      <c r="B243" s="2" t="s">
        <v>46</v>
      </c>
      <c r="C243" s="2" t="s">
        <v>61</v>
      </c>
      <c r="D243" s="2" t="s">
        <v>59</v>
      </c>
      <c r="E243" s="3">
        <v>45533</v>
      </c>
      <c r="F243" s="2" t="str">
        <f t="shared" si="3"/>
        <v>Aug</v>
      </c>
      <c r="G243" s="2">
        <v>271</v>
      </c>
      <c r="H243" s="2" t="s">
        <v>32</v>
      </c>
      <c r="I243" s="2">
        <v>190</v>
      </c>
      <c r="J243" s="2">
        <v>145</v>
      </c>
      <c r="K243" s="2">
        <v>2368319</v>
      </c>
      <c r="L243" s="2">
        <v>413975</v>
      </c>
      <c r="M243" s="2">
        <v>1954344</v>
      </c>
    </row>
    <row r="244" spans="1:13">
      <c r="A244" s="2" t="s">
        <v>319</v>
      </c>
      <c r="B244" s="2" t="s">
        <v>45</v>
      </c>
      <c r="C244" s="2" t="s">
        <v>61</v>
      </c>
      <c r="D244" s="2" t="s">
        <v>58</v>
      </c>
      <c r="E244" s="3">
        <v>45534</v>
      </c>
      <c r="F244" s="2" t="str">
        <f t="shared" si="3"/>
        <v>Aug</v>
      </c>
      <c r="G244" s="2">
        <v>312</v>
      </c>
      <c r="H244" s="2" t="s">
        <v>29</v>
      </c>
      <c r="I244" s="2">
        <v>200</v>
      </c>
      <c r="J244" s="2">
        <v>154</v>
      </c>
      <c r="K244" s="2">
        <v>2719126</v>
      </c>
      <c r="L244" s="2">
        <v>471240</v>
      </c>
      <c r="M244" s="2">
        <v>2247886</v>
      </c>
    </row>
    <row r="245" spans="1:13">
      <c r="A245" s="2" t="s">
        <v>320</v>
      </c>
      <c r="B245" s="2" t="s">
        <v>3</v>
      </c>
      <c r="C245" s="2" t="s">
        <v>58</v>
      </c>
      <c r="D245" s="2" t="s">
        <v>61</v>
      </c>
      <c r="E245" s="3">
        <v>45535</v>
      </c>
      <c r="F245" s="2" t="str">
        <f t="shared" si="3"/>
        <v>Aug</v>
      </c>
      <c r="G245" s="2">
        <v>290</v>
      </c>
      <c r="H245" s="2" t="s">
        <v>33</v>
      </c>
      <c r="I245" s="2">
        <v>260</v>
      </c>
      <c r="J245" s="2">
        <v>223</v>
      </c>
      <c r="K245" s="2">
        <v>4400235</v>
      </c>
      <c r="L245" s="2">
        <v>657850</v>
      </c>
      <c r="M245" s="2">
        <v>3742385</v>
      </c>
    </row>
    <row r="246" spans="1:13">
      <c r="A246" s="2" t="s">
        <v>321</v>
      </c>
      <c r="B246" s="2" t="s">
        <v>5</v>
      </c>
      <c r="C246" s="2" t="s">
        <v>59</v>
      </c>
      <c r="D246" s="2" t="s">
        <v>58</v>
      </c>
      <c r="E246" s="3">
        <v>45536</v>
      </c>
      <c r="F246" s="2" t="str">
        <f t="shared" si="3"/>
        <v>Sep</v>
      </c>
      <c r="G246" s="2">
        <v>548</v>
      </c>
      <c r="H246" s="2" t="s">
        <v>30</v>
      </c>
      <c r="I246" s="2">
        <v>500</v>
      </c>
      <c r="J246" s="2">
        <v>398</v>
      </c>
      <c r="K246" s="2">
        <v>10694269</v>
      </c>
      <c r="L246" s="2">
        <v>1687520</v>
      </c>
      <c r="M246" s="2">
        <v>9006749</v>
      </c>
    </row>
    <row r="247" spans="1:13">
      <c r="A247" s="2" t="s">
        <v>322</v>
      </c>
      <c r="B247" s="2" t="s">
        <v>36</v>
      </c>
      <c r="C247" s="2" t="s">
        <v>58</v>
      </c>
      <c r="D247" s="2" t="s">
        <v>59</v>
      </c>
      <c r="E247" s="3">
        <v>45537</v>
      </c>
      <c r="F247" s="2" t="str">
        <f t="shared" si="3"/>
        <v>Sep</v>
      </c>
      <c r="G247" s="2">
        <v>130</v>
      </c>
      <c r="H247" s="2" t="s">
        <v>31</v>
      </c>
      <c r="I247" s="2">
        <v>72</v>
      </c>
      <c r="J247" s="2">
        <v>52</v>
      </c>
      <c r="K247" s="2">
        <v>468278</v>
      </c>
      <c r="L247" s="2">
        <v>111800</v>
      </c>
      <c r="M247" s="2">
        <v>356478</v>
      </c>
    </row>
    <row r="248" spans="1:13">
      <c r="A248" s="2" t="s">
        <v>323</v>
      </c>
      <c r="B248" s="2" t="s">
        <v>38</v>
      </c>
      <c r="C248" s="2" t="s">
        <v>59</v>
      </c>
      <c r="D248" s="2" t="s">
        <v>60</v>
      </c>
      <c r="E248" s="3">
        <v>45538</v>
      </c>
      <c r="F248" s="2" t="str">
        <f t="shared" si="3"/>
        <v>Sep</v>
      </c>
      <c r="G248" s="2">
        <v>285</v>
      </c>
      <c r="H248" s="2" t="s">
        <v>28</v>
      </c>
      <c r="I248" s="2">
        <v>180</v>
      </c>
      <c r="J248" s="2">
        <v>123</v>
      </c>
      <c r="K248" s="2">
        <v>2279200</v>
      </c>
      <c r="L248" s="2">
        <v>359775</v>
      </c>
      <c r="M248" s="2">
        <v>1919425</v>
      </c>
    </row>
    <row r="249" spans="1:13">
      <c r="A249" s="2" t="s">
        <v>324</v>
      </c>
      <c r="B249" s="2" t="s">
        <v>44</v>
      </c>
      <c r="C249" s="2" t="s">
        <v>60</v>
      </c>
      <c r="D249" s="2" t="s">
        <v>59</v>
      </c>
      <c r="E249" s="3">
        <v>45539</v>
      </c>
      <c r="F249" s="2" t="str">
        <f t="shared" si="3"/>
        <v>Sep</v>
      </c>
      <c r="G249" s="2">
        <v>288</v>
      </c>
      <c r="H249" s="2" t="s">
        <v>32</v>
      </c>
      <c r="I249" s="2">
        <v>190</v>
      </c>
      <c r="J249" s="2">
        <v>176</v>
      </c>
      <c r="K249" s="2">
        <v>2336705</v>
      </c>
      <c r="L249" s="2">
        <v>517440</v>
      </c>
      <c r="M249" s="2">
        <v>1819265</v>
      </c>
    </row>
    <row r="250" spans="1:13">
      <c r="A250" s="2" t="s">
        <v>325</v>
      </c>
      <c r="B250" s="2" t="s">
        <v>48</v>
      </c>
      <c r="C250" s="2" t="s">
        <v>61</v>
      </c>
      <c r="D250" s="2" t="s">
        <v>63</v>
      </c>
      <c r="E250" s="3">
        <v>45540</v>
      </c>
      <c r="F250" s="2" t="str">
        <f t="shared" si="3"/>
        <v>Sep</v>
      </c>
      <c r="G250" s="2">
        <v>356</v>
      </c>
      <c r="H250" s="2" t="s">
        <v>29</v>
      </c>
      <c r="I250" s="2">
        <v>200</v>
      </c>
      <c r="J250" s="2">
        <v>130</v>
      </c>
      <c r="K250" s="2">
        <v>3210165</v>
      </c>
      <c r="L250" s="2">
        <v>426400</v>
      </c>
      <c r="M250" s="2">
        <v>2783765</v>
      </c>
    </row>
    <row r="251" spans="1:13">
      <c r="A251" s="2" t="s">
        <v>326</v>
      </c>
      <c r="B251" s="2" t="s">
        <v>10</v>
      </c>
      <c r="C251" s="2" t="s">
        <v>63</v>
      </c>
      <c r="D251" s="2" t="s">
        <v>61</v>
      </c>
      <c r="E251" s="3">
        <v>45541</v>
      </c>
      <c r="F251" s="2" t="str">
        <f t="shared" si="3"/>
        <v>Sep</v>
      </c>
      <c r="G251" s="2">
        <v>183</v>
      </c>
      <c r="H251" s="2" t="s">
        <v>33</v>
      </c>
      <c r="I251" s="2">
        <v>260</v>
      </c>
      <c r="J251" s="2">
        <v>233</v>
      </c>
      <c r="K251" s="2">
        <v>2518750</v>
      </c>
      <c r="L251" s="2">
        <v>562695</v>
      </c>
      <c r="M251" s="2">
        <v>1956055</v>
      </c>
    </row>
    <row r="252" spans="1:13">
      <c r="A252" s="2" t="s">
        <v>327</v>
      </c>
      <c r="B252" s="2" t="s">
        <v>2</v>
      </c>
      <c r="C252" s="2" t="s">
        <v>58</v>
      </c>
      <c r="D252" s="2" t="s">
        <v>60</v>
      </c>
      <c r="E252" s="3">
        <v>45542</v>
      </c>
      <c r="F252" s="2" t="str">
        <f t="shared" si="3"/>
        <v>Sep</v>
      </c>
      <c r="G252" s="2">
        <v>529</v>
      </c>
      <c r="H252" s="2" t="s">
        <v>30</v>
      </c>
      <c r="I252" s="2">
        <v>500</v>
      </c>
      <c r="J252" s="2">
        <v>330</v>
      </c>
      <c r="K252" s="2">
        <v>11419555</v>
      </c>
      <c r="L252" s="2">
        <v>1367850</v>
      </c>
      <c r="M252" s="2">
        <v>10051705</v>
      </c>
    </row>
    <row r="253" spans="1:13">
      <c r="A253" s="2" t="s">
        <v>328</v>
      </c>
      <c r="B253" s="2" t="s">
        <v>43</v>
      </c>
      <c r="C253" s="2" t="s">
        <v>60</v>
      </c>
      <c r="D253" s="2" t="s">
        <v>58</v>
      </c>
      <c r="E253" s="3">
        <v>45543</v>
      </c>
      <c r="F253" s="2" t="str">
        <f t="shared" si="3"/>
        <v>Sep</v>
      </c>
      <c r="G253" s="2">
        <v>148</v>
      </c>
      <c r="H253" s="2" t="s">
        <v>31</v>
      </c>
      <c r="I253" s="2">
        <v>72</v>
      </c>
      <c r="J253" s="2">
        <v>44</v>
      </c>
      <c r="K253" s="2">
        <v>468089</v>
      </c>
      <c r="L253" s="2">
        <v>98560</v>
      </c>
      <c r="M253" s="2">
        <v>369529</v>
      </c>
    </row>
    <row r="254" spans="1:13">
      <c r="A254" s="2" t="s">
        <v>329</v>
      </c>
      <c r="B254" s="2" t="s">
        <v>40</v>
      </c>
      <c r="C254" s="2" t="s">
        <v>59</v>
      </c>
      <c r="D254" s="2" t="s">
        <v>62</v>
      </c>
      <c r="E254" s="3">
        <v>45544</v>
      </c>
      <c r="F254" s="2" t="str">
        <f t="shared" si="3"/>
        <v>Sep</v>
      </c>
      <c r="G254" s="2">
        <v>288</v>
      </c>
      <c r="H254" s="2" t="s">
        <v>28</v>
      </c>
      <c r="I254" s="2">
        <v>180</v>
      </c>
      <c r="J254" s="2">
        <v>169</v>
      </c>
      <c r="K254" s="2">
        <v>2125227</v>
      </c>
      <c r="L254" s="2">
        <v>993720</v>
      </c>
      <c r="M254" s="2">
        <v>1131507</v>
      </c>
    </row>
    <row r="255" spans="1:13">
      <c r="A255" s="2" t="s">
        <v>330</v>
      </c>
      <c r="B255" s="2" t="s">
        <v>51</v>
      </c>
      <c r="C255" s="2" t="s">
        <v>62</v>
      </c>
      <c r="D255" s="2" t="s">
        <v>59</v>
      </c>
      <c r="E255" s="3">
        <v>45545</v>
      </c>
      <c r="F255" s="2" t="str">
        <f t="shared" si="3"/>
        <v>Sep</v>
      </c>
      <c r="G255" s="2">
        <v>279</v>
      </c>
      <c r="H255" s="2" t="s">
        <v>32</v>
      </c>
      <c r="I255" s="2">
        <v>190</v>
      </c>
      <c r="J255" s="2">
        <v>175</v>
      </c>
      <c r="K255" s="2">
        <v>2262561</v>
      </c>
      <c r="L255" s="2">
        <v>1013250</v>
      </c>
      <c r="M255" s="2">
        <v>1249311</v>
      </c>
    </row>
    <row r="256" spans="1:13">
      <c r="A256" s="2" t="s">
        <v>331</v>
      </c>
      <c r="B256" s="2" t="s">
        <v>47</v>
      </c>
      <c r="C256" s="2" t="s">
        <v>61</v>
      </c>
      <c r="D256" s="2" t="s">
        <v>62</v>
      </c>
      <c r="E256" s="3">
        <v>45546</v>
      </c>
      <c r="F256" s="2" t="str">
        <f t="shared" si="3"/>
        <v>Sep</v>
      </c>
      <c r="G256" s="2">
        <v>197</v>
      </c>
      <c r="H256" s="2" t="s">
        <v>29</v>
      </c>
      <c r="I256" s="2">
        <v>200</v>
      </c>
      <c r="J256" s="2">
        <v>138</v>
      </c>
      <c r="K256" s="2">
        <v>1748313</v>
      </c>
      <c r="L256" s="2">
        <v>342930</v>
      </c>
      <c r="M256" s="2">
        <v>1405383</v>
      </c>
    </row>
    <row r="257" spans="1:13">
      <c r="A257" s="2" t="s">
        <v>332</v>
      </c>
      <c r="B257" s="2" t="s">
        <v>8</v>
      </c>
      <c r="C257" s="2" t="s">
        <v>62</v>
      </c>
      <c r="D257" s="2" t="s">
        <v>61</v>
      </c>
      <c r="E257" s="3">
        <v>45547</v>
      </c>
      <c r="F257" s="2" t="str">
        <f t="shared" si="3"/>
        <v>Sep</v>
      </c>
      <c r="G257" s="2">
        <v>241</v>
      </c>
      <c r="H257" s="2" t="s">
        <v>33</v>
      </c>
      <c r="I257" s="2">
        <v>260</v>
      </c>
      <c r="J257" s="2">
        <v>240</v>
      </c>
      <c r="K257" s="2">
        <v>3656039</v>
      </c>
      <c r="L257" s="2">
        <v>649200</v>
      </c>
      <c r="M257" s="2">
        <v>3006839</v>
      </c>
    </row>
    <row r="258" spans="1:13">
      <c r="A258" s="2" t="s">
        <v>333</v>
      </c>
      <c r="B258" s="2" t="s">
        <v>4</v>
      </c>
      <c r="C258" s="2" t="s">
        <v>58</v>
      </c>
      <c r="D258" s="2" t="s">
        <v>66</v>
      </c>
      <c r="E258" s="3">
        <v>45548</v>
      </c>
      <c r="F258" s="2" t="str">
        <f t="shared" si="3"/>
        <v>Sep</v>
      </c>
      <c r="G258" s="2">
        <v>205</v>
      </c>
      <c r="H258" s="2" t="s">
        <v>30</v>
      </c>
      <c r="I258" s="2">
        <v>500</v>
      </c>
      <c r="J258" s="2">
        <v>348</v>
      </c>
      <c r="K258" s="2">
        <v>4320984</v>
      </c>
      <c r="L258" s="2">
        <v>1757400</v>
      </c>
      <c r="M258" s="2">
        <v>2563584</v>
      </c>
    </row>
    <row r="259" spans="1:13">
      <c r="A259" s="2" t="s">
        <v>334</v>
      </c>
      <c r="B259" s="2" t="s">
        <v>54</v>
      </c>
      <c r="C259" s="2" t="s">
        <v>66</v>
      </c>
      <c r="D259" s="2" t="s">
        <v>58</v>
      </c>
      <c r="E259" s="3">
        <v>45549</v>
      </c>
      <c r="F259" s="2" t="str">
        <f t="shared" ref="F259:F322" si="4">TEXT(E259,"mmm")</f>
        <v>Sep</v>
      </c>
      <c r="G259" s="2">
        <v>99</v>
      </c>
      <c r="H259" s="2" t="s">
        <v>31</v>
      </c>
      <c r="I259" s="2">
        <v>72</v>
      </c>
      <c r="J259" s="2">
        <v>67</v>
      </c>
      <c r="K259" s="2">
        <v>361119</v>
      </c>
      <c r="L259" s="2">
        <v>267330</v>
      </c>
      <c r="M259" s="2">
        <v>93789</v>
      </c>
    </row>
    <row r="260" spans="1:13">
      <c r="A260" s="2" t="s">
        <v>335</v>
      </c>
      <c r="B260" s="2" t="s">
        <v>42</v>
      </c>
      <c r="C260" s="2" t="s">
        <v>59</v>
      </c>
      <c r="D260" s="2" t="s">
        <v>66</v>
      </c>
      <c r="E260" s="3">
        <v>45550</v>
      </c>
      <c r="F260" s="2" t="str">
        <f t="shared" si="4"/>
        <v>Sep</v>
      </c>
      <c r="G260" s="2">
        <v>271</v>
      </c>
      <c r="H260" s="2" t="s">
        <v>28</v>
      </c>
      <c r="I260" s="2">
        <v>180</v>
      </c>
      <c r="J260" s="2">
        <v>139</v>
      </c>
      <c r="K260" s="2">
        <v>2056308</v>
      </c>
      <c r="L260" s="2">
        <v>793690</v>
      </c>
      <c r="M260" s="2">
        <v>1262618</v>
      </c>
    </row>
    <row r="261" spans="1:13">
      <c r="A261" s="2" t="s">
        <v>336</v>
      </c>
      <c r="B261" s="2" t="s">
        <v>55</v>
      </c>
      <c r="C261" s="2" t="s">
        <v>66</v>
      </c>
      <c r="D261" s="2" t="s">
        <v>59</v>
      </c>
      <c r="E261" s="3">
        <v>45551</v>
      </c>
      <c r="F261" s="2" t="str">
        <f t="shared" si="4"/>
        <v>Sep</v>
      </c>
      <c r="G261" s="2">
        <v>106</v>
      </c>
      <c r="H261" s="2" t="s">
        <v>32</v>
      </c>
      <c r="I261" s="2">
        <v>190</v>
      </c>
      <c r="J261" s="2">
        <v>161</v>
      </c>
      <c r="K261" s="2">
        <v>1005092</v>
      </c>
      <c r="L261" s="2">
        <v>653660</v>
      </c>
      <c r="M261" s="2">
        <v>351432</v>
      </c>
    </row>
    <row r="262" spans="1:13">
      <c r="A262" s="2" t="s">
        <v>337</v>
      </c>
      <c r="B262" s="2" t="s">
        <v>50</v>
      </c>
      <c r="C262" s="2" t="s">
        <v>61</v>
      </c>
      <c r="D262" s="2" t="s">
        <v>65</v>
      </c>
      <c r="E262" s="3">
        <v>45552</v>
      </c>
      <c r="F262" s="2" t="str">
        <f t="shared" si="4"/>
        <v>Sep</v>
      </c>
      <c r="G262" s="2">
        <v>117</v>
      </c>
      <c r="H262" s="2" t="s">
        <v>29</v>
      </c>
      <c r="I262" s="2">
        <v>200</v>
      </c>
      <c r="J262" s="2">
        <v>160</v>
      </c>
      <c r="K262" s="2">
        <v>1034664</v>
      </c>
      <c r="L262" s="2">
        <v>667200</v>
      </c>
      <c r="M262" s="2">
        <v>367464</v>
      </c>
    </row>
    <row r="263" spans="1:13">
      <c r="A263" s="2" t="s">
        <v>338</v>
      </c>
      <c r="B263" s="2" t="s">
        <v>11</v>
      </c>
      <c r="C263" s="2" t="s">
        <v>65</v>
      </c>
      <c r="D263" s="2" t="s">
        <v>61</v>
      </c>
      <c r="E263" s="3">
        <v>45553</v>
      </c>
      <c r="F263" s="2" t="str">
        <f t="shared" si="4"/>
        <v>Sep</v>
      </c>
      <c r="G263" s="2">
        <v>535</v>
      </c>
      <c r="H263" s="2" t="s">
        <v>33</v>
      </c>
      <c r="I263" s="2">
        <v>260</v>
      </c>
      <c r="J263" s="2">
        <v>185</v>
      </c>
      <c r="K263" s="2">
        <v>8175682</v>
      </c>
      <c r="L263" s="2">
        <v>1544750</v>
      </c>
      <c r="M263" s="2">
        <v>6630932</v>
      </c>
    </row>
    <row r="264" spans="1:13">
      <c r="A264" s="2" t="s">
        <v>339</v>
      </c>
      <c r="B264" s="2" t="s">
        <v>6</v>
      </c>
      <c r="C264" s="2" t="s">
        <v>59</v>
      </c>
      <c r="D264" s="2" t="s">
        <v>65</v>
      </c>
      <c r="E264" s="3">
        <v>45554</v>
      </c>
      <c r="F264" s="2" t="str">
        <f t="shared" si="4"/>
        <v>Sep</v>
      </c>
      <c r="G264" s="2">
        <v>357</v>
      </c>
      <c r="H264" s="2" t="s">
        <v>30</v>
      </c>
      <c r="I264" s="2">
        <v>500</v>
      </c>
      <c r="J264" s="2">
        <v>379</v>
      </c>
      <c r="K264" s="2">
        <v>7209405</v>
      </c>
      <c r="L264" s="2">
        <v>2490030</v>
      </c>
      <c r="M264" s="2">
        <v>4719375</v>
      </c>
    </row>
    <row r="265" spans="1:13">
      <c r="A265" s="2" t="s">
        <v>340</v>
      </c>
      <c r="B265" s="2" t="s">
        <v>53</v>
      </c>
      <c r="C265" s="2" t="s">
        <v>65</v>
      </c>
      <c r="D265" s="2" t="s">
        <v>59</v>
      </c>
      <c r="E265" s="3">
        <v>45555</v>
      </c>
      <c r="F265" s="2" t="str">
        <f t="shared" si="4"/>
        <v>Sep</v>
      </c>
      <c r="G265" s="2">
        <v>39</v>
      </c>
      <c r="H265" s="2" t="s">
        <v>31</v>
      </c>
      <c r="I265" s="2">
        <v>72</v>
      </c>
      <c r="J265" s="2">
        <v>68</v>
      </c>
      <c r="K265" s="2">
        <v>131650</v>
      </c>
      <c r="L265" s="2">
        <v>230520</v>
      </c>
      <c r="M265" s="2">
        <v>-98870</v>
      </c>
    </row>
    <row r="266" spans="1:13">
      <c r="A266" s="2" t="s">
        <v>341</v>
      </c>
      <c r="B266" s="2" t="s">
        <v>49</v>
      </c>
      <c r="C266" s="2" t="s">
        <v>61</v>
      </c>
      <c r="D266" s="2" t="s">
        <v>64</v>
      </c>
      <c r="E266" s="3">
        <v>45556</v>
      </c>
      <c r="F266" s="2" t="str">
        <f t="shared" si="4"/>
        <v>Sep</v>
      </c>
      <c r="G266" s="2">
        <v>189</v>
      </c>
      <c r="H266" s="2" t="s">
        <v>28</v>
      </c>
      <c r="I266" s="2">
        <v>180</v>
      </c>
      <c r="J266" s="2">
        <v>113</v>
      </c>
      <c r="K266" s="2">
        <v>1402780</v>
      </c>
      <c r="L266" s="2">
        <v>552570</v>
      </c>
      <c r="M266" s="2">
        <v>850210</v>
      </c>
    </row>
    <row r="267" spans="1:13">
      <c r="A267" s="2" t="s">
        <v>342</v>
      </c>
      <c r="B267" s="2" t="s">
        <v>52</v>
      </c>
      <c r="C267" s="2" t="s">
        <v>64</v>
      </c>
      <c r="D267" s="2" t="s">
        <v>61</v>
      </c>
      <c r="E267" s="3">
        <v>45557</v>
      </c>
      <c r="F267" s="2" t="str">
        <f t="shared" si="4"/>
        <v>Sep</v>
      </c>
      <c r="G267" s="2">
        <v>332</v>
      </c>
      <c r="H267" s="2" t="s">
        <v>32</v>
      </c>
      <c r="I267" s="2">
        <v>190</v>
      </c>
      <c r="J267" s="2">
        <v>121</v>
      </c>
      <c r="K267" s="2">
        <v>2971964</v>
      </c>
      <c r="L267" s="2">
        <v>764720</v>
      </c>
      <c r="M267" s="2">
        <v>2207244</v>
      </c>
    </row>
    <row r="268" spans="1:13">
      <c r="A268" s="2" t="s">
        <v>343</v>
      </c>
      <c r="B268" s="2" t="s">
        <v>37</v>
      </c>
      <c r="C268" s="2" t="s">
        <v>58</v>
      </c>
      <c r="D268" s="2" t="s">
        <v>62</v>
      </c>
      <c r="E268" s="3">
        <v>45558</v>
      </c>
      <c r="F268" s="2" t="str">
        <f t="shared" si="4"/>
        <v>Sep</v>
      </c>
      <c r="G268" s="2">
        <v>117</v>
      </c>
      <c r="H268" s="2" t="s">
        <v>29</v>
      </c>
      <c r="I268" s="2">
        <v>200</v>
      </c>
      <c r="J268" s="2">
        <v>148</v>
      </c>
      <c r="K268" s="2">
        <v>1077903</v>
      </c>
      <c r="L268" s="2">
        <v>617160</v>
      </c>
      <c r="M268" s="2">
        <v>460743</v>
      </c>
    </row>
    <row r="269" spans="1:13">
      <c r="A269" s="2" t="s">
        <v>344</v>
      </c>
      <c r="B269" s="2" t="s">
        <v>7</v>
      </c>
      <c r="C269" s="2" t="s">
        <v>62</v>
      </c>
      <c r="D269" s="2" t="s">
        <v>58</v>
      </c>
      <c r="E269" s="3">
        <v>45559</v>
      </c>
      <c r="F269" s="2" t="str">
        <f t="shared" si="4"/>
        <v>Sep</v>
      </c>
      <c r="G269" s="2">
        <v>484</v>
      </c>
      <c r="H269" s="2" t="s">
        <v>33</v>
      </c>
      <c r="I269" s="2">
        <v>260</v>
      </c>
      <c r="J269" s="2">
        <v>233</v>
      </c>
      <c r="K269" s="2">
        <v>7617155</v>
      </c>
      <c r="L269" s="2">
        <v>1826720</v>
      </c>
      <c r="M269" s="2">
        <v>5790435</v>
      </c>
    </row>
    <row r="270" spans="1:13">
      <c r="A270" s="2" t="s">
        <v>345</v>
      </c>
      <c r="B270" s="2" t="s">
        <v>9</v>
      </c>
      <c r="C270" s="2" t="s">
        <v>63</v>
      </c>
      <c r="D270" s="2" t="s">
        <v>59</v>
      </c>
      <c r="E270" s="3">
        <v>45560</v>
      </c>
      <c r="F270" s="2" t="str">
        <f t="shared" si="4"/>
        <v>Sep</v>
      </c>
      <c r="G270" s="2">
        <v>513</v>
      </c>
      <c r="H270" s="2" t="s">
        <v>30</v>
      </c>
      <c r="I270" s="2">
        <v>500</v>
      </c>
      <c r="J270" s="2">
        <v>463</v>
      </c>
      <c r="K270" s="2">
        <v>11267387</v>
      </c>
      <c r="L270" s="2">
        <v>1882095</v>
      </c>
      <c r="M270" s="2">
        <v>9385292</v>
      </c>
    </row>
    <row r="271" spans="1:13">
      <c r="A271" s="2" t="s">
        <v>346</v>
      </c>
      <c r="B271" s="2" t="s">
        <v>41</v>
      </c>
      <c r="C271" s="2" t="s">
        <v>59</v>
      </c>
      <c r="D271" s="2" t="s">
        <v>63</v>
      </c>
      <c r="E271" s="3">
        <v>45561</v>
      </c>
      <c r="F271" s="2" t="str">
        <f t="shared" si="4"/>
        <v>Sep</v>
      </c>
      <c r="G271" s="2">
        <v>63</v>
      </c>
      <c r="H271" s="2" t="s">
        <v>31</v>
      </c>
      <c r="I271" s="2">
        <v>72</v>
      </c>
      <c r="J271" s="2">
        <v>47</v>
      </c>
      <c r="K271" s="2">
        <v>201382</v>
      </c>
      <c r="L271" s="2">
        <v>85305</v>
      </c>
      <c r="M271" s="2">
        <v>116077</v>
      </c>
    </row>
    <row r="272" spans="1:13">
      <c r="A272" s="2" t="s">
        <v>347</v>
      </c>
      <c r="B272" s="2" t="s">
        <v>39</v>
      </c>
      <c r="C272" s="2" t="s">
        <v>59</v>
      </c>
      <c r="D272" s="2" t="s">
        <v>61</v>
      </c>
      <c r="E272" s="3">
        <v>45562</v>
      </c>
      <c r="F272" s="2" t="str">
        <f t="shared" si="4"/>
        <v>Sep</v>
      </c>
      <c r="G272" s="2">
        <v>99</v>
      </c>
      <c r="H272" s="2" t="s">
        <v>28</v>
      </c>
      <c r="I272" s="2">
        <v>180</v>
      </c>
      <c r="J272" s="2">
        <v>153</v>
      </c>
      <c r="K272" s="2">
        <v>720418</v>
      </c>
      <c r="L272" s="2">
        <v>305235</v>
      </c>
      <c r="M272" s="2">
        <v>415183</v>
      </c>
    </row>
    <row r="273" spans="1:13">
      <c r="A273" s="2" t="s">
        <v>348</v>
      </c>
      <c r="B273" s="2" t="s">
        <v>46</v>
      </c>
      <c r="C273" s="2" t="s">
        <v>61</v>
      </c>
      <c r="D273" s="2" t="s">
        <v>59</v>
      </c>
      <c r="E273" s="3">
        <v>45563</v>
      </c>
      <c r="F273" s="2" t="str">
        <f t="shared" si="4"/>
        <v>Sep</v>
      </c>
      <c r="G273" s="2">
        <v>326</v>
      </c>
      <c r="H273" s="2" t="s">
        <v>32</v>
      </c>
      <c r="I273" s="2">
        <v>190</v>
      </c>
      <c r="J273" s="2">
        <v>166</v>
      </c>
      <c r="K273" s="2">
        <v>2758914</v>
      </c>
      <c r="L273" s="2">
        <v>519580</v>
      </c>
      <c r="M273" s="2">
        <v>2239334</v>
      </c>
    </row>
    <row r="274" spans="1:13">
      <c r="A274" s="2" t="s">
        <v>349</v>
      </c>
      <c r="B274" s="2" t="s">
        <v>45</v>
      </c>
      <c r="C274" s="2" t="s">
        <v>61</v>
      </c>
      <c r="D274" s="2" t="s">
        <v>58</v>
      </c>
      <c r="E274" s="3">
        <v>45564</v>
      </c>
      <c r="F274" s="2" t="str">
        <f t="shared" si="4"/>
        <v>Sep</v>
      </c>
      <c r="G274" s="2">
        <v>365</v>
      </c>
      <c r="H274" s="2" t="s">
        <v>29</v>
      </c>
      <c r="I274" s="2">
        <v>200</v>
      </c>
      <c r="J274" s="2">
        <v>177</v>
      </c>
      <c r="K274" s="2">
        <v>3250021</v>
      </c>
      <c r="L274" s="2">
        <v>588525</v>
      </c>
      <c r="M274" s="2">
        <v>2661496</v>
      </c>
    </row>
    <row r="275" spans="1:13">
      <c r="A275" s="2" t="s">
        <v>350</v>
      </c>
      <c r="B275" s="2" t="s">
        <v>3</v>
      </c>
      <c r="C275" s="2" t="s">
        <v>58</v>
      </c>
      <c r="D275" s="2" t="s">
        <v>61</v>
      </c>
      <c r="E275" s="3">
        <v>45565</v>
      </c>
      <c r="F275" s="2" t="str">
        <f t="shared" si="4"/>
        <v>Sep</v>
      </c>
      <c r="G275" s="2">
        <v>518</v>
      </c>
      <c r="H275" s="2" t="s">
        <v>33</v>
      </c>
      <c r="I275" s="2">
        <v>260</v>
      </c>
      <c r="J275" s="2">
        <v>216</v>
      </c>
      <c r="K275" s="2">
        <v>7805843</v>
      </c>
      <c r="L275" s="2">
        <v>883440</v>
      </c>
      <c r="M275" s="2">
        <v>6922403</v>
      </c>
    </row>
    <row r="276" spans="1:13">
      <c r="A276" s="2" t="s">
        <v>351</v>
      </c>
      <c r="B276" s="2" t="s">
        <v>5</v>
      </c>
      <c r="C276" s="2" t="s">
        <v>59</v>
      </c>
      <c r="D276" s="2" t="s">
        <v>58</v>
      </c>
      <c r="E276" s="3">
        <v>45566</v>
      </c>
      <c r="F276" s="2" t="str">
        <f t="shared" si="4"/>
        <v>Oct</v>
      </c>
      <c r="G276" s="2">
        <v>311</v>
      </c>
      <c r="H276" s="2" t="s">
        <v>30</v>
      </c>
      <c r="I276" s="2">
        <v>500</v>
      </c>
      <c r="J276" s="2">
        <v>355</v>
      </c>
      <c r="K276" s="2">
        <v>6329853</v>
      </c>
      <c r="L276" s="2">
        <v>1084525</v>
      </c>
      <c r="M276" s="2">
        <v>5245328</v>
      </c>
    </row>
    <row r="277" spans="1:13">
      <c r="A277" s="2" t="s">
        <v>352</v>
      </c>
      <c r="B277" s="2" t="s">
        <v>36</v>
      </c>
      <c r="C277" s="2" t="s">
        <v>58</v>
      </c>
      <c r="D277" s="2" t="s">
        <v>59</v>
      </c>
      <c r="E277" s="3">
        <v>45567</v>
      </c>
      <c r="F277" s="2" t="str">
        <f t="shared" si="4"/>
        <v>Oct</v>
      </c>
      <c r="G277" s="2">
        <v>47</v>
      </c>
      <c r="H277" s="2" t="s">
        <v>31</v>
      </c>
      <c r="I277" s="2">
        <v>72</v>
      </c>
      <c r="J277" s="2">
        <v>63</v>
      </c>
      <c r="K277" s="2">
        <v>162497</v>
      </c>
      <c r="L277" s="2">
        <v>109305</v>
      </c>
      <c r="M277" s="2">
        <v>53192</v>
      </c>
    </row>
    <row r="278" spans="1:13">
      <c r="A278" s="2" t="s">
        <v>353</v>
      </c>
      <c r="B278" s="2" t="s">
        <v>38</v>
      </c>
      <c r="C278" s="2" t="s">
        <v>59</v>
      </c>
      <c r="D278" s="2" t="s">
        <v>60</v>
      </c>
      <c r="E278" s="3">
        <v>45568</v>
      </c>
      <c r="F278" s="2" t="str">
        <f t="shared" si="4"/>
        <v>Oct</v>
      </c>
      <c r="G278" s="2">
        <v>73</v>
      </c>
      <c r="H278" s="2" t="s">
        <v>28</v>
      </c>
      <c r="I278" s="2">
        <v>180</v>
      </c>
      <c r="J278" s="2">
        <v>164</v>
      </c>
      <c r="K278" s="2">
        <v>598495</v>
      </c>
      <c r="L278" s="2">
        <v>305860</v>
      </c>
      <c r="M278" s="2">
        <v>292635</v>
      </c>
    </row>
    <row r="279" spans="1:13">
      <c r="A279" s="2" t="s">
        <v>354</v>
      </c>
      <c r="B279" s="2" t="s">
        <v>44</v>
      </c>
      <c r="C279" s="2" t="s">
        <v>60</v>
      </c>
      <c r="D279" s="2" t="s">
        <v>59</v>
      </c>
      <c r="E279" s="3">
        <v>45569</v>
      </c>
      <c r="F279" s="2" t="str">
        <f t="shared" si="4"/>
        <v>Oct</v>
      </c>
      <c r="G279" s="2">
        <v>82</v>
      </c>
      <c r="H279" s="2" t="s">
        <v>32</v>
      </c>
      <c r="I279" s="2">
        <v>190</v>
      </c>
      <c r="J279" s="2">
        <v>143</v>
      </c>
      <c r="K279" s="2">
        <v>749436</v>
      </c>
      <c r="L279" s="2">
        <v>273130</v>
      </c>
      <c r="M279" s="2">
        <v>476306</v>
      </c>
    </row>
    <row r="280" spans="1:13">
      <c r="A280" s="2" t="s">
        <v>355</v>
      </c>
      <c r="B280" s="2" t="s">
        <v>48</v>
      </c>
      <c r="C280" s="2" t="s">
        <v>61</v>
      </c>
      <c r="D280" s="2" t="s">
        <v>63</v>
      </c>
      <c r="E280" s="3">
        <v>45570</v>
      </c>
      <c r="F280" s="2" t="str">
        <f t="shared" si="4"/>
        <v>Oct</v>
      </c>
      <c r="G280" s="2">
        <v>224</v>
      </c>
      <c r="H280" s="2" t="s">
        <v>29</v>
      </c>
      <c r="I280" s="2">
        <v>200</v>
      </c>
      <c r="J280" s="2">
        <v>182</v>
      </c>
      <c r="K280" s="2">
        <v>2078584</v>
      </c>
      <c r="L280" s="2">
        <v>476840</v>
      </c>
      <c r="M280" s="2">
        <v>1601744</v>
      </c>
    </row>
    <row r="281" spans="1:13">
      <c r="A281" s="2" t="s">
        <v>356</v>
      </c>
      <c r="B281" s="2" t="s">
        <v>10</v>
      </c>
      <c r="C281" s="2" t="s">
        <v>63</v>
      </c>
      <c r="D281" s="2" t="s">
        <v>61</v>
      </c>
      <c r="E281" s="3">
        <v>45571</v>
      </c>
      <c r="F281" s="2" t="str">
        <f t="shared" si="4"/>
        <v>Oct</v>
      </c>
      <c r="G281" s="2">
        <v>488</v>
      </c>
      <c r="H281" s="2" t="s">
        <v>33</v>
      </c>
      <c r="I281" s="2">
        <v>260</v>
      </c>
      <c r="J281" s="2">
        <v>238</v>
      </c>
      <c r="K281" s="2">
        <v>7501884</v>
      </c>
      <c r="L281" s="2">
        <v>937720</v>
      </c>
      <c r="M281" s="2">
        <v>6564164</v>
      </c>
    </row>
    <row r="282" spans="1:13">
      <c r="A282" s="2" t="s">
        <v>357</v>
      </c>
      <c r="B282" s="2" t="s">
        <v>2</v>
      </c>
      <c r="C282" s="2" t="s">
        <v>58</v>
      </c>
      <c r="D282" s="2" t="s">
        <v>60</v>
      </c>
      <c r="E282" s="3">
        <v>45572</v>
      </c>
      <c r="F282" s="2" t="str">
        <f t="shared" si="4"/>
        <v>Oct</v>
      </c>
      <c r="G282" s="2">
        <v>377</v>
      </c>
      <c r="H282" s="2" t="s">
        <v>30</v>
      </c>
      <c r="I282" s="2">
        <v>500</v>
      </c>
      <c r="J282" s="2">
        <v>464</v>
      </c>
      <c r="K282" s="2">
        <v>7732583</v>
      </c>
      <c r="L282" s="2">
        <v>1570640</v>
      </c>
      <c r="M282" s="2">
        <v>6161943</v>
      </c>
    </row>
    <row r="283" spans="1:13">
      <c r="A283" s="2" t="s">
        <v>358</v>
      </c>
      <c r="B283" s="2" t="s">
        <v>43</v>
      </c>
      <c r="C283" s="2" t="s">
        <v>60</v>
      </c>
      <c r="D283" s="2" t="s">
        <v>58</v>
      </c>
      <c r="E283" s="3">
        <v>45573</v>
      </c>
      <c r="F283" s="2" t="str">
        <f t="shared" si="4"/>
        <v>Oct</v>
      </c>
      <c r="G283" s="2">
        <v>101</v>
      </c>
      <c r="H283" s="2" t="s">
        <v>31</v>
      </c>
      <c r="I283" s="2">
        <v>72</v>
      </c>
      <c r="J283" s="2">
        <v>60</v>
      </c>
      <c r="K283" s="2">
        <v>329937</v>
      </c>
      <c r="L283" s="2">
        <v>120300</v>
      </c>
      <c r="M283" s="2">
        <v>209637</v>
      </c>
    </row>
    <row r="284" spans="1:13">
      <c r="A284" s="2" t="s">
        <v>359</v>
      </c>
      <c r="B284" s="2" t="s">
        <v>40</v>
      </c>
      <c r="C284" s="2" t="s">
        <v>59</v>
      </c>
      <c r="D284" s="2" t="s">
        <v>62</v>
      </c>
      <c r="E284" s="3">
        <v>45574</v>
      </c>
      <c r="F284" s="2" t="str">
        <f t="shared" si="4"/>
        <v>Oct</v>
      </c>
      <c r="G284" s="2">
        <v>170</v>
      </c>
      <c r="H284" s="2" t="s">
        <v>28</v>
      </c>
      <c r="I284" s="2">
        <v>180</v>
      </c>
      <c r="J284" s="2">
        <v>147</v>
      </c>
      <c r="K284" s="2">
        <v>1369101</v>
      </c>
      <c r="L284" s="2">
        <v>690900</v>
      </c>
      <c r="M284" s="2">
        <v>678201</v>
      </c>
    </row>
    <row r="285" spans="1:13">
      <c r="A285" s="2" t="s">
        <v>360</v>
      </c>
      <c r="B285" s="2" t="s">
        <v>51</v>
      </c>
      <c r="C285" s="2" t="s">
        <v>62</v>
      </c>
      <c r="D285" s="2" t="s">
        <v>59</v>
      </c>
      <c r="E285" s="3">
        <v>45575</v>
      </c>
      <c r="F285" s="2" t="str">
        <f t="shared" si="4"/>
        <v>Oct</v>
      </c>
      <c r="G285" s="2">
        <v>290</v>
      </c>
      <c r="H285" s="2" t="s">
        <v>32</v>
      </c>
      <c r="I285" s="2">
        <v>190</v>
      </c>
      <c r="J285" s="2">
        <v>152</v>
      </c>
      <c r="K285" s="2">
        <v>2869795</v>
      </c>
      <c r="L285" s="2">
        <v>896800</v>
      </c>
      <c r="M285" s="2">
        <v>1972995</v>
      </c>
    </row>
    <row r="286" spans="1:13">
      <c r="A286" s="2" t="s">
        <v>361</v>
      </c>
      <c r="B286" s="2" t="s">
        <v>47</v>
      </c>
      <c r="C286" s="2" t="s">
        <v>61</v>
      </c>
      <c r="D286" s="2" t="s">
        <v>62</v>
      </c>
      <c r="E286" s="3">
        <v>45576</v>
      </c>
      <c r="F286" s="2" t="str">
        <f t="shared" si="4"/>
        <v>Oct</v>
      </c>
      <c r="G286" s="2">
        <v>176</v>
      </c>
      <c r="H286" s="2" t="s">
        <v>29</v>
      </c>
      <c r="I286" s="2">
        <v>200</v>
      </c>
      <c r="J286" s="2">
        <v>169</v>
      </c>
      <c r="K286" s="2">
        <v>1765154</v>
      </c>
      <c r="L286" s="2">
        <v>402220</v>
      </c>
      <c r="M286" s="2">
        <v>1362934</v>
      </c>
    </row>
    <row r="287" spans="1:13">
      <c r="A287" s="2" t="s">
        <v>362</v>
      </c>
      <c r="B287" s="2" t="s">
        <v>8</v>
      </c>
      <c r="C287" s="2" t="s">
        <v>62</v>
      </c>
      <c r="D287" s="2" t="s">
        <v>61</v>
      </c>
      <c r="E287" s="3">
        <v>45577</v>
      </c>
      <c r="F287" s="2" t="str">
        <f t="shared" si="4"/>
        <v>Oct</v>
      </c>
      <c r="G287" s="2">
        <v>468</v>
      </c>
      <c r="H287" s="2" t="s">
        <v>33</v>
      </c>
      <c r="I287" s="2">
        <v>260</v>
      </c>
      <c r="J287" s="2">
        <v>159</v>
      </c>
      <c r="K287" s="2">
        <v>7118125</v>
      </c>
      <c r="L287" s="2">
        <v>610560</v>
      </c>
      <c r="M287" s="2">
        <v>6507565</v>
      </c>
    </row>
    <row r="288" spans="1:13">
      <c r="A288" s="2" t="s">
        <v>363</v>
      </c>
      <c r="B288" s="2" t="s">
        <v>4</v>
      </c>
      <c r="C288" s="2" t="s">
        <v>58</v>
      </c>
      <c r="D288" s="2" t="s">
        <v>66</v>
      </c>
      <c r="E288" s="3">
        <v>45578</v>
      </c>
      <c r="F288" s="2" t="str">
        <f t="shared" si="4"/>
        <v>Oct</v>
      </c>
      <c r="G288" s="2">
        <v>189</v>
      </c>
      <c r="H288" s="2" t="s">
        <v>30</v>
      </c>
      <c r="I288" s="2">
        <v>500</v>
      </c>
      <c r="J288" s="2">
        <v>386</v>
      </c>
      <c r="K288" s="2">
        <v>3972504</v>
      </c>
      <c r="L288" s="2">
        <v>1887540</v>
      </c>
      <c r="M288" s="2">
        <v>2084964</v>
      </c>
    </row>
    <row r="289" spans="1:13">
      <c r="A289" s="2" t="s">
        <v>364</v>
      </c>
      <c r="B289" s="2" t="s">
        <v>54</v>
      </c>
      <c r="C289" s="2" t="s">
        <v>66</v>
      </c>
      <c r="D289" s="2" t="s">
        <v>58</v>
      </c>
      <c r="E289" s="3">
        <v>45579</v>
      </c>
      <c r="F289" s="2" t="str">
        <f t="shared" si="4"/>
        <v>Oct</v>
      </c>
      <c r="G289" s="2">
        <v>147</v>
      </c>
      <c r="H289" s="2" t="s">
        <v>31</v>
      </c>
      <c r="I289" s="2">
        <v>72</v>
      </c>
      <c r="J289" s="2">
        <v>63</v>
      </c>
      <c r="K289" s="2">
        <v>474434</v>
      </c>
      <c r="L289" s="2">
        <v>281610</v>
      </c>
      <c r="M289" s="2">
        <v>192824</v>
      </c>
    </row>
    <row r="290" spans="1:13">
      <c r="A290" s="2" t="s">
        <v>365</v>
      </c>
      <c r="B290" s="2" t="s">
        <v>42</v>
      </c>
      <c r="C290" s="2" t="s">
        <v>59</v>
      </c>
      <c r="D290" s="2" t="s">
        <v>66</v>
      </c>
      <c r="E290" s="3">
        <v>45580</v>
      </c>
      <c r="F290" s="2" t="str">
        <f t="shared" si="4"/>
        <v>Oct</v>
      </c>
      <c r="G290" s="2">
        <v>287</v>
      </c>
      <c r="H290" s="2" t="s">
        <v>28</v>
      </c>
      <c r="I290" s="2">
        <v>180</v>
      </c>
      <c r="J290" s="2">
        <v>136</v>
      </c>
      <c r="K290" s="2">
        <v>2343737</v>
      </c>
      <c r="L290" s="2">
        <v>798320</v>
      </c>
      <c r="M290" s="2">
        <v>1545417</v>
      </c>
    </row>
    <row r="291" spans="1:13">
      <c r="A291" s="2" t="s">
        <v>366</v>
      </c>
      <c r="B291" s="2" t="s">
        <v>55</v>
      </c>
      <c r="C291" s="2" t="s">
        <v>66</v>
      </c>
      <c r="D291" s="2" t="s">
        <v>59</v>
      </c>
      <c r="E291" s="3">
        <v>45581</v>
      </c>
      <c r="F291" s="2" t="str">
        <f t="shared" si="4"/>
        <v>Oct</v>
      </c>
      <c r="G291" s="2">
        <v>74</v>
      </c>
      <c r="H291" s="2" t="s">
        <v>32</v>
      </c>
      <c r="I291" s="2">
        <v>190</v>
      </c>
      <c r="J291" s="2">
        <v>167</v>
      </c>
      <c r="K291" s="2">
        <v>619369</v>
      </c>
      <c r="L291" s="2">
        <v>624580</v>
      </c>
      <c r="M291" s="2">
        <v>-5211</v>
      </c>
    </row>
    <row r="292" spans="1:13">
      <c r="A292" s="2" t="s">
        <v>367</v>
      </c>
      <c r="B292" s="2" t="s">
        <v>50</v>
      </c>
      <c r="C292" s="2" t="s">
        <v>61</v>
      </c>
      <c r="D292" s="2" t="s">
        <v>65</v>
      </c>
      <c r="E292" s="3">
        <v>45582</v>
      </c>
      <c r="F292" s="2" t="str">
        <f t="shared" si="4"/>
        <v>Oct</v>
      </c>
      <c r="G292" s="2">
        <v>126</v>
      </c>
      <c r="H292" s="2" t="s">
        <v>29</v>
      </c>
      <c r="I292" s="2">
        <v>200</v>
      </c>
      <c r="J292" s="2">
        <v>148</v>
      </c>
      <c r="K292" s="2">
        <v>1262088</v>
      </c>
      <c r="L292" s="2">
        <v>630480</v>
      </c>
      <c r="M292" s="2">
        <v>631608</v>
      </c>
    </row>
    <row r="293" spans="1:13">
      <c r="A293" s="2" t="s">
        <v>368</v>
      </c>
      <c r="B293" s="2" t="s">
        <v>11</v>
      </c>
      <c r="C293" s="2" t="s">
        <v>65</v>
      </c>
      <c r="D293" s="2" t="s">
        <v>61</v>
      </c>
      <c r="E293" s="3">
        <v>45583</v>
      </c>
      <c r="F293" s="2" t="str">
        <f t="shared" si="4"/>
        <v>Oct</v>
      </c>
      <c r="G293" s="2">
        <v>274</v>
      </c>
      <c r="H293" s="2" t="s">
        <v>33</v>
      </c>
      <c r="I293" s="2">
        <v>260</v>
      </c>
      <c r="J293" s="2">
        <v>210</v>
      </c>
      <c r="K293" s="2">
        <v>4163847</v>
      </c>
      <c r="L293" s="2">
        <v>1205400</v>
      </c>
      <c r="M293" s="2">
        <v>2958447</v>
      </c>
    </row>
    <row r="294" spans="1:13">
      <c r="A294" s="2" t="s">
        <v>369</v>
      </c>
      <c r="B294" s="2" t="s">
        <v>6</v>
      </c>
      <c r="C294" s="2" t="s">
        <v>59</v>
      </c>
      <c r="D294" s="2" t="s">
        <v>65</v>
      </c>
      <c r="E294" s="3">
        <v>45584</v>
      </c>
      <c r="F294" s="2" t="str">
        <f t="shared" si="4"/>
        <v>Oct</v>
      </c>
      <c r="G294" s="2">
        <v>461</v>
      </c>
      <c r="H294" s="2" t="s">
        <v>30</v>
      </c>
      <c r="I294" s="2">
        <v>500</v>
      </c>
      <c r="J294" s="2">
        <v>344</v>
      </c>
      <c r="K294" s="2">
        <v>8935463</v>
      </c>
      <c r="L294" s="2">
        <v>2617840</v>
      </c>
      <c r="M294" s="2">
        <v>6317623</v>
      </c>
    </row>
    <row r="295" spans="1:13">
      <c r="A295" s="2" t="s">
        <v>370</v>
      </c>
      <c r="B295" s="2" t="s">
        <v>53</v>
      </c>
      <c r="C295" s="2" t="s">
        <v>65</v>
      </c>
      <c r="D295" s="2" t="s">
        <v>59</v>
      </c>
      <c r="E295" s="3">
        <v>45585</v>
      </c>
      <c r="F295" s="2" t="str">
        <f t="shared" si="4"/>
        <v>Oct</v>
      </c>
      <c r="G295" s="2">
        <v>40</v>
      </c>
      <c r="H295" s="2" t="s">
        <v>31</v>
      </c>
      <c r="I295" s="2">
        <v>72</v>
      </c>
      <c r="J295" s="2">
        <v>67</v>
      </c>
      <c r="K295" s="2">
        <v>135590</v>
      </c>
      <c r="L295" s="2">
        <v>227800</v>
      </c>
      <c r="M295" s="2">
        <v>-92210</v>
      </c>
    </row>
    <row r="296" spans="1:13">
      <c r="A296" s="2" t="s">
        <v>371</v>
      </c>
      <c r="B296" s="2" t="s">
        <v>49</v>
      </c>
      <c r="C296" s="2" t="s">
        <v>61</v>
      </c>
      <c r="D296" s="2" t="s">
        <v>64</v>
      </c>
      <c r="E296" s="3">
        <v>45586</v>
      </c>
      <c r="F296" s="2" t="str">
        <f t="shared" si="4"/>
        <v>Oct</v>
      </c>
      <c r="G296" s="2">
        <v>193</v>
      </c>
      <c r="H296" s="2" t="s">
        <v>28</v>
      </c>
      <c r="I296" s="2">
        <v>180</v>
      </c>
      <c r="J296" s="2">
        <v>133</v>
      </c>
      <c r="K296" s="2">
        <v>1532267</v>
      </c>
      <c r="L296" s="2">
        <v>655690</v>
      </c>
      <c r="M296" s="2">
        <v>876577</v>
      </c>
    </row>
    <row r="297" spans="1:13">
      <c r="A297" s="2" t="s">
        <v>372</v>
      </c>
      <c r="B297" s="2" t="s">
        <v>52</v>
      </c>
      <c r="C297" s="2" t="s">
        <v>64</v>
      </c>
      <c r="D297" s="2" t="s">
        <v>61</v>
      </c>
      <c r="E297" s="3">
        <v>45587</v>
      </c>
      <c r="F297" s="2" t="str">
        <f t="shared" si="4"/>
        <v>Oct</v>
      </c>
      <c r="G297" s="2">
        <v>277</v>
      </c>
      <c r="H297" s="2" t="s">
        <v>32</v>
      </c>
      <c r="I297" s="2">
        <v>190</v>
      </c>
      <c r="J297" s="2">
        <v>152</v>
      </c>
      <c r="K297" s="2">
        <v>2495936</v>
      </c>
      <c r="L297" s="2">
        <v>877040</v>
      </c>
      <c r="M297" s="2">
        <v>1618896</v>
      </c>
    </row>
    <row r="298" spans="1:13">
      <c r="A298" s="2" t="s">
        <v>373</v>
      </c>
      <c r="B298" s="2" t="s">
        <v>37</v>
      </c>
      <c r="C298" s="2" t="s">
        <v>58</v>
      </c>
      <c r="D298" s="2" t="s">
        <v>62</v>
      </c>
      <c r="E298" s="3">
        <v>45588</v>
      </c>
      <c r="F298" s="2" t="str">
        <f t="shared" si="4"/>
        <v>Oct</v>
      </c>
      <c r="G298" s="2">
        <v>190</v>
      </c>
      <c r="H298" s="2" t="s">
        <v>29</v>
      </c>
      <c r="I298" s="2">
        <v>200</v>
      </c>
      <c r="J298" s="2">
        <v>170</v>
      </c>
      <c r="K298" s="2">
        <v>1838559</v>
      </c>
      <c r="L298" s="2">
        <v>833000</v>
      </c>
      <c r="M298" s="2">
        <v>1005559</v>
      </c>
    </row>
    <row r="299" spans="1:13">
      <c r="A299" s="2" t="s">
        <v>374</v>
      </c>
      <c r="B299" s="2" t="s">
        <v>7</v>
      </c>
      <c r="C299" s="2" t="s">
        <v>62</v>
      </c>
      <c r="D299" s="2" t="s">
        <v>58</v>
      </c>
      <c r="E299" s="3">
        <v>45589</v>
      </c>
      <c r="F299" s="2" t="str">
        <f t="shared" si="4"/>
        <v>Oct</v>
      </c>
      <c r="G299" s="2">
        <v>535</v>
      </c>
      <c r="H299" s="2" t="s">
        <v>33</v>
      </c>
      <c r="I299" s="2">
        <v>260</v>
      </c>
      <c r="J299" s="2">
        <v>239</v>
      </c>
      <c r="K299" s="2">
        <v>8490585</v>
      </c>
      <c r="L299" s="2">
        <v>1995650</v>
      </c>
      <c r="M299" s="2">
        <v>6494935</v>
      </c>
    </row>
    <row r="300" spans="1:13">
      <c r="A300" s="2" t="s">
        <v>375</v>
      </c>
      <c r="B300" s="2" t="s">
        <v>9</v>
      </c>
      <c r="C300" s="2" t="s">
        <v>63</v>
      </c>
      <c r="D300" s="2" t="s">
        <v>59</v>
      </c>
      <c r="E300" s="3">
        <v>45590</v>
      </c>
      <c r="F300" s="2" t="str">
        <f t="shared" si="4"/>
        <v>Oct</v>
      </c>
      <c r="G300" s="2">
        <v>472</v>
      </c>
      <c r="H300" s="2" t="s">
        <v>30</v>
      </c>
      <c r="I300" s="2">
        <v>500</v>
      </c>
      <c r="J300" s="2">
        <v>423</v>
      </c>
      <c r="K300" s="2">
        <v>8783993</v>
      </c>
      <c r="L300" s="2">
        <v>1632780</v>
      </c>
      <c r="M300" s="2">
        <v>7151213</v>
      </c>
    </row>
    <row r="301" spans="1:13">
      <c r="A301" s="2" t="s">
        <v>376</v>
      </c>
      <c r="B301" s="2" t="s">
        <v>41</v>
      </c>
      <c r="C301" s="2" t="s">
        <v>59</v>
      </c>
      <c r="D301" s="2" t="s">
        <v>63</v>
      </c>
      <c r="E301" s="3">
        <v>45591</v>
      </c>
      <c r="F301" s="2" t="str">
        <f t="shared" si="4"/>
        <v>Oct</v>
      </c>
      <c r="G301" s="2">
        <v>121</v>
      </c>
      <c r="H301" s="2" t="s">
        <v>31</v>
      </c>
      <c r="I301" s="2">
        <v>72</v>
      </c>
      <c r="J301" s="2">
        <v>52</v>
      </c>
      <c r="K301" s="2">
        <v>386987</v>
      </c>
      <c r="L301" s="2">
        <v>109460</v>
      </c>
      <c r="M301" s="2">
        <v>277527</v>
      </c>
    </row>
    <row r="302" spans="1:13">
      <c r="A302" s="2" t="s">
        <v>377</v>
      </c>
      <c r="B302" s="2" t="s">
        <v>39</v>
      </c>
      <c r="C302" s="2" t="s">
        <v>59</v>
      </c>
      <c r="D302" s="2" t="s">
        <v>61</v>
      </c>
      <c r="E302" s="3">
        <v>45592</v>
      </c>
      <c r="F302" s="2" t="str">
        <f t="shared" si="4"/>
        <v>Oct</v>
      </c>
      <c r="G302" s="2">
        <v>110</v>
      </c>
      <c r="H302" s="2" t="s">
        <v>28</v>
      </c>
      <c r="I302" s="2">
        <v>180</v>
      </c>
      <c r="J302" s="2">
        <v>154</v>
      </c>
      <c r="K302" s="2">
        <v>956448</v>
      </c>
      <c r="L302" s="2">
        <v>315700</v>
      </c>
      <c r="M302" s="2">
        <v>640748</v>
      </c>
    </row>
    <row r="303" spans="1:13">
      <c r="A303" s="2" t="s">
        <v>378</v>
      </c>
      <c r="B303" s="2" t="s">
        <v>46</v>
      </c>
      <c r="C303" s="2" t="s">
        <v>61</v>
      </c>
      <c r="D303" s="2" t="s">
        <v>59</v>
      </c>
      <c r="E303" s="3">
        <v>45593</v>
      </c>
      <c r="F303" s="2" t="str">
        <f t="shared" si="4"/>
        <v>Oct</v>
      </c>
      <c r="G303" s="2">
        <v>273</v>
      </c>
      <c r="H303" s="2" t="s">
        <v>32</v>
      </c>
      <c r="I303" s="2">
        <v>190</v>
      </c>
      <c r="J303" s="2">
        <v>174</v>
      </c>
      <c r="K303" s="2">
        <v>2271649</v>
      </c>
      <c r="L303" s="2">
        <v>498510</v>
      </c>
      <c r="M303" s="2">
        <v>1773139</v>
      </c>
    </row>
    <row r="304" spans="1:13">
      <c r="A304" s="2" t="s">
        <v>379</v>
      </c>
      <c r="B304" s="2" t="s">
        <v>45</v>
      </c>
      <c r="C304" s="2" t="s">
        <v>61</v>
      </c>
      <c r="D304" s="2" t="s">
        <v>58</v>
      </c>
      <c r="E304" s="3">
        <v>45594</v>
      </c>
      <c r="F304" s="2" t="str">
        <f t="shared" si="4"/>
        <v>Oct</v>
      </c>
      <c r="G304" s="2">
        <v>180</v>
      </c>
      <c r="H304" s="2" t="s">
        <v>29</v>
      </c>
      <c r="I304" s="2">
        <v>200</v>
      </c>
      <c r="J304" s="2">
        <v>188</v>
      </c>
      <c r="K304" s="2">
        <v>1825903</v>
      </c>
      <c r="L304" s="2">
        <v>451200</v>
      </c>
      <c r="M304" s="2">
        <v>1374703</v>
      </c>
    </row>
    <row r="305" spans="1:13">
      <c r="A305" s="2" t="s">
        <v>380</v>
      </c>
      <c r="B305" s="2" t="s">
        <v>3</v>
      </c>
      <c r="C305" s="2" t="s">
        <v>58</v>
      </c>
      <c r="D305" s="2" t="s">
        <v>61</v>
      </c>
      <c r="E305" s="3">
        <v>45595</v>
      </c>
      <c r="F305" s="2" t="str">
        <f t="shared" si="4"/>
        <v>Oct</v>
      </c>
      <c r="G305" s="2">
        <v>361</v>
      </c>
      <c r="H305" s="2" t="s">
        <v>33</v>
      </c>
      <c r="I305" s="2">
        <v>260</v>
      </c>
      <c r="J305" s="2">
        <v>232</v>
      </c>
      <c r="K305" s="2">
        <v>5233214</v>
      </c>
      <c r="L305" s="2">
        <v>766760</v>
      </c>
      <c r="M305" s="2">
        <v>4466454</v>
      </c>
    </row>
    <row r="306" spans="1:13">
      <c r="A306" s="2" t="s">
        <v>381</v>
      </c>
      <c r="B306" s="2" t="s">
        <v>5</v>
      </c>
      <c r="C306" s="2" t="s">
        <v>59</v>
      </c>
      <c r="D306" s="2" t="s">
        <v>58</v>
      </c>
      <c r="E306" s="3">
        <v>45596</v>
      </c>
      <c r="F306" s="2" t="str">
        <f t="shared" si="4"/>
        <v>Oct</v>
      </c>
      <c r="G306" s="2">
        <v>234</v>
      </c>
      <c r="H306" s="2" t="s">
        <v>30</v>
      </c>
      <c r="I306" s="2">
        <v>500</v>
      </c>
      <c r="J306" s="2">
        <v>339</v>
      </c>
      <c r="K306" s="2">
        <v>4780989</v>
      </c>
      <c r="L306" s="2">
        <v>905130</v>
      </c>
      <c r="M306" s="2">
        <v>3875859</v>
      </c>
    </row>
    <row r="307" spans="1:13">
      <c r="A307" s="2" t="s">
        <v>382</v>
      </c>
      <c r="B307" s="2" t="s">
        <v>36</v>
      </c>
      <c r="C307" s="2" t="s">
        <v>58</v>
      </c>
      <c r="D307" s="2" t="s">
        <v>59</v>
      </c>
      <c r="E307" s="3">
        <v>45597</v>
      </c>
      <c r="F307" s="2" t="str">
        <f t="shared" si="4"/>
        <v>Nov</v>
      </c>
      <c r="G307" s="2">
        <v>76</v>
      </c>
      <c r="H307" s="2" t="s">
        <v>31</v>
      </c>
      <c r="I307" s="2">
        <v>72</v>
      </c>
      <c r="J307" s="2">
        <v>44</v>
      </c>
      <c r="K307" s="2">
        <v>257232</v>
      </c>
      <c r="L307" s="2">
        <v>82720</v>
      </c>
      <c r="M307" s="2">
        <v>174512</v>
      </c>
    </row>
    <row r="308" spans="1:13">
      <c r="A308" s="2" t="s">
        <v>383</v>
      </c>
      <c r="B308" s="2" t="s">
        <v>38</v>
      </c>
      <c r="C308" s="2" t="s">
        <v>59</v>
      </c>
      <c r="D308" s="2" t="s">
        <v>60</v>
      </c>
      <c r="E308" s="3">
        <v>45598</v>
      </c>
      <c r="F308" s="2" t="str">
        <f t="shared" si="4"/>
        <v>Nov</v>
      </c>
      <c r="G308" s="2">
        <v>239</v>
      </c>
      <c r="H308" s="2" t="s">
        <v>28</v>
      </c>
      <c r="I308" s="2">
        <v>180</v>
      </c>
      <c r="J308" s="2">
        <v>157</v>
      </c>
      <c r="K308" s="2">
        <v>1951663</v>
      </c>
      <c r="L308" s="2">
        <v>423115</v>
      </c>
      <c r="M308" s="2">
        <v>1528548</v>
      </c>
    </row>
    <row r="309" spans="1:13">
      <c r="A309" s="2" t="s">
        <v>384</v>
      </c>
      <c r="B309" s="2" t="s">
        <v>44</v>
      </c>
      <c r="C309" s="2" t="s">
        <v>60</v>
      </c>
      <c r="D309" s="2" t="s">
        <v>59</v>
      </c>
      <c r="E309" s="3">
        <v>45599</v>
      </c>
      <c r="F309" s="2" t="str">
        <f t="shared" si="4"/>
        <v>Nov</v>
      </c>
      <c r="G309" s="2">
        <v>122</v>
      </c>
      <c r="H309" s="2" t="s">
        <v>32</v>
      </c>
      <c r="I309" s="2">
        <v>190</v>
      </c>
      <c r="J309" s="2">
        <v>141</v>
      </c>
      <c r="K309" s="2">
        <v>1177828</v>
      </c>
      <c r="L309" s="2">
        <v>297510</v>
      </c>
      <c r="M309" s="2">
        <v>880318</v>
      </c>
    </row>
    <row r="310" spans="1:13">
      <c r="A310" s="2" t="s">
        <v>385</v>
      </c>
      <c r="B310" s="2" t="s">
        <v>48</v>
      </c>
      <c r="C310" s="2" t="s">
        <v>61</v>
      </c>
      <c r="D310" s="2" t="s">
        <v>63</v>
      </c>
      <c r="E310" s="3">
        <v>45600</v>
      </c>
      <c r="F310" s="2" t="str">
        <f t="shared" si="4"/>
        <v>Nov</v>
      </c>
      <c r="G310" s="2">
        <v>373</v>
      </c>
      <c r="H310" s="2" t="s">
        <v>29</v>
      </c>
      <c r="I310" s="2">
        <v>200</v>
      </c>
      <c r="J310" s="2">
        <v>144</v>
      </c>
      <c r="K310" s="2">
        <v>3435035</v>
      </c>
      <c r="L310" s="2">
        <v>484560</v>
      </c>
      <c r="M310" s="2">
        <v>2950475</v>
      </c>
    </row>
    <row r="311" spans="1:13">
      <c r="A311" s="2" t="s">
        <v>386</v>
      </c>
      <c r="B311" s="2" t="s">
        <v>10</v>
      </c>
      <c r="C311" s="2" t="s">
        <v>63</v>
      </c>
      <c r="D311" s="2" t="s">
        <v>61</v>
      </c>
      <c r="E311" s="3">
        <v>45601</v>
      </c>
      <c r="F311" s="2" t="str">
        <f t="shared" si="4"/>
        <v>Nov</v>
      </c>
      <c r="G311" s="2">
        <v>526</v>
      </c>
      <c r="H311" s="2" t="s">
        <v>33</v>
      </c>
      <c r="I311" s="2">
        <v>260</v>
      </c>
      <c r="J311" s="2">
        <v>197</v>
      </c>
      <c r="K311" s="2">
        <v>7455426</v>
      </c>
      <c r="L311" s="2">
        <v>813610</v>
      </c>
      <c r="M311" s="2">
        <v>6641816</v>
      </c>
    </row>
    <row r="312" spans="1:13">
      <c r="A312" s="2" t="s">
        <v>387</v>
      </c>
      <c r="B312" s="2" t="s">
        <v>2</v>
      </c>
      <c r="C312" s="2" t="s">
        <v>58</v>
      </c>
      <c r="D312" s="2" t="s">
        <v>60</v>
      </c>
      <c r="E312" s="3">
        <v>45602</v>
      </c>
      <c r="F312" s="2" t="str">
        <f t="shared" si="4"/>
        <v>Nov</v>
      </c>
      <c r="G312" s="2">
        <v>543</v>
      </c>
      <c r="H312" s="2" t="s">
        <v>30</v>
      </c>
      <c r="I312" s="2">
        <v>500</v>
      </c>
      <c r="J312" s="2">
        <v>459</v>
      </c>
      <c r="K312" s="2">
        <v>10313147</v>
      </c>
      <c r="L312" s="2">
        <v>1934685</v>
      </c>
      <c r="M312" s="2">
        <v>8378462</v>
      </c>
    </row>
    <row r="313" spans="1:13">
      <c r="A313" s="2" t="s">
        <v>388</v>
      </c>
      <c r="B313" s="2" t="s">
        <v>43</v>
      </c>
      <c r="C313" s="2" t="s">
        <v>60</v>
      </c>
      <c r="D313" s="2" t="s">
        <v>58</v>
      </c>
      <c r="E313" s="3">
        <v>45603</v>
      </c>
      <c r="F313" s="2" t="str">
        <f t="shared" si="4"/>
        <v>Nov</v>
      </c>
      <c r="G313" s="2">
        <v>54</v>
      </c>
      <c r="H313" s="2" t="s">
        <v>31</v>
      </c>
      <c r="I313" s="2">
        <v>72</v>
      </c>
      <c r="J313" s="2">
        <v>55</v>
      </c>
      <c r="K313" s="2">
        <v>185935</v>
      </c>
      <c r="L313" s="2">
        <v>97350</v>
      </c>
      <c r="M313" s="2">
        <v>88585</v>
      </c>
    </row>
    <row r="314" spans="1:13">
      <c r="A314" s="2" t="s">
        <v>389</v>
      </c>
      <c r="B314" s="2" t="s">
        <v>40</v>
      </c>
      <c r="C314" s="2" t="s">
        <v>59</v>
      </c>
      <c r="D314" s="2" t="s">
        <v>62</v>
      </c>
      <c r="E314" s="3">
        <v>45604</v>
      </c>
      <c r="F314" s="2" t="str">
        <f t="shared" si="4"/>
        <v>Nov</v>
      </c>
      <c r="G314" s="2">
        <v>147</v>
      </c>
      <c r="H314" s="2" t="s">
        <v>28</v>
      </c>
      <c r="I314" s="2">
        <v>180</v>
      </c>
      <c r="J314" s="2">
        <v>127</v>
      </c>
      <c r="K314" s="2">
        <v>1241972</v>
      </c>
      <c r="L314" s="2">
        <v>567690</v>
      </c>
      <c r="M314" s="2">
        <v>674282</v>
      </c>
    </row>
    <row r="315" spans="1:13">
      <c r="A315" s="2" t="s">
        <v>390</v>
      </c>
      <c r="B315" s="2" t="s">
        <v>51</v>
      </c>
      <c r="C315" s="2" t="s">
        <v>62</v>
      </c>
      <c r="D315" s="2" t="s">
        <v>59</v>
      </c>
      <c r="E315" s="3">
        <v>45605</v>
      </c>
      <c r="F315" s="2" t="str">
        <f t="shared" si="4"/>
        <v>Nov</v>
      </c>
      <c r="G315" s="2">
        <v>209</v>
      </c>
      <c r="H315" s="2" t="s">
        <v>32</v>
      </c>
      <c r="I315" s="2">
        <v>190</v>
      </c>
      <c r="J315" s="2">
        <v>128</v>
      </c>
      <c r="K315" s="2">
        <v>1772910</v>
      </c>
      <c r="L315" s="2">
        <v>651520</v>
      </c>
      <c r="M315" s="2">
        <v>1121390</v>
      </c>
    </row>
    <row r="316" spans="1:13">
      <c r="A316" s="2" t="s">
        <v>391</v>
      </c>
      <c r="B316" s="2" t="s">
        <v>47</v>
      </c>
      <c r="C316" s="2" t="s">
        <v>61</v>
      </c>
      <c r="D316" s="2" t="s">
        <v>62</v>
      </c>
      <c r="E316" s="3">
        <v>45606</v>
      </c>
      <c r="F316" s="2" t="str">
        <f t="shared" si="4"/>
        <v>Nov</v>
      </c>
      <c r="G316" s="2">
        <v>128</v>
      </c>
      <c r="H316" s="2" t="s">
        <v>29</v>
      </c>
      <c r="I316" s="2">
        <v>200</v>
      </c>
      <c r="J316" s="2">
        <v>132</v>
      </c>
      <c r="K316" s="2">
        <v>1328132</v>
      </c>
      <c r="L316" s="2">
        <v>282480</v>
      </c>
      <c r="M316" s="2">
        <v>1045652</v>
      </c>
    </row>
    <row r="317" spans="1:13">
      <c r="A317" s="2" t="s">
        <v>392</v>
      </c>
      <c r="B317" s="2" t="s">
        <v>8</v>
      </c>
      <c r="C317" s="2" t="s">
        <v>62</v>
      </c>
      <c r="D317" s="2" t="s">
        <v>61</v>
      </c>
      <c r="E317" s="3">
        <v>45607</v>
      </c>
      <c r="F317" s="2" t="str">
        <f t="shared" si="4"/>
        <v>Nov</v>
      </c>
      <c r="G317" s="2">
        <v>356</v>
      </c>
      <c r="H317" s="2" t="s">
        <v>33</v>
      </c>
      <c r="I317" s="2">
        <v>260</v>
      </c>
      <c r="J317" s="2">
        <v>206</v>
      </c>
      <c r="K317" s="2">
        <v>5725154</v>
      </c>
      <c r="L317" s="2">
        <v>675680</v>
      </c>
      <c r="M317" s="2">
        <v>5049474</v>
      </c>
    </row>
    <row r="318" spans="1:13">
      <c r="A318" s="2" t="s">
        <v>393</v>
      </c>
      <c r="B318" s="2" t="s">
        <v>4</v>
      </c>
      <c r="C318" s="2" t="s">
        <v>58</v>
      </c>
      <c r="D318" s="2" t="s">
        <v>66</v>
      </c>
      <c r="E318" s="3">
        <v>45608</v>
      </c>
      <c r="F318" s="2" t="str">
        <f t="shared" si="4"/>
        <v>Nov</v>
      </c>
      <c r="G318" s="2">
        <v>242</v>
      </c>
      <c r="H318" s="2" t="s">
        <v>30</v>
      </c>
      <c r="I318" s="2">
        <v>500</v>
      </c>
      <c r="J318" s="2">
        <v>474</v>
      </c>
      <c r="K318" s="2">
        <v>4842124</v>
      </c>
      <c r="L318" s="2">
        <v>2569080</v>
      </c>
      <c r="M318" s="2">
        <v>2273044</v>
      </c>
    </row>
    <row r="319" spans="1:13">
      <c r="A319" s="2" t="s">
        <v>394</v>
      </c>
      <c r="B319" s="2" t="s">
        <v>54</v>
      </c>
      <c r="C319" s="2" t="s">
        <v>66</v>
      </c>
      <c r="D319" s="2" t="s">
        <v>58</v>
      </c>
      <c r="E319" s="3">
        <v>45609</v>
      </c>
      <c r="F319" s="2" t="str">
        <f t="shared" si="4"/>
        <v>Nov</v>
      </c>
      <c r="G319" s="2">
        <v>30</v>
      </c>
      <c r="H319" s="2" t="s">
        <v>31</v>
      </c>
      <c r="I319" s="2">
        <v>72</v>
      </c>
      <c r="J319" s="2">
        <v>51</v>
      </c>
      <c r="K319" s="2">
        <v>102843</v>
      </c>
      <c r="L319" s="2">
        <v>168300</v>
      </c>
      <c r="M319" s="2">
        <v>-65457</v>
      </c>
    </row>
    <row r="320" spans="1:13">
      <c r="A320" s="2" t="s">
        <v>395</v>
      </c>
      <c r="B320" s="2" t="s">
        <v>42</v>
      </c>
      <c r="C320" s="2" t="s">
        <v>59</v>
      </c>
      <c r="D320" s="2" t="s">
        <v>66</v>
      </c>
      <c r="E320" s="3">
        <v>45610</v>
      </c>
      <c r="F320" s="2" t="str">
        <f t="shared" si="4"/>
        <v>Nov</v>
      </c>
      <c r="G320" s="2">
        <v>238</v>
      </c>
      <c r="H320" s="2" t="s">
        <v>28</v>
      </c>
      <c r="I320" s="2">
        <v>180</v>
      </c>
      <c r="J320" s="2">
        <v>121</v>
      </c>
      <c r="K320" s="2">
        <v>2055579</v>
      </c>
      <c r="L320" s="2">
        <v>650980</v>
      </c>
      <c r="M320" s="2">
        <v>1404599</v>
      </c>
    </row>
    <row r="321" spans="1:13">
      <c r="A321" s="2" t="s">
        <v>396</v>
      </c>
      <c r="B321" s="2" t="s">
        <v>55</v>
      </c>
      <c r="C321" s="2" t="s">
        <v>66</v>
      </c>
      <c r="D321" s="2" t="s">
        <v>59</v>
      </c>
      <c r="E321" s="3">
        <v>45611</v>
      </c>
      <c r="F321" s="2" t="str">
        <f t="shared" si="4"/>
        <v>Nov</v>
      </c>
      <c r="G321" s="2">
        <v>91</v>
      </c>
      <c r="H321" s="2" t="s">
        <v>32</v>
      </c>
      <c r="I321" s="2">
        <v>190</v>
      </c>
      <c r="J321" s="2">
        <v>145</v>
      </c>
      <c r="K321" s="2">
        <v>839471</v>
      </c>
      <c r="L321" s="2">
        <v>566950</v>
      </c>
      <c r="M321" s="2">
        <v>272521</v>
      </c>
    </row>
    <row r="322" spans="1:13">
      <c r="A322" s="2" t="s">
        <v>397</v>
      </c>
      <c r="B322" s="2" t="s">
        <v>50</v>
      </c>
      <c r="C322" s="2" t="s">
        <v>61</v>
      </c>
      <c r="D322" s="2" t="s">
        <v>65</v>
      </c>
      <c r="E322" s="3">
        <v>45612</v>
      </c>
      <c r="F322" s="2" t="str">
        <f t="shared" si="4"/>
        <v>Nov</v>
      </c>
      <c r="G322" s="2">
        <v>365</v>
      </c>
      <c r="H322" s="2" t="s">
        <v>29</v>
      </c>
      <c r="I322" s="2">
        <v>200</v>
      </c>
      <c r="J322" s="2">
        <v>178</v>
      </c>
      <c r="K322" s="2">
        <v>3528149</v>
      </c>
      <c r="L322" s="2">
        <v>1183700</v>
      </c>
      <c r="M322" s="2">
        <v>2344449</v>
      </c>
    </row>
    <row r="323" spans="1:13">
      <c r="A323" s="2" t="s">
        <v>398</v>
      </c>
      <c r="B323" s="2" t="s">
        <v>11</v>
      </c>
      <c r="C323" s="2" t="s">
        <v>65</v>
      </c>
      <c r="D323" s="2" t="s">
        <v>61</v>
      </c>
      <c r="E323" s="3">
        <v>45613</v>
      </c>
      <c r="F323" s="2" t="str">
        <f t="shared" ref="F323:F386" si="5">TEXT(E323,"mmm")</f>
        <v>Nov</v>
      </c>
      <c r="G323" s="2">
        <v>436</v>
      </c>
      <c r="H323" s="2" t="s">
        <v>33</v>
      </c>
      <c r="I323" s="2">
        <v>260</v>
      </c>
      <c r="J323" s="2">
        <v>226</v>
      </c>
      <c r="K323" s="2">
        <v>6478901</v>
      </c>
      <c r="L323" s="2">
        <v>1663360</v>
      </c>
      <c r="M323" s="2">
        <v>4815541</v>
      </c>
    </row>
    <row r="324" spans="1:13">
      <c r="A324" s="2" t="s">
        <v>399</v>
      </c>
      <c r="B324" s="2" t="s">
        <v>6</v>
      </c>
      <c r="C324" s="2" t="s">
        <v>59</v>
      </c>
      <c r="D324" s="2" t="s">
        <v>65</v>
      </c>
      <c r="E324" s="3">
        <v>45614</v>
      </c>
      <c r="F324" s="2" t="str">
        <f t="shared" si="5"/>
        <v>Nov</v>
      </c>
      <c r="G324" s="2">
        <v>373</v>
      </c>
      <c r="H324" s="2" t="s">
        <v>30</v>
      </c>
      <c r="I324" s="2">
        <v>500</v>
      </c>
      <c r="J324" s="2">
        <v>393</v>
      </c>
      <c r="K324" s="2">
        <v>7431783</v>
      </c>
      <c r="L324" s="2">
        <v>2644890</v>
      </c>
      <c r="M324" s="2">
        <v>4786893</v>
      </c>
    </row>
    <row r="325" spans="1:13">
      <c r="A325" s="2" t="s">
        <v>400</v>
      </c>
      <c r="B325" s="2" t="s">
        <v>53</v>
      </c>
      <c r="C325" s="2" t="s">
        <v>65</v>
      </c>
      <c r="D325" s="2" t="s">
        <v>59</v>
      </c>
      <c r="E325" s="3">
        <v>45615</v>
      </c>
      <c r="F325" s="2" t="str">
        <f t="shared" si="5"/>
        <v>Nov</v>
      </c>
      <c r="G325" s="2">
        <v>123</v>
      </c>
      <c r="H325" s="2" t="s">
        <v>31</v>
      </c>
      <c r="I325" s="2">
        <v>72</v>
      </c>
      <c r="J325" s="2">
        <v>57</v>
      </c>
      <c r="K325" s="2">
        <v>400816</v>
      </c>
      <c r="L325" s="2">
        <v>241110</v>
      </c>
      <c r="M325" s="2">
        <v>159706</v>
      </c>
    </row>
    <row r="326" spans="1:13">
      <c r="A326" s="2" t="s">
        <v>401</v>
      </c>
      <c r="B326" s="2" t="s">
        <v>49</v>
      </c>
      <c r="C326" s="2" t="s">
        <v>61</v>
      </c>
      <c r="D326" s="2" t="s">
        <v>64</v>
      </c>
      <c r="E326" s="3">
        <v>45616</v>
      </c>
      <c r="F326" s="2" t="str">
        <f t="shared" si="5"/>
        <v>Nov</v>
      </c>
      <c r="G326" s="2">
        <v>188</v>
      </c>
      <c r="H326" s="2" t="s">
        <v>28</v>
      </c>
      <c r="I326" s="2">
        <v>180</v>
      </c>
      <c r="J326" s="2">
        <v>129</v>
      </c>
      <c r="K326" s="2">
        <v>1376311</v>
      </c>
      <c r="L326" s="2">
        <v>629520</v>
      </c>
      <c r="M326" s="2">
        <v>746791</v>
      </c>
    </row>
    <row r="327" spans="1:13">
      <c r="A327" s="2" t="s">
        <v>402</v>
      </c>
      <c r="B327" s="2" t="s">
        <v>52</v>
      </c>
      <c r="C327" s="2" t="s">
        <v>64</v>
      </c>
      <c r="D327" s="2" t="s">
        <v>61</v>
      </c>
      <c r="E327" s="3">
        <v>45617</v>
      </c>
      <c r="F327" s="2" t="str">
        <f t="shared" si="5"/>
        <v>Nov</v>
      </c>
      <c r="G327" s="2">
        <v>190</v>
      </c>
      <c r="H327" s="2" t="s">
        <v>32</v>
      </c>
      <c r="I327" s="2">
        <v>190</v>
      </c>
      <c r="J327" s="2">
        <v>138</v>
      </c>
      <c r="K327" s="2">
        <v>1631594</v>
      </c>
      <c r="L327" s="2">
        <v>676200</v>
      </c>
      <c r="M327" s="2">
        <v>955394</v>
      </c>
    </row>
    <row r="328" spans="1:13">
      <c r="A328" s="2" t="s">
        <v>403</v>
      </c>
      <c r="B328" s="2" t="s">
        <v>37</v>
      </c>
      <c r="C328" s="2" t="s">
        <v>58</v>
      </c>
      <c r="D328" s="2" t="s">
        <v>62</v>
      </c>
      <c r="E328" s="3">
        <v>45618</v>
      </c>
      <c r="F328" s="2" t="str">
        <f t="shared" si="5"/>
        <v>Nov</v>
      </c>
      <c r="G328" s="2">
        <v>241</v>
      </c>
      <c r="H328" s="2" t="s">
        <v>29</v>
      </c>
      <c r="I328" s="2">
        <v>200</v>
      </c>
      <c r="J328" s="2">
        <v>148</v>
      </c>
      <c r="K328" s="2">
        <v>2072174</v>
      </c>
      <c r="L328" s="2">
        <v>800680</v>
      </c>
      <c r="M328" s="2">
        <v>1271494</v>
      </c>
    </row>
    <row r="329" spans="1:13">
      <c r="A329" s="2" t="s">
        <v>404</v>
      </c>
      <c r="B329" s="2" t="s">
        <v>7</v>
      </c>
      <c r="C329" s="2" t="s">
        <v>62</v>
      </c>
      <c r="D329" s="2" t="s">
        <v>58</v>
      </c>
      <c r="E329" s="3">
        <v>45619</v>
      </c>
      <c r="F329" s="2" t="str">
        <f t="shared" si="5"/>
        <v>Nov</v>
      </c>
      <c r="G329" s="2">
        <v>467</v>
      </c>
      <c r="H329" s="2" t="s">
        <v>33</v>
      </c>
      <c r="I329" s="2">
        <v>260</v>
      </c>
      <c r="J329" s="2">
        <v>221</v>
      </c>
      <c r="K329" s="2">
        <v>7227652</v>
      </c>
      <c r="L329" s="2">
        <v>1695070</v>
      </c>
      <c r="M329" s="2">
        <v>5532582</v>
      </c>
    </row>
    <row r="330" spans="1:13">
      <c r="A330" s="2" t="s">
        <v>405</v>
      </c>
      <c r="B330" s="2" t="s">
        <v>9</v>
      </c>
      <c r="C330" s="2" t="s">
        <v>63</v>
      </c>
      <c r="D330" s="2" t="s">
        <v>59</v>
      </c>
      <c r="E330" s="3">
        <v>45620</v>
      </c>
      <c r="F330" s="2" t="str">
        <f t="shared" si="5"/>
        <v>Nov</v>
      </c>
      <c r="G330" s="2">
        <v>500</v>
      </c>
      <c r="H330" s="2" t="s">
        <v>30</v>
      </c>
      <c r="I330" s="2">
        <v>500</v>
      </c>
      <c r="J330" s="2">
        <v>396</v>
      </c>
      <c r="K330" s="2">
        <v>9507777</v>
      </c>
      <c r="L330" s="2">
        <v>1584000</v>
      </c>
      <c r="M330" s="2">
        <v>7923777</v>
      </c>
    </row>
    <row r="331" spans="1:13">
      <c r="A331" s="2" t="s">
        <v>406</v>
      </c>
      <c r="B331" s="2" t="s">
        <v>41</v>
      </c>
      <c r="C331" s="2" t="s">
        <v>59</v>
      </c>
      <c r="D331" s="2" t="s">
        <v>63</v>
      </c>
      <c r="E331" s="3">
        <v>45621</v>
      </c>
      <c r="F331" s="2" t="str">
        <f t="shared" si="5"/>
        <v>Nov</v>
      </c>
      <c r="G331" s="2">
        <v>116</v>
      </c>
      <c r="H331" s="2" t="s">
        <v>31</v>
      </c>
      <c r="I331" s="2">
        <v>72</v>
      </c>
      <c r="J331" s="2">
        <v>60</v>
      </c>
      <c r="K331" s="2">
        <v>367000</v>
      </c>
      <c r="L331" s="2">
        <v>124800</v>
      </c>
      <c r="M331" s="2">
        <v>242200</v>
      </c>
    </row>
    <row r="332" spans="1:13">
      <c r="A332" s="2" t="s">
        <v>407</v>
      </c>
      <c r="B332" s="2" t="s">
        <v>39</v>
      </c>
      <c r="C332" s="2" t="s">
        <v>59</v>
      </c>
      <c r="D332" s="2" t="s">
        <v>61</v>
      </c>
      <c r="E332" s="3">
        <v>45622</v>
      </c>
      <c r="F332" s="2" t="str">
        <f t="shared" si="5"/>
        <v>Nov</v>
      </c>
      <c r="G332" s="2">
        <v>113</v>
      </c>
      <c r="H332" s="2" t="s">
        <v>28</v>
      </c>
      <c r="I332" s="2">
        <v>180</v>
      </c>
      <c r="J332" s="2">
        <v>129</v>
      </c>
      <c r="K332" s="2">
        <v>916555</v>
      </c>
      <c r="L332" s="2">
        <v>266385</v>
      </c>
      <c r="M332" s="2">
        <v>650170</v>
      </c>
    </row>
    <row r="333" spans="1:13">
      <c r="A333" s="2" t="s">
        <v>408</v>
      </c>
      <c r="B333" s="2" t="s">
        <v>46</v>
      </c>
      <c r="C333" s="2" t="s">
        <v>61</v>
      </c>
      <c r="D333" s="2" t="s">
        <v>59</v>
      </c>
      <c r="E333" s="3">
        <v>45623</v>
      </c>
      <c r="F333" s="2" t="str">
        <f t="shared" si="5"/>
        <v>Nov</v>
      </c>
      <c r="G333" s="2">
        <v>110</v>
      </c>
      <c r="H333" s="2" t="s">
        <v>32</v>
      </c>
      <c r="I333" s="2">
        <v>190</v>
      </c>
      <c r="J333" s="2">
        <v>157</v>
      </c>
      <c r="K333" s="2">
        <v>938160</v>
      </c>
      <c r="L333" s="2">
        <v>321850</v>
      </c>
      <c r="M333" s="2">
        <v>616310</v>
      </c>
    </row>
    <row r="334" spans="1:13">
      <c r="A334" s="2" t="s">
        <v>409</v>
      </c>
      <c r="B334" s="2" t="s">
        <v>45</v>
      </c>
      <c r="C334" s="2" t="s">
        <v>61</v>
      </c>
      <c r="D334" s="2" t="s">
        <v>58</v>
      </c>
      <c r="E334" s="3">
        <v>45624</v>
      </c>
      <c r="F334" s="2" t="str">
        <f t="shared" si="5"/>
        <v>Nov</v>
      </c>
      <c r="G334" s="2">
        <v>370</v>
      </c>
      <c r="H334" s="2" t="s">
        <v>29</v>
      </c>
      <c r="I334" s="2">
        <v>200</v>
      </c>
      <c r="J334" s="2">
        <v>137</v>
      </c>
      <c r="K334" s="2">
        <v>3671253</v>
      </c>
      <c r="L334" s="2">
        <v>458950</v>
      </c>
      <c r="M334" s="2">
        <v>3212303</v>
      </c>
    </row>
    <row r="335" spans="1:13">
      <c r="A335" s="2" t="s">
        <v>410</v>
      </c>
      <c r="B335" s="2" t="s">
        <v>3</v>
      </c>
      <c r="C335" s="2" t="s">
        <v>58</v>
      </c>
      <c r="D335" s="2" t="s">
        <v>61</v>
      </c>
      <c r="E335" s="3">
        <v>45625</v>
      </c>
      <c r="F335" s="2" t="str">
        <f t="shared" si="5"/>
        <v>Nov</v>
      </c>
      <c r="G335" s="2">
        <v>299</v>
      </c>
      <c r="H335" s="2" t="s">
        <v>33</v>
      </c>
      <c r="I335" s="2">
        <v>260</v>
      </c>
      <c r="J335" s="2">
        <v>229</v>
      </c>
      <c r="K335" s="2">
        <v>4899996</v>
      </c>
      <c r="L335" s="2">
        <v>685855</v>
      </c>
      <c r="M335" s="2">
        <v>4214141</v>
      </c>
    </row>
    <row r="336" spans="1:13">
      <c r="A336" s="2" t="s">
        <v>411</v>
      </c>
      <c r="B336" s="2" t="s">
        <v>5</v>
      </c>
      <c r="C336" s="2" t="s">
        <v>59</v>
      </c>
      <c r="D336" s="2" t="s">
        <v>58</v>
      </c>
      <c r="E336" s="3">
        <v>45626</v>
      </c>
      <c r="F336" s="2" t="str">
        <f t="shared" si="5"/>
        <v>Nov</v>
      </c>
      <c r="G336" s="2">
        <v>344</v>
      </c>
      <c r="H336" s="2" t="s">
        <v>30</v>
      </c>
      <c r="I336" s="2">
        <v>500</v>
      </c>
      <c r="J336" s="2">
        <v>324</v>
      </c>
      <c r="K336" s="2">
        <v>6751195</v>
      </c>
      <c r="L336" s="2">
        <v>1043280</v>
      </c>
      <c r="M336" s="2">
        <v>5707915</v>
      </c>
    </row>
    <row r="337" spans="1:13">
      <c r="A337" s="2" t="s">
        <v>412</v>
      </c>
      <c r="B337" s="2" t="s">
        <v>36</v>
      </c>
      <c r="C337" s="2" t="s">
        <v>58</v>
      </c>
      <c r="D337" s="2" t="s">
        <v>59</v>
      </c>
      <c r="E337" s="3">
        <v>45627</v>
      </c>
      <c r="F337" s="2" t="str">
        <f t="shared" si="5"/>
        <v>Dec</v>
      </c>
      <c r="G337" s="2">
        <v>84</v>
      </c>
      <c r="H337" s="2" t="s">
        <v>31</v>
      </c>
      <c r="I337" s="2">
        <v>72</v>
      </c>
      <c r="J337" s="2">
        <v>65</v>
      </c>
      <c r="K337" s="2">
        <v>265364</v>
      </c>
      <c r="L337" s="2">
        <v>124800</v>
      </c>
      <c r="M337" s="2">
        <v>140564</v>
      </c>
    </row>
    <row r="338" spans="1:13">
      <c r="A338" s="2" t="s">
        <v>413</v>
      </c>
      <c r="B338" s="2" t="s">
        <v>38</v>
      </c>
      <c r="C338" s="2" t="s">
        <v>59</v>
      </c>
      <c r="D338" s="2" t="s">
        <v>60</v>
      </c>
      <c r="E338" s="3">
        <v>45628</v>
      </c>
      <c r="F338" s="2" t="str">
        <f t="shared" si="5"/>
        <v>Dec</v>
      </c>
      <c r="G338" s="2">
        <v>66</v>
      </c>
      <c r="H338" s="2" t="s">
        <v>28</v>
      </c>
      <c r="I338" s="2">
        <v>180</v>
      </c>
      <c r="J338" s="2">
        <v>154</v>
      </c>
      <c r="K338" s="2">
        <v>564762</v>
      </c>
      <c r="L338" s="2">
        <v>281820</v>
      </c>
      <c r="M338" s="2">
        <v>282942</v>
      </c>
    </row>
    <row r="339" spans="1:13">
      <c r="A339" s="2" t="s">
        <v>414</v>
      </c>
      <c r="B339" s="2" t="s">
        <v>44</v>
      </c>
      <c r="C339" s="2" t="s">
        <v>60</v>
      </c>
      <c r="D339" s="2" t="s">
        <v>59</v>
      </c>
      <c r="E339" s="3">
        <v>45629</v>
      </c>
      <c r="F339" s="2" t="str">
        <f t="shared" si="5"/>
        <v>Dec</v>
      </c>
      <c r="G339" s="2">
        <v>171</v>
      </c>
      <c r="H339" s="2" t="s">
        <v>32</v>
      </c>
      <c r="I339" s="2">
        <v>190</v>
      </c>
      <c r="J339" s="2">
        <v>126</v>
      </c>
      <c r="K339" s="2">
        <v>1564560</v>
      </c>
      <c r="L339" s="2">
        <v>296730</v>
      </c>
      <c r="M339" s="2">
        <v>1267830</v>
      </c>
    </row>
    <row r="340" spans="1:13">
      <c r="A340" s="2" t="s">
        <v>415</v>
      </c>
      <c r="B340" s="2" t="s">
        <v>48</v>
      </c>
      <c r="C340" s="2" t="s">
        <v>61</v>
      </c>
      <c r="D340" s="2" t="s">
        <v>63</v>
      </c>
      <c r="E340" s="3">
        <v>45630</v>
      </c>
      <c r="F340" s="2" t="str">
        <f t="shared" si="5"/>
        <v>Dec</v>
      </c>
      <c r="G340" s="2">
        <v>267</v>
      </c>
      <c r="H340" s="2" t="s">
        <v>29</v>
      </c>
      <c r="I340" s="2">
        <v>200</v>
      </c>
      <c r="J340" s="2">
        <v>169</v>
      </c>
      <c r="K340" s="2">
        <v>2744809</v>
      </c>
      <c r="L340" s="2">
        <v>479115</v>
      </c>
      <c r="M340" s="2">
        <v>2265694</v>
      </c>
    </row>
    <row r="341" spans="1:13">
      <c r="A341" s="2" t="s">
        <v>416</v>
      </c>
      <c r="B341" s="2" t="s">
        <v>10</v>
      </c>
      <c r="C341" s="2" t="s">
        <v>63</v>
      </c>
      <c r="D341" s="2" t="s">
        <v>61</v>
      </c>
      <c r="E341" s="3">
        <v>45631</v>
      </c>
      <c r="F341" s="2" t="str">
        <f t="shared" si="5"/>
        <v>Dec</v>
      </c>
      <c r="G341" s="2">
        <v>376</v>
      </c>
      <c r="H341" s="2" t="s">
        <v>33</v>
      </c>
      <c r="I341" s="2">
        <v>260</v>
      </c>
      <c r="J341" s="2">
        <v>187</v>
      </c>
      <c r="K341" s="2">
        <v>5368629</v>
      </c>
      <c r="L341" s="2">
        <v>632060</v>
      </c>
      <c r="M341" s="2">
        <v>4736569</v>
      </c>
    </row>
    <row r="342" spans="1:13">
      <c r="A342" s="2" t="s">
        <v>417</v>
      </c>
      <c r="B342" s="2" t="s">
        <v>2</v>
      </c>
      <c r="C342" s="2" t="s">
        <v>58</v>
      </c>
      <c r="D342" s="2" t="s">
        <v>60</v>
      </c>
      <c r="E342" s="3">
        <v>45632</v>
      </c>
      <c r="F342" s="2" t="str">
        <f t="shared" si="5"/>
        <v>Dec</v>
      </c>
      <c r="G342" s="2">
        <v>374</v>
      </c>
      <c r="H342" s="2" t="s">
        <v>30</v>
      </c>
      <c r="I342" s="2">
        <v>500</v>
      </c>
      <c r="J342" s="2">
        <v>403</v>
      </c>
      <c r="K342" s="2">
        <v>7133023</v>
      </c>
      <c r="L342" s="2">
        <v>1358110</v>
      </c>
      <c r="M342" s="2">
        <v>5774913</v>
      </c>
    </row>
    <row r="343" spans="1:13">
      <c r="A343" s="2" t="s">
        <v>418</v>
      </c>
      <c r="B343" s="2" t="s">
        <v>43</v>
      </c>
      <c r="C343" s="2" t="s">
        <v>60</v>
      </c>
      <c r="D343" s="2" t="s">
        <v>58</v>
      </c>
      <c r="E343" s="3">
        <v>45633</v>
      </c>
      <c r="F343" s="2" t="str">
        <f t="shared" si="5"/>
        <v>Dec</v>
      </c>
      <c r="G343" s="2">
        <v>34</v>
      </c>
      <c r="H343" s="2" t="s">
        <v>31</v>
      </c>
      <c r="I343" s="2">
        <v>72</v>
      </c>
      <c r="J343" s="2">
        <v>51</v>
      </c>
      <c r="K343" s="2">
        <v>125517</v>
      </c>
      <c r="L343" s="2">
        <v>85170</v>
      </c>
      <c r="M343" s="2">
        <v>40347</v>
      </c>
    </row>
    <row r="344" spans="1:13">
      <c r="A344" s="2" t="s">
        <v>419</v>
      </c>
      <c r="B344" s="2" t="s">
        <v>40</v>
      </c>
      <c r="C344" s="2" t="s">
        <v>59</v>
      </c>
      <c r="D344" s="2" t="s">
        <v>62</v>
      </c>
      <c r="E344" s="3">
        <v>45634</v>
      </c>
      <c r="F344" s="2" t="str">
        <f t="shared" si="5"/>
        <v>Dec</v>
      </c>
      <c r="G344" s="2">
        <v>196</v>
      </c>
      <c r="H344" s="2" t="s">
        <v>28</v>
      </c>
      <c r="I344" s="2">
        <v>180</v>
      </c>
      <c r="J344" s="2">
        <v>135</v>
      </c>
      <c r="K344" s="2">
        <v>1503544</v>
      </c>
      <c r="L344" s="2">
        <v>669600</v>
      </c>
      <c r="M344" s="2">
        <v>833944</v>
      </c>
    </row>
    <row r="345" spans="1:13">
      <c r="A345" s="2" t="s">
        <v>420</v>
      </c>
      <c r="B345" s="2" t="s">
        <v>51</v>
      </c>
      <c r="C345" s="2" t="s">
        <v>62</v>
      </c>
      <c r="D345" s="2" t="s">
        <v>59</v>
      </c>
      <c r="E345" s="3">
        <v>45635</v>
      </c>
      <c r="F345" s="2" t="str">
        <f t="shared" si="5"/>
        <v>Dec</v>
      </c>
      <c r="G345" s="2">
        <v>339</v>
      </c>
      <c r="H345" s="2" t="s">
        <v>32</v>
      </c>
      <c r="I345" s="2">
        <v>190</v>
      </c>
      <c r="J345" s="2">
        <v>121</v>
      </c>
      <c r="K345" s="2">
        <v>3091136</v>
      </c>
      <c r="L345" s="2">
        <v>773190</v>
      </c>
      <c r="M345" s="2">
        <v>2317946</v>
      </c>
    </row>
    <row r="346" spans="1:13">
      <c r="A346" s="2" t="s">
        <v>421</v>
      </c>
      <c r="B346" s="2" t="s">
        <v>47</v>
      </c>
      <c r="C346" s="2" t="s">
        <v>61</v>
      </c>
      <c r="D346" s="2" t="s">
        <v>62</v>
      </c>
      <c r="E346" s="3">
        <v>45636</v>
      </c>
      <c r="F346" s="2" t="str">
        <f t="shared" si="5"/>
        <v>Dec</v>
      </c>
      <c r="G346" s="2">
        <v>138</v>
      </c>
      <c r="H346" s="2" t="s">
        <v>29</v>
      </c>
      <c r="I346" s="2">
        <v>200</v>
      </c>
      <c r="J346" s="2">
        <v>182</v>
      </c>
      <c r="K346" s="2">
        <v>1389622</v>
      </c>
      <c r="L346" s="2">
        <v>398580</v>
      </c>
      <c r="M346" s="2">
        <v>991042</v>
      </c>
    </row>
    <row r="347" spans="1:13">
      <c r="A347" s="2" t="s">
        <v>422</v>
      </c>
      <c r="B347" s="2" t="s">
        <v>8</v>
      </c>
      <c r="C347" s="2" t="s">
        <v>62</v>
      </c>
      <c r="D347" s="2" t="s">
        <v>61</v>
      </c>
      <c r="E347" s="3">
        <v>45637</v>
      </c>
      <c r="F347" s="2" t="str">
        <f t="shared" si="5"/>
        <v>Dec</v>
      </c>
      <c r="G347" s="2">
        <v>388</v>
      </c>
      <c r="H347" s="2" t="s">
        <v>33</v>
      </c>
      <c r="I347" s="2">
        <v>260</v>
      </c>
      <c r="J347" s="2">
        <v>200</v>
      </c>
      <c r="K347" s="2">
        <v>5834500</v>
      </c>
      <c r="L347" s="2">
        <v>688000</v>
      </c>
      <c r="M347" s="2">
        <v>5146500</v>
      </c>
    </row>
    <row r="348" spans="1:13">
      <c r="A348" s="2" t="s">
        <v>423</v>
      </c>
      <c r="B348" s="2" t="s">
        <v>4</v>
      </c>
      <c r="C348" s="2" t="s">
        <v>58</v>
      </c>
      <c r="D348" s="2" t="s">
        <v>66</v>
      </c>
      <c r="E348" s="3">
        <v>45638</v>
      </c>
      <c r="F348" s="2" t="str">
        <f t="shared" si="5"/>
        <v>Dec</v>
      </c>
      <c r="G348" s="2">
        <v>188</v>
      </c>
      <c r="H348" s="2" t="s">
        <v>30</v>
      </c>
      <c r="I348" s="2">
        <v>500</v>
      </c>
      <c r="J348" s="2">
        <v>394</v>
      </c>
      <c r="K348" s="2">
        <v>3860375</v>
      </c>
      <c r="L348" s="2">
        <v>1922720</v>
      </c>
      <c r="M348" s="2">
        <v>1937655</v>
      </c>
    </row>
    <row r="349" spans="1:13">
      <c r="A349" s="2" t="s">
        <v>424</v>
      </c>
      <c r="B349" s="2" t="s">
        <v>54</v>
      </c>
      <c r="C349" s="2" t="s">
        <v>66</v>
      </c>
      <c r="D349" s="2" t="s">
        <v>58</v>
      </c>
      <c r="E349" s="3">
        <v>45639</v>
      </c>
      <c r="F349" s="2" t="str">
        <f t="shared" si="5"/>
        <v>Dec</v>
      </c>
      <c r="G349" s="2">
        <v>132</v>
      </c>
      <c r="H349" s="2" t="s">
        <v>31</v>
      </c>
      <c r="I349" s="2">
        <v>72</v>
      </c>
      <c r="J349" s="2">
        <v>48</v>
      </c>
      <c r="K349" s="2">
        <v>475403</v>
      </c>
      <c r="L349" s="2">
        <v>207360</v>
      </c>
      <c r="M349" s="2">
        <v>268043</v>
      </c>
    </row>
    <row r="350" spans="1:13">
      <c r="A350" s="2" t="s">
        <v>425</v>
      </c>
      <c r="B350" s="2" t="s">
        <v>42</v>
      </c>
      <c r="C350" s="2" t="s">
        <v>59</v>
      </c>
      <c r="D350" s="2" t="s">
        <v>66</v>
      </c>
      <c r="E350" s="3">
        <v>45640</v>
      </c>
      <c r="F350" s="2" t="str">
        <f t="shared" si="5"/>
        <v>Dec</v>
      </c>
      <c r="G350" s="2">
        <v>297</v>
      </c>
      <c r="H350" s="2" t="s">
        <v>28</v>
      </c>
      <c r="I350" s="2">
        <v>180</v>
      </c>
      <c r="J350" s="2">
        <v>170</v>
      </c>
      <c r="K350" s="2">
        <v>2388207</v>
      </c>
      <c r="L350" s="2">
        <v>1014900</v>
      </c>
      <c r="M350" s="2">
        <v>1373307</v>
      </c>
    </row>
    <row r="351" spans="1:13">
      <c r="A351" s="2" t="s">
        <v>426</v>
      </c>
      <c r="B351" s="2" t="s">
        <v>55</v>
      </c>
      <c r="C351" s="2" t="s">
        <v>66</v>
      </c>
      <c r="D351" s="2" t="s">
        <v>59</v>
      </c>
      <c r="E351" s="3">
        <v>45641</v>
      </c>
      <c r="F351" s="2" t="str">
        <f t="shared" si="5"/>
        <v>Dec</v>
      </c>
      <c r="G351" s="2">
        <v>168</v>
      </c>
      <c r="H351" s="2" t="s">
        <v>32</v>
      </c>
      <c r="I351" s="2">
        <v>190</v>
      </c>
      <c r="J351" s="2">
        <v>159</v>
      </c>
      <c r="K351" s="2">
        <v>1567394</v>
      </c>
      <c r="L351" s="2">
        <v>744120</v>
      </c>
      <c r="M351" s="2">
        <v>823274</v>
      </c>
    </row>
    <row r="352" spans="1:13">
      <c r="A352" s="2" t="s">
        <v>427</v>
      </c>
      <c r="B352" s="2" t="s">
        <v>50</v>
      </c>
      <c r="C352" s="2" t="s">
        <v>61</v>
      </c>
      <c r="D352" s="2" t="s">
        <v>65</v>
      </c>
      <c r="E352" s="3">
        <v>45642</v>
      </c>
      <c r="F352" s="2" t="str">
        <f t="shared" si="5"/>
        <v>Dec</v>
      </c>
      <c r="G352" s="2">
        <v>225</v>
      </c>
      <c r="H352" s="2" t="s">
        <v>29</v>
      </c>
      <c r="I352" s="2">
        <v>200</v>
      </c>
      <c r="J352" s="2">
        <v>157</v>
      </c>
      <c r="K352" s="2">
        <v>2272185</v>
      </c>
      <c r="L352" s="2">
        <v>824250</v>
      </c>
      <c r="M352" s="2">
        <v>1447935</v>
      </c>
    </row>
    <row r="353" spans="1:13">
      <c r="A353" s="2" t="s">
        <v>428</v>
      </c>
      <c r="B353" s="2" t="s">
        <v>11</v>
      </c>
      <c r="C353" s="2" t="s">
        <v>65</v>
      </c>
      <c r="D353" s="2" t="s">
        <v>61</v>
      </c>
      <c r="E353" s="3">
        <v>45643</v>
      </c>
      <c r="F353" s="2" t="str">
        <f t="shared" si="5"/>
        <v>Dec</v>
      </c>
      <c r="G353" s="2">
        <v>220</v>
      </c>
      <c r="H353" s="2" t="s">
        <v>33</v>
      </c>
      <c r="I353" s="2">
        <v>260</v>
      </c>
      <c r="J353" s="2">
        <v>180</v>
      </c>
      <c r="K353" s="2">
        <v>3335757</v>
      </c>
      <c r="L353" s="2">
        <v>936000</v>
      </c>
      <c r="M353" s="2">
        <v>2399757</v>
      </c>
    </row>
    <row r="354" spans="1:13">
      <c r="A354" s="2" t="s">
        <v>429</v>
      </c>
      <c r="B354" s="2" t="s">
        <v>6</v>
      </c>
      <c r="C354" s="2" t="s">
        <v>59</v>
      </c>
      <c r="D354" s="2" t="s">
        <v>65</v>
      </c>
      <c r="E354" s="3">
        <v>45644</v>
      </c>
      <c r="F354" s="2" t="str">
        <f t="shared" si="5"/>
        <v>Dec</v>
      </c>
      <c r="G354" s="2">
        <v>332</v>
      </c>
      <c r="H354" s="2" t="s">
        <v>30</v>
      </c>
      <c r="I354" s="2">
        <v>500</v>
      </c>
      <c r="J354" s="2">
        <v>387</v>
      </c>
      <c r="K354" s="2">
        <v>6932429</v>
      </c>
      <c r="L354" s="2">
        <v>2445840</v>
      </c>
      <c r="M354" s="2">
        <v>4486589</v>
      </c>
    </row>
    <row r="355" spans="1:13">
      <c r="A355" s="2" t="s">
        <v>430</v>
      </c>
      <c r="B355" s="2" t="s">
        <v>53</v>
      </c>
      <c r="C355" s="2" t="s">
        <v>65</v>
      </c>
      <c r="D355" s="2" t="s">
        <v>59</v>
      </c>
      <c r="E355" s="3">
        <v>45645</v>
      </c>
      <c r="F355" s="2" t="str">
        <f t="shared" si="5"/>
        <v>Dec</v>
      </c>
      <c r="G355" s="2">
        <v>146</v>
      </c>
      <c r="H355" s="2" t="s">
        <v>31</v>
      </c>
      <c r="I355" s="2">
        <v>72</v>
      </c>
      <c r="J355" s="2">
        <v>43</v>
      </c>
      <c r="K355" s="2">
        <v>473889</v>
      </c>
      <c r="L355" s="2">
        <v>191780</v>
      </c>
      <c r="M355" s="2">
        <v>282109</v>
      </c>
    </row>
    <row r="356" spans="1:13">
      <c r="A356" s="2" t="s">
        <v>431</v>
      </c>
      <c r="B356" s="2" t="s">
        <v>49</v>
      </c>
      <c r="C356" s="2" t="s">
        <v>61</v>
      </c>
      <c r="D356" s="2" t="s">
        <v>64</v>
      </c>
      <c r="E356" s="3">
        <v>45646</v>
      </c>
      <c r="F356" s="2" t="str">
        <f t="shared" si="5"/>
        <v>Dec</v>
      </c>
      <c r="G356" s="2">
        <v>116</v>
      </c>
      <c r="H356" s="2" t="s">
        <v>28</v>
      </c>
      <c r="I356" s="2">
        <v>180</v>
      </c>
      <c r="J356" s="2">
        <v>124</v>
      </c>
      <c r="K356" s="2">
        <v>971093</v>
      </c>
      <c r="L356" s="2">
        <v>515840</v>
      </c>
      <c r="M356" s="2">
        <v>455253</v>
      </c>
    </row>
    <row r="357" spans="1:13">
      <c r="A357" s="2" t="s">
        <v>432</v>
      </c>
      <c r="B357" s="2" t="s">
        <v>52</v>
      </c>
      <c r="C357" s="2" t="s">
        <v>64</v>
      </c>
      <c r="D357" s="2" t="s">
        <v>61</v>
      </c>
      <c r="E357" s="3">
        <v>45647</v>
      </c>
      <c r="F357" s="2" t="str">
        <f t="shared" si="5"/>
        <v>Dec</v>
      </c>
      <c r="G357" s="2">
        <v>157</v>
      </c>
      <c r="H357" s="2" t="s">
        <v>32</v>
      </c>
      <c r="I357" s="2">
        <v>190</v>
      </c>
      <c r="J357" s="2">
        <v>153</v>
      </c>
      <c r="K357" s="2">
        <v>1459639</v>
      </c>
      <c r="L357" s="2">
        <v>699210</v>
      </c>
      <c r="M357" s="2">
        <v>760429</v>
      </c>
    </row>
    <row r="358" spans="1:13">
      <c r="A358" s="2" t="s">
        <v>433</v>
      </c>
      <c r="B358" s="2" t="s">
        <v>37</v>
      </c>
      <c r="C358" s="2" t="s">
        <v>58</v>
      </c>
      <c r="D358" s="2" t="s">
        <v>62</v>
      </c>
      <c r="E358" s="3">
        <v>45648</v>
      </c>
      <c r="F358" s="2" t="str">
        <f t="shared" si="5"/>
        <v>Dec</v>
      </c>
      <c r="G358" s="2">
        <v>252</v>
      </c>
      <c r="H358" s="2" t="s">
        <v>29</v>
      </c>
      <c r="I358" s="2">
        <v>200</v>
      </c>
      <c r="J358" s="2">
        <v>178</v>
      </c>
      <c r="K358" s="2">
        <v>2348217</v>
      </c>
      <c r="L358" s="2">
        <v>982560</v>
      </c>
      <c r="M358" s="2">
        <v>1365657</v>
      </c>
    </row>
    <row r="359" spans="1:13">
      <c r="A359" s="2" t="s">
        <v>434</v>
      </c>
      <c r="B359" s="2" t="s">
        <v>7</v>
      </c>
      <c r="C359" s="2" t="s">
        <v>62</v>
      </c>
      <c r="D359" s="2" t="s">
        <v>58</v>
      </c>
      <c r="E359" s="3">
        <v>45649</v>
      </c>
      <c r="F359" s="2" t="str">
        <f t="shared" si="5"/>
        <v>Dec</v>
      </c>
      <c r="G359" s="2">
        <v>369</v>
      </c>
      <c r="H359" s="2" t="s">
        <v>33</v>
      </c>
      <c r="I359" s="2">
        <v>260</v>
      </c>
      <c r="J359" s="2">
        <v>203</v>
      </c>
      <c r="K359" s="2">
        <v>5033491</v>
      </c>
      <c r="L359" s="2">
        <v>1358070</v>
      </c>
      <c r="M359" s="2">
        <v>3675421</v>
      </c>
    </row>
    <row r="360" spans="1:13">
      <c r="A360" s="2" t="s">
        <v>435</v>
      </c>
      <c r="B360" s="2" t="s">
        <v>9</v>
      </c>
      <c r="C360" s="2" t="s">
        <v>63</v>
      </c>
      <c r="D360" s="2" t="s">
        <v>59</v>
      </c>
      <c r="E360" s="3">
        <v>45650</v>
      </c>
      <c r="F360" s="2" t="str">
        <f t="shared" si="5"/>
        <v>Dec</v>
      </c>
      <c r="G360" s="2">
        <v>489</v>
      </c>
      <c r="H360" s="2" t="s">
        <v>30</v>
      </c>
      <c r="I360" s="2">
        <v>500</v>
      </c>
      <c r="J360" s="2">
        <v>429</v>
      </c>
      <c r="K360" s="2">
        <v>8963954</v>
      </c>
      <c r="L360" s="2">
        <v>1692405</v>
      </c>
      <c r="M360" s="2">
        <v>7271549</v>
      </c>
    </row>
    <row r="361" spans="1:13">
      <c r="A361" s="2" t="s">
        <v>436</v>
      </c>
      <c r="B361" s="2" t="s">
        <v>41</v>
      </c>
      <c r="C361" s="2" t="s">
        <v>59</v>
      </c>
      <c r="D361" s="2" t="s">
        <v>63</v>
      </c>
      <c r="E361" s="3">
        <v>45651</v>
      </c>
      <c r="F361" s="2" t="str">
        <f t="shared" si="5"/>
        <v>Dec</v>
      </c>
      <c r="G361" s="2">
        <v>65</v>
      </c>
      <c r="H361" s="2" t="s">
        <v>31</v>
      </c>
      <c r="I361" s="2">
        <v>72</v>
      </c>
      <c r="J361" s="2">
        <v>62</v>
      </c>
      <c r="K361" s="2">
        <v>207855</v>
      </c>
      <c r="L361" s="2">
        <v>113150</v>
      </c>
      <c r="M361" s="2">
        <v>94705</v>
      </c>
    </row>
    <row r="362" spans="1:13">
      <c r="A362" s="2" t="s">
        <v>437</v>
      </c>
      <c r="B362" s="2" t="s">
        <v>39</v>
      </c>
      <c r="C362" s="2" t="s">
        <v>59</v>
      </c>
      <c r="D362" s="2" t="s">
        <v>61</v>
      </c>
      <c r="E362" s="3">
        <v>45652</v>
      </c>
      <c r="F362" s="2" t="str">
        <f t="shared" si="5"/>
        <v>Dec</v>
      </c>
      <c r="G362" s="2">
        <v>70</v>
      </c>
      <c r="H362" s="2" t="s">
        <v>28</v>
      </c>
      <c r="I362" s="2">
        <v>180</v>
      </c>
      <c r="J362" s="2">
        <v>126</v>
      </c>
      <c r="K362" s="2">
        <v>543835</v>
      </c>
      <c r="L362" s="2">
        <v>233100</v>
      </c>
      <c r="M362" s="2">
        <v>310735</v>
      </c>
    </row>
    <row r="363" spans="1:13">
      <c r="A363" s="2" t="s">
        <v>438</v>
      </c>
      <c r="B363" s="2" t="s">
        <v>46</v>
      </c>
      <c r="C363" s="2" t="s">
        <v>61</v>
      </c>
      <c r="D363" s="2" t="s">
        <v>59</v>
      </c>
      <c r="E363" s="3">
        <v>45653</v>
      </c>
      <c r="F363" s="2" t="str">
        <f t="shared" si="5"/>
        <v>Dec</v>
      </c>
      <c r="G363" s="2">
        <v>172</v>
      </c>
      <c r="H363" s="2" t="s">
        <v>32</v>
      </c>
      <c r="I363" s="2">
        <v>190</v>
      </c>
      <c r="J363" s="2">
        <v>161</v>
      </c>
      <c r="K363" s="2">
        <v>1582181</v>
      </c>
      <c r="L363" s="2">
        <v>379960</v>
      </c>
      <c r="M363" s="2">
        <v>1202221</v>
      </c>
    </row>
    <row r="364" spans="1:13">
      <c r="A364" s="2" t="s">
        <v>439</v>
      </c>
      <c r="B364" s="2" t="s">
        <v>45</v>
      </c>
      <c r="C364" s="2" t="s">
        <v>61</v>
      </c>
      <c r="D364" s="2" t="s">
        <v>58</v>
      </c>
      <c r="E364" s="3">
        <v>45654</v>
      </c>
      <c r="F364" s="2" t="str">
        <f t="shared" si="5"/>
        <v>Dec</v>
      </c>
      <c r="G364" s="2">
        <v>389</v>
      </c>
      <c r="H364" s="2" t="s">
        <v>29</v>
      </c>
      <c r="I364" s="2">
        <v>200</v>
      </c>
      <c r="J364" s="2">
        <v>153</v>
      </c>
      <c r="K364" s="2">
        <v>3816469</v>
      </c>
      <c r="L364" s="2">
        <v>527085</v>
      </c>
      <c r="M364" s="2">
        <v>3289384</v>
      </c>
    </row>
    <row r="365" spans="1:13">
      <c r="A365" s="2" t="s">
        <v>440</v>
      </c>
      <c r="B365" s="2" t="s">
        <v>3</v>
      </c>
      <c r="C365" s="2" t="s">
        <v>58</v>
      </c>
      <c r="D365" s="2" t="s">
        <v>61</v>
      </c>
      <c r="E365" s="3">
        <v>45655</v>
      </c>
      <c r="F365" s="2" t="str">
        <f t="shared" si="5"/>
        <v>Dec</v>
      </c>
      <c r="G365" s="2">
        <v>425</v>
      </c>
      <c r="H365" s="2" t="s">
        <v>33</v>
      </c>
      <c r="I365" s="2">
        <v>260</v>
      </c>
      <c r="J365" s="2">
        <v>168</v>
      </c>
      <c r="K365" s="2">
        <v>6354287</v>
      </c>
      <c r="L365" s="2">
        <v>609000</v>
      </c>
      <c r="M365" s="2">
        <v>5745287</v>
      </c>
    </row>
    <row r="366" spans="1:13">
      <c r="A366" s="2" t="s">
        <v>441</v>
      </c>
      <c r="B366" s="2" t="s">
        <v>5</v>
      </c>
      <c r="C366" s="2" t="s">
        <v>59</v>
      </c>
      <c r="D366" s="2" t="s">
        <v>58</v>
      </c>
      <c r="E366" s="3">
        <v>45656</v>
      </c>
      <c r="F366" s="2" t="str">
        <f t="shared" si="5"/>
        <v>Dec</v>
      </c>
      <c r="G366" s="2">
        <v>429</v>
      </c>
      <c r="H366" s="2" t="s">
        <v>30</v>
      </c>
      <c r="I366" s="2">
        <v>500</v>
      </c>
      <c r="J366" s="2">
        <v>305</v>
      </c>
      <c r="K366" s="2">
        <v>8172045</v>
      </c>
      <c r="L366" s="2">
        <v>1111725</v>
      </c>
      <c r="M366" s="2">
        <v>7060320</v>
      </c>
    </row>
    <row r="367" spans="1:13">
      <c r="A367" s="2" t="s">
        <v>442</v>
      </c>
      <c r="B367" s="2" t="s">
        <v>36</v>
      </c>
      <c r="C367" s="2" t="s">
        <v>58</v>
      </c>
      <c r="D367" s="2" t="s">
        <v>59</v>
      </c>
      <c r="E367" s="3">
        <v>45292</v>
      </c>
      <c r="F367" s="2" t="str">
        <f t="shared" si="5"/>
        <v>Jan</v>
      </c>
      <c r="G367" s="2">
        <v>128</v>
      </c>
      <c r="H367" s="2" t="s">
        <v>31</v>
      </c>
      <c r="I367" s="2">
        <v>72</v>
      </c>
      <c r="J367" s="2">
        <v>64</v>
      </c>
      <c r="K367" s="2">
        <v>479038</v>
      </c>
      <c r="L367" s="2">
        <v>136960</v>
      </c>
      <c r="M367" s="2">
        <v>342078</v>
      </c>
    </row>
    <row r="368" spans="1:13">
      <c r="A368" s="2" t="s">
        <v>443</v>
      </c>
      <c r="B368" s="2" t="s">
        <v>38</v>
      </c>
      <c r="C368" s="2" t="s">
        <v>59</v>
      </c>
      <c r="D368" s="2" t="s">
        <v>60</v>
      </c>
      <c r="E368" s="3">
        <v>45293</v>
      </c>
      <c r="F368" s="2" t="str">
        <f t="shared" si="5"/>
        <v>Jan</v>
      </c>
      <c r="G368" s="2">
        <v>168</v>
      </c>
      <c r="H368" s="2" t="s">
        <v>28</v>
      </c>
      <c r="I368" s="2">
        <v>180</v>
      </c>
      <c r="J368" s="2">
        <v>117</v>
      </c>
      <c r="K368" s="2">
        <v>1377151</v>
      </c>
      <c r="L368" s="2">
        <v>273780</v>
      </c>
      <c r="M368" s="2">
        <v>1103371</v>
      </c>
    </row>
    <row r="369" spans="1:13">
      <c r="A369" s="2" t="s">
        <v>444</v>
      </c>
      <c r="B369" s="2" t="s">
        <v>44</v>
      </c>
      <c r="C369" s="2" t="s">
        <v>60</v>
      </c>
      <c r="D369" s="2" t="s">
        <v>59</v>
      </c>
      <c r="E369" s="3">
        <v>45294</v>
      </c>
      <c r="F369" s="2" t="str">
        <f t="shared" si="5"/>
        <v>Jan</v>
      </c>
      <c r="G369" s="2">
        <v>132</v>
      </c>
      <c r="H369" s="2" t="s">
        <v>32</v>
      </c>
      <c r="I369" s="2">
        <v>190</v>
      </c>
      <c r="J369" s="2">
        <v>118</v>
      </c>
      <c r="K369" s="2">
        <v>1242217</v>
      </c>
      <c r="L369" s="2">
        <v>254880</v>
      </c>
      <c r="M369" s="2">
        <v>987337</v>
      </c>
    </row>
    <row r="370" spans="1:13">
      <c r="A370" s="2" t="s">
        <v>445</v>
      </c>
      <c r="B370" s="2" t="s">
        <v>48</v>
      </c>
      <c r="C370" s="2" t="s">
        <v>61</v>
      </c>
      <c r="D370" s="2" t="s">
        <v>63</v>
      </c>
      <c r="E370" s="3">
        <v>45295</v>
      </c>
      <c r="F370" s="2" t="str">
        <f t="shared" si="5"/>
        <v>Jan</v>
      </c>
      <c r="G370" s="2">
        <v>296</v>
      </c>
      <c r="H370" s="2" t="s">
        <v>29</v>
      </c>
      <c r="I370" s="2">
        <v>200</v>
      </c>
      <c r="J370" s="2">
        <v>169</v>
      </c>
      <c r="K370" s="2">
        <v>2867276</v>
      </c>
      <c r="L370" s="2">
        <v>503620</v>
      </c>
      <c r="M370" s="2">
        <v>2363656</v>
      </c>
    </row>
    <row r="371" spans="1:13">
      <c r="A371" s="2" t="s">
        <v>446</v>
      </c>
      <c r="B371" s="2" t="s">
        <v>10</v>
      </c>
      <c r="C371" s="2" t="s">
        <v>63</v>
      </c>
      <c r="D371" s="2" t="s">
        <v>61</v>
      </c>
      <c r="E371" s="3">
        <v>45296</v>
      </c>
      <c r="F371" s="2" t="str">
        <f t="shared" si="5"/>
        <v>Jan</v>
      </c>
      <c r="G371" s="2">
        <v>204</v>
      </c>
      <c r="H371" s="2" t="s">
        <v>33</v>
      </c>
      <c r="I371" s="2">
        <v>260</v>
      </c>
      <c r="J371" s="2">
        <v>178</v>
      </c>
      <c r="K371" s="2">
        <v>3255290</v>
      </c>
      <c r="L371" s="2">
        <v>448560</v>
      </c>
      <c r="M371" s="2">
        <v>2806730</v>
      </c>
    </row>
    <row r="372" spans="1:13">
      <c r="A372" s="2" t="s">
        <v>447</v>
      </c>
      <c r="B372" s="2" t="s">
        <v>2</v>
      </c>
      <c r="C372" s="2" t="s">
        <v>58</v>
      </c>
      <c r="D372" s="2" t="s">
        <v>60</v>
      </c>
      <c r="E372" s="3">
        <v>45297</v>
      </c>
      <c r="F372" s="2" t="str">
        <f t="shared" si="5"/>
        <v>Jan</v>
      </c>
      <c r="G372" s="2">
        <v>408</v>
      </c>
      <c r="H372" s="2" t="s">
        <v>30</v>
      </c>
      <c r="I372" s="2">
        <v>500</v>
      </c>
      <c r="J372" s="2">
        <v>300</v>
      </c>
      <c r="K372" s="2">
        <v>8923285</v>
      </c>
      <c r="L372" s="2">
        <v>1062000</v>
      </c>
      <c r="M372" s="2">
        <v>7861285</v>
      </c>
    </row>
    <row r="373" spans="1:13">
      <c r="A373" s="2" t="s">
        <v>448</v>
      </c>
      <c r="B373" s="2" t="s">
        <v>43</v>
      </c>
      <c r="C373" s="2" t="s">
        <v>60</v>
      </c>
      <c r="D373" s="2" t="s">
        <v>58</v>
      </c>
      <c r="E373" s="3">
        <v>45298</v>
      </c>
      <c r="F373" s="2" t="str">
        <f t="shared" si="5"/>
        <v>Jan</v>
      </c>
      <c r="G373" s="2">
        <v>131</v>
      </c>
      <c r="H373" s="2" t="s">
        <v>31</v>
      </c>
      <c r="I373" s="2">
        <v>72</v>
      </c>
      <c r="J373" s="2">
        <v>58</v>
      </c>
      <c r="K373" s="2">
        <v>445751</v>
      </c>
      <c r="L373" s="2">
        <v>124990</v>
      </c>
      <c r="M373" s="2">
        <v>320761</v>
      </c>
    </row>
    <row r="374" spans="1:13">
      <c r="A374" s="2" t="s">
        <v>449</v>
      </c>
      <c r="B374" s="2" t="s">
        <v>40</v>
      </c>
      <c r="C374" s="2" t="s">
        <v>59</v>
      </c>
      <c r="D374" s="2" t="s">
        <v>62</v>
      </c>
      <c r="E374" s="3">
        <v>45299</v>
      </c>
      <c r="F374" s="2" t="str">
        <f t="shared" si="5"/>
        <v>Jan</v>
      </c>
      <c r="G374" s="2">
        <v>103</v>
      </c>
      <c r="H374" s="2" t="s">
        <v>28</v>
      </c>
      <c r="I374" s="2">
        <v>180</v>
      </c>
      <c r="J374" s="2">
        <v>158</v>
      </c>
      <c r="K374" s="2">
        <v>900153</v>
      </c>
      <c r="L374" s="2">
        <v>636740</v>
      </c>
      <c r="M374" s="2">
        <v>263413</v>
      </c>
    </row>
    <row r="375" spans="1:13">
      <c r="A375" s="2" t="s">
        <v>450</v>
      </c>
      <c r="B375" s="2" t="s">
        <v>51</v>
      </c>
      <c r="C375" s="2" t="s">
        <v>62</v>
      </c>
      <c r="D375" s="2" t="s">
        <v>59</v>
      </c>
      <c r="E375" s="3">
        <v>45300</v>
      </c>
      <c r="F375" s="2" t="str">
        <f t="shared" si="5"/>
        <v>Jan</v>
      </c>
      <c r="G375" s="2">
        <v>76</v>
      </c>
      <c r="H375" s="2" t="s">
        <v>32</v>
      </c>
      <c r="I375" s="2">
        <v>190</v>
      </c>
      <c r="J375" s="2">
        <v>177</v>
      </c>
      <c r="K375" s="2">
        <v>676613</v>
      </c>
      <c r="L375" s="2">
        <v>665520</v>
      </c>
      <c r="M375" s="2">
        <v>11093</v>
      </c>
    </row>
    <row r="376" spans="1:13">
      <c r="A376" s="2" t="s">
        <v>451</v>
      </c>
      <c r="B376" s="2" t="s">
        <v>47</v>
      </c>
      <c r="C376" s="2" t="s">
        <v>61</v>
      </c>
      <c r="D376" s="2" t="s">
        <v>62</v>
      </c>
      <c r="E376" s="3">
        <v>45301</v>
      </c>
      <c r="F376" s="2" t="str">
        <f t="shared" si="5"/>
        <v>Jan</v>
      </c>
      <c r="G376" s="2">
        <v>382</v>
      </c>
      <c r="H376" s="2" t="s">
        <v>29</v>
      </c>
      <c r="I376" s="2">
        <v>200</v>
      </c>
      <c r="J376" s="2">
        <v>126</v>
      </c>
      <c r="K376" s="2">
        <v>3961540</v>
      </c>
      <c r="L376" s="2">
        <v>429660</v>
      </c>
      <c r="M376" s="2">
        <v>3531880</v>
      </c>
    </row>
    <row r="377" spans="1:13">
      <c r="A377" s="2" t="s">
        <v>452</v>
      </c>
      <c r="B377" s="2" t="s">
        <v>8</v>
      </c>
      <c r="C377" s="2" t="s">
        <v>62</v>
      </c>
      <c r="D377" s="2" t="s">
        <v>61</v>
      </c>
      <c r="E377" s="3">
        <v>45302</v>
      </c>
      <c r="F377" s="2" t="str">
        <f t="shared" si="5"/>
        <v>Jan</v>
      </c>
      <c r="G377" s="2">
        <v>518</v>
      </c>
      <c r="H377" s="2" t="s">
        <v>33</v>
      </c>
      <c r="I377" s="2">
        <v>260</v>
      </c>
      <c r="J377" s="2">
        <v>222</v>
      </c>
      <c r="K377" s="2">
        <v>8246396</v>
      </c>
      <c r="L377" s="2">
        <v>907980</v>
      </c>
      <c r="M377" s="2">
        <v>7338416</v>
      </c>
    </row>
    <row r="378" spans="1:13">
      <c r="A378" s="2" t="s">
        <v>453</v>
      </c>
      <c r="B378" s="2" t="s">
        <v>4</v>
      </c>
      <c r="C378" s="2" t="s">
        <v>58</v>
      </c>
      <c r="D378" s="2" t="s">
        <v>66</v>
      </c>
      <c r="E378" s="3">
        <v>45303</v>
      </c>
      <c r="F378" s="2" t="str">
        <f t="shared" si="5"/>
        <v>Jan</v>
      </c>
      <c r="G378" s="2">
        <v>394</v>
      </c>
      <c r="H378" s="2" t="s">
        <v>30</v>
      </c>
      <c r="I378" s="2">
        <v>500</v>
      </c>
      <c r="J378" s="2">
        <v>426</v>
      </c>
      <c r="K378" s="2">
        <v>8096276</v>
      </c>
      <c r="L378" s="2">
        <v>2956440</v>
      </c>
      <c r="M378" s="2">
        <v>5139836</v>
      </c>
    </row>
    <row r="379" spans="1:13">
      <c r="A379" s="2" t="s">
        <v>454</v>
      </c>
      <c r="B379" s="2" t="s">
        <v>54</v>
      </c>
      <c r="C379" s="2" t="s">
        <v>66</v>
      </c>
      <c r="D379" s="2" t="s">
        <v>58</v>
      </c>
      <c r="E379" s="3">
        <v>45304</v>
      </c>
      <c r="F379" s="2" t="str">
        <f t="shared" si="5"/>
        <v>Jan</v>
      </c>
      <c r="G379" s="2">
        <v>101</v>
      </c>
      <c r="H379" s="2" t="s">
        <v>31</v>
      </c>
      <c r="I379" s="2">
        <v>72</v>
      </c>
      <c r="J379" s="2">
        <v>49</v>
      </c>
      <c r="K379" s="2">
        <v>352752</v>
      </c>
      <c r="L379" s="2">
        <v>196490</v>
      </c>
      <c r="M379" s="2">
        <v>156262</v>
      </c>
    </row>
    <row r="380" spans="1:13">
      <c r="A380" s="2" t="s">
        <v>455</v>
      </c>
      <c r="B380" s="2" t="s">
        <v>42</v>
      </c>
      <c r="C380" s="2" t="s">
        <v>59</v>
      </c>
      <c r="D380" s="2" t="s">
        <v>66</v>
      </c>
      <c r="E380" s="3">
        <v>45305</v>
      </c>
      <c r="F380" s="2" t="str">
        <f t="shared" si="5"/>
        <v>Jan</v>
      </c>
      <c r="G380" s="2">
        <v>202</v>
      </c>
      <c r="H380" s="2" t="s">
        <v>28</v>
      </c>
      <c r="I380" s="2">
        <v>180</v>
      </c>
      <c r="J380" s="2">
        <v>151</v>
      </c>
      <c r="K380" s="2">
        <v>1471075</v>
      </c>
      <c r="L380" s="2">
        <v>758020</v>
      </c>
      <c r="M380" s="2">
        <v>713055</v>
      </c>
    </row>
    <row r="381" spans="1:13">
      <c r="A381" s="2" t="s">
        <v>456</v>
      </c>
      <c r="B381" s="2" t="s">
        <v>55</v>
      </c>
      <c r="C381" s="2" t="s">
        <v>66</v>
      </c>
      <c r="D381" s="2" t="s">
        <v>59</v>
      </c>
      <c r="E381" s="3">
        <v>45306</v>
      </c>
      <c r="F381" s="2" t="str">
        <f t="shared" si="5"/>
        <v>Jan</v>
      </c>
      <c r="G381" s="2">
        <v>85</v>
      </c>
      <c r="H381" s="2" t="s">
        <v>32</v>
      </c>
      <c r="I381" s="2">
        <v>190</v>
      </c>
      <c r="J381" s="2">
        <v>116</v>
      </c>
      <c r="K381" s="2">
        <v>796453</v>
      </c>
      <c r="L381" s="2">
        <v>446600</v>
      </c>
      <c r="M381" s="2">
        <v>349853</v>
      </c>
    </row>
    <row r="382" spans="1:13">
      <c r="A382" s="2" t="s">
        <v>457</v>
      </c>
      <c r="B382" s="2" t="s">
        <v>50</v>
      </c>
      <c r="C382" s="2" t="s">
        <v>61</v>
      </c>
      <c r="D382" s="2" t="s">
        <v>65</v>
      </c>
      <c r="E382" s="3">
        <v>45307</v>
      </c>
      <c r="F382" s="2" t="str">
        <f t="shared" si="5"/>
        <v>Jan</v>
      </c>
      <c r="G382" s="2">
        <v>278</v>
      </c>
      <c r="H382" s="2" t="s">
        <v>29</v>
      </c>
      <c r="I382" s="2">
        <v>200</v>
      </c>
      <c r="J382" s="2">
        <v>189</v>
      </c>
      <c r="K382" s="2">
        <v>2670477</v>
      </c>
      <c r="L382" s="2">
        <v>1092420</v>
      </c>
      <c r="M382" s="2">
        <v>1578057</v>
      </c>
    </row>
    <row r="383" spans="1:13">
      <c r="A383" s="2" t="s">
        <v>458</v>
      </c>
      <c r="B383" s="2" t="s">
        <v>11</v>
      </c>
      <c r="C383" s="2" t="s">
        <v>65</v>
      </c>
      <c r="D383" s="2" t="s">
        <v>61</v>
      </c>
      <c r="E383" s="3">
        <v>45308</v>
      </c>
      <c r="F383" s="2" t="str">
        <f t="shared" si="5"/>
        <v>Jan</v>
      </c>
      <c r="G383" s="2">
        <v>265</v>
      </c>
      <c r="H383" s="2" t="s">
        <v>33</v>
      </c>
      <c r="I383" s="2">
        <v>260</v>
      </c>
      <c r="J383" s="2">
        <v>239</v>
      </c>
      <c r="K383" s="2">
        <v>3604487</v>
      </c>
      <c r="L383" s="2">
        <v>1350350</v>
      </c>
      <c r="M383" s="2">
        <v>2254137</v>
      </c>
    </row>
    <row r="384" spans="1:13">
      <c r="A384" s="2" t="s">
        <v>459</v>
      </c>
      <c r="B384" s="2" t="s">
        <v>6</v>
      </c>
      <c r="C384" s="2" t="s">
        <v>59</v>
      </c>
      <c r="D384" s="2" t="s">
        <v>65</v>
      </c>
      <c r="E384" s="3">
        <v>45309</v>
      </c>
      <c r="F384" s="2" t="str">
        <f t="shared" si="5"/>
        <v>Jan</v>
      </c>
      <c r="G384" s="2">
        <v>296</v>
      </c>
      <c r="H384" s="2" t="s">
        <v>30</v>
      </c>
      <c r="I384" s="2">
        <v>500</v>
      </c>
      <c r="J384" s="2">
        <v>427</v>
      </c>
      <c r="K384" s="2">
        <v>5556037</v>
      </c>
      <c r="L384" s="2">
        <v>2544920</v>
      </c>
      <c r="M384" s="2">
        <v>3011117</v>
      </c>
    </row>
    <row r="385" spans="1:13">
      <c r="A385" s="2" t="s">
        <v>460</v>
      </c>
      <c r="B385" s="2" t="s">
        <v>53</v>
      </c>
      <c r="C385" s="2" t="s">
        <v>65</v>
      </c>
      <c r="D385" s="2" t="s">
        <v>59</v>
      </c>
      <c r="E385" s="3">
        <v>45310</v>
      </c>
      <c r="F385" s="2" t="str">
        <f t="shared" si="5"/>
        <v>Jan</v>
      </c>
      <c r="G385" s="2">
        <v>101</v>
      </c>
      <c r="H385" s="2" t="s">
        <v>31</v>
      </c>
      <c r="I385" s="2">
        <v>72</v>
      </c>
      <c r="J385" s="2">
        <v>67</v>
      </c>
      <c r="K385" s="2">
        <v>384909</v>
      </c>
      <c r="L385" s="2">
        <v>268670</v>
      </c>
      <c r="M385" s="2">
        <v>116239</v>
      </c>
    </row>
    <row r="386" spans="1:13">
      <c r="A386" s="2" t="s">
        <v>461</v>
      </c>
      <c r="B386" s="2" t="s">
        <v>49</v>
      </c>
      <c r="C386" s="2" t="s">
        <v>61</v>
      </c>
      <c r="D386" s="2" t="s">
        <v>64</v>
      </c>
      <c r="E386" s="3">
        <v>45311</v>
      </c>
      <c r="F386" s="2" t="str">
        <f t="shared" si="5"/>
        <v>Jan</v>
      </c>
      <c r="G386" s="2">
        <v>141</v>
      </c>
      <c r="H386" s="2" t="s">
        <v>28</v>
      </c>
      <c r="I386" s="2">
        <v>180</v>
      </c>
      <c r="J386" s="2">
        <v>154</v>
      </c>
      <c r="K386" s="2">
        <v>1027581</v>
      </c>
      <c r="L386" s="2">
        <v>679140</v>
      </c>
      <c r="M386" s="2">
        <v>348441</v>
      </c>
    </row>
    <row r="387" spans="1:13">
      <c r="A387" s="2" t="s">
        <v>462</v>
      </c>
      <c r="B387" s="2" t="s">
        <v>52</v>
      </c>
      <c r="C387" s="2" t="s">
        <v>64</v>
      </c>
      <c r="D387" s="2" t="s">
        <v>61</v>
      </c>
      <c r="E387" s="3">
        <v>45312</v>
      </c>
      <c r="F387" s="2" t="str">
        <f t="shared" ref="F387:F450" si="6">TEXT(E387,"mmm")</f>
        <v>Jan</v>
      </c>
      <c r="G387" s="2">
        <v>162</v>
      </c>
      <c r="H387" s="2" t="s">
        <v>32</v>
      </c>
      <c r="I387" s="2">
        <v>190</v>
      </c>
      <c r="J387" s="2">
        <v>116</v>
      </c>
      <c r="K387" s="2">
        <v>1486072</v>
      </c>
      <c r="L387" s="2">
        <v>535920</v>
      </c>
      <c r="M387" s="2">
        <v>950152</v>
      </c>
    </row>
    <row r="388" spans="1:13">
      <c r="A388" s="2" t="s">
        <v>463</v>
      </c>
      <c r="B388" s="2" t="s">
        <v>37</v>
      </c>
      <c r="C388" s="2" t="s">
        <v>58</v>
      </c>
      <c r="D388" s="2" t="s">
        <v>62</v>
      </c>
      <c r="E388" s="3">
        <v>45313</v>
      </c>
      <c r="F388" s="2" t="str">
        <f t="shared" si="6"/>
        <v>Jan</v>
      </c>
      <c r="G388" s="2">
        <v>187</v>
      </c>
      <c r="H388" s="2" t="s">
        <v>29</v>
      </c>
      <c r="I388" s="2">
        <v>200</v>
      </c>
      <c r="J388" s="2">
        <v>128</v>
      </c>
      <c r="K388" s="2">
        <v>1626191</v>
      </c>
      <c r="L388" s="2">
        <v>623360</v>
      </c>
      <c r="M388" s="2">
        <v>1002831</v>
      </c>
    </row>
    <row r="389" spans="1:13">
      <c r="A389" s="2" t="s">
        <v>464</v>
      </c>
      <c r="B389" s="2" t="s">
        <v>7</v>
      </c>
      <c r="C389" s="2" t="s">
        <v>62</v>
      </c>
      <c r="D389" s="2" t="s">
        <v>58</v>
      </c>
      <c r="E389" s="3">
        <v>45314</v>
      </c>
      <c r="F389" s="2" t="str">
        <f t="shared" si="6"/>
        <v>Jan</v>
      </c>
      <c r="G389" s="2">
        <v>472</v>
      </c>
      <c r="H389" s="2" t="s">
        <v>33</v>
      </c>
      <c r="I389" s="2">
        <v>260</v>
      </c>
      <c r="J389" s="2">
        <v>204</v>
      </c>
      <c r="K389" s="2">
        <v>6996501</v>
      </c>
      <c r="L389" s="2">
        <v>1574880</v>
      </c>
      <c r="M389" s="2">
        <v>5421621</v>
      </c>
    </row>
    <row r="390" spans="1:13">
      <c r="A390" s="2" t="s">
        <v>465</v>
      </c>
      <c r="B390" s="2" t="s">
        <v>9</v>
      </c>
      <c r="C390" s="2" t="s">
        <v>63</v>
      </c>
      <c r="D390" s="2" t="s">
        <v>59</v>
      </c>
      <c r="E390" s="3">
        <v>45315</v>
      </c>
      <c r="F390" s="2" t="str">
        <f t="shared" si="6"/>
        <v>Jan</v>
      </c>
      <c r="G390" s="2">
        <v>543</v>
      </c>
      <c r="H390" s="2" t="s">
        <v>30</v>
      </c>
      <c r="I390" s="2">
        <v>500</v>
      </c>
      <c r="J390" s="2">
        <v>400</v>
      </c>
      <c r="K390" s="2">
        <v>11520237</v>
      </c>
      <c r="L390" s="2">
        <v>1686000</v>
      </c>
      <c r="M390" s="2">
        <v>9834237</v>
      </c>
    </row>
    <row r="391" spans="1:13">
      <c r="A391" s="2" t="s">
        <v>466</v>
      </c>
      <c r="B391" s="2" t="s">
        <v>41</v>
      </c>
      <c r="C391" s="2" t="s">
        <v>59</v>
      </c>
      <c r="D391" s="2" t="s">
        <v>63</v>
      </c>
      <c r="E391" s="3">
        <v>45316</v>
      </c>
      <c r="F391" s="2" t="str">
        <f t="shared" si="6"/>
        <v>Jan</v>
      </c>
      <c r="G391" s="2">
        <v>33</v>
      </c>
      <c r="H391" s="2" t="s">
        <v>31</v>
      </c>
      <c r="I391" s="2">
        <v>72</v>
      </c>
      <c r="J391" s="2">
        <v>63</v>
      </c>
      <c r="K391" s="2">
        <v>111313</v>
      </c>
      <c r="L391" s="2">
        <v>104895</v>
      </c>
      <c r="M391" s="2">
        <v>6418</v>
      </c>
    </row>
    <row r="392" spans="1:13">
      <c r="A392" s="2" t="s">
        <v>467</v>
      </c>
      <c r="B392" s="2" t="s">
        <v>39</v>
      </c>
      <c r="C392" s="2" t="s">
        <v>59</v>
      </c>
      <c r="D392" s="2" t="s">
        <v>61</v>
      </c>
      <c r="E392" s="3">
        <v>45317</v>
      </c>
      <c r="F392" s="2" t="str">
        <f t="shared" si="6"/>
        <v>Jan</v>
      </c>
      <c r="G392" s="2">
        <v>269</v>
      </c>
      <c r="H392" s="2" t="s">
        <v>28</v>
      </c>
      <c r="I392" s="2">
        <v>180</v>
      </c>
      <c r="J392" s="2">
        <v>140</v>
      </c>
      <c r="K392" s="2">
        <v>2120502</v>
      </c>
      <c r="L392" s="2">
        <v>398300</v>
      </c>
      <c r="M392" s="2">
        <v>1722202</v>
      </c>
    </row>
    <row r="393" spans="1:13">
      <c r="A393" s="2" t="s">
        <v>468</v>
      </c>
      <c r="B393" s="2" t="s">
        <v>46</v>
      </c>
      <c r="C393" s="2" t="s">
        <v>61</v>
      </c>
      <c r="D393" s="2" t="s">
        <v>59</v>
      </c>
      <c r="E393" s="3">
        <v>45318</v>
      </c>
      <c r="F393" s="2" t="str">
        <f t="shared" si="6"/>
        <v>Jan</v>
      </c>
      <c r="G393" s="2">
        <v>167</v>
      </c>
      <c r="H393" s="2" t="s">
        <v>32</v>
      </c>
      <c r="I393" s="2">
        <v>190</v>
      </c>
      <c r="J393" s="2">
        <v>129</v>
      </c>
      <c r="K393" s="2">
        <v>1360034</v>
      </c>
      <c r="L393" s="2">
        <v>301215</v>
      </c>
      <c r="M393" s="2">
        <v>1058819</v>
      </c>
    </row>
    <row r="394" spans="1:13">
      <c r="A394" s="2" t="s">
        <v>469</v>
      </c>
      <c r="B394" s="2" t="s">
        <v>45</v>
      </c>
      <c r="C394" s="2" t="s">
        <v>61</v>
      </c>
      <c r="D394" s="2" t="s">
        <v>58</v>
      </c>
      <c r="E394" s="3">
        <v>45319</v>
      </c>
      <c r="F394" s="2" t="str">
        <f t="shared" si="6"/>
        <v>Jan</v>
      </c>
      <c r="G394" s="2">
        <v>249</v>
      </c>
      <c r="H394" s="2" t="s">
        <v>29</v>
      </c>
      <c r="I394" s="2">
        <v>200</v>
      </c>
      <c r="J394" s="2">
        <v>189</v>
      </c>
      <c r="K394" s="2">
        <v>2129062</v>
      </c>
      <c r="L394" s="2">
        <v>518805</v>
      </c>
      <c r="M394" s="2">
        <v>1610257</v>
      </c>
    </row>
    <row r="395" spans="1:13">
      <c r="A395" s="2" t="s">
        <v>470</v>
      </c>
      <c r="B395" s="2" t="s">
        <v>3</v>
      </c>
      <c r="C395" s="2" t="s">
        <v>58</v>
      </c>
      <c r="D395" s="2" t="s">
        <v>61</v>
      </c>
      <c r="E395" s="3">
        <v>45320</v>
      </c>
      <c r="F395" s="2" t="str">
        <f t="shared" si="6"/>
        <v>Jan</v>
      </c>
      <c r="G395" s="2">
        <v>448</v>
      </c>
      <c r="H395" s="2" t="s">
        <v>33</v>
      </c>
      <c r="I395" s="2">
        <v>260</v>
      </c>
      <c r="J395" s="2">
        <v>204</v>
      </c>
      <c r="K395" s="2">
        <v>7310106</v>
      </c>
      <c r="L395" s="2">
        <v>762960</v>
      </c>
      <c r="M395" s="2">
        <v>6547146</v>
      </c>
    </row>
    <row r="396" spans="1:13">
      <c r="A396" s="2" t="s">
        <v>471</v>
      </c>
      <c r="B396" s="2" t="s">
        <v>5</v>
      </c>
      <c r="C396" s="2" t="s">
        <v>59</v>
      </c>
      <c r="D396" s="2" t="s">
        <v>58</v>
      </c>
      <c r="E396" s="3">
        <v>45321</v>
      </c>
      <c r="F396" s="2" t="str">
        <f t="shared" si="6"/>
        <v>Jan</v>
      </c>
      <c r="G396" s="2">
        <v>406</v>
      </c>
      <c r="H396" s="2" t="s">
        <v>30</v>
      </c>
      <c r="I396" s="2">
        <v>500</v>
      </c>
      <c r="J396" s="2">
        <v>312</v>
      </c>
      <c r="K396" s="2">
        <v>7323404</v>
      </c>
      <c r="L396" s="2">
        <v>1101360</v>
      </c>
      <c r="M396" s="2">
        <v>6222044</v>
      </c>
    </row>
    <row r="397" spans="1:13">
      <c r="A397" s="2" t="s">
        <v>472</v>
      </c>
      <c r="B397" s="2" t="s">
        <v>36</v>
      </c>
      <c r="C397" s="2" t="s">
        <v>58</v>
      </c>
      <c r="D397" s="2" t="s">
        <v>59</v>
      </c>
      <c r="E397" s="3">
        <v>45322</v>
      </c>
      <c r="F397" s="2" t="str">
        <f t="shared" si="6"/>
        <v>Jan</v>
      </c>
      <c r="G397" s="2">
        <v>58</v>
      </c>
      <c r="H397" s="2" t="s">
        <v>31</v>
      </c>
      <c r="I397" s="2">
        <v>72</v>
      </c>
      <c r="J397" s="2">
        <v>62</v>
      </c>
      <c r="K397" s="2">
        <v>199018</v>
      </c>
      <c r="L397" s="2">
        <v>110980</v>
      </c>
      <c r="M397" s="2">
        <v>88038</v>
      </c>
    </row>
    <row r="398" spans="1:13">
      <c r="A398" s="2" t="s">
        <v>473</v>
      </c>
      <c r="B398" s="2" t="s">
        <v>38</v>
      </c>
      <c r="C398" s="2" t="s">
        <v>59</v>
      </c>
      <c r="D398" s="2" t="s">
        <v>60</v>
      </c>
      <c r="E398" s="3">
        <v>45323</v>
      </c>
      <c r="F398" s="2" t="str">
        <f t="shared" si="6"/>
        <v>Feb</v>
      </c>
      <c r="G398" s="2">
        <v>295</v>
      </c>
      <c r="H398" s="2" t="s">
        <v>28</v>
      </c>
      <c r="I398" s="2">
        <v>180</v>
      </c>
      <c r="J398" s="2">
        <v>147</v>
      </c>
      <c r="K398" s="2">
        <v>2536375</v>
      </c>
      <c r="L398" s="2">
        <v>437325</v>
      </c>
      <c r="M398" s="2">
        <v>2099050</v>
      </c>
    </row>
    <row r="399" spans="1:13">
      <c r="A399" s="2" t="s">
        <v>474</v>
      </c>
      <c r="B399" s="2" t="s">
        <v>44</v>
      </c>
      <c r="C399" s="2" t="s">
        <v>60</v>
      </c>
      <c r="D399" s="2" t="s">
        <v>59</v>
      </c>
      <c r="E399" s="3">
        <v>45324</v>
      </c>
      <c r="F399" s="2" t="str">
        <f t="shared" si="6"/>
        <v>Feb</v>
      </c>
      <c r="G399" s="2">
        <v>298</v>
      </c>
      <c r="H399" s="2" t="s">
        <v>32</v>
      </c>
      <c r="I399" s="2">
        <v>190</v>
      </c>
      <c r="J399" s="2">
        <v>140</v>
      </c>
      <c r="K399" s="2">
        <v>2462987</v>
      </c>
      <c r="L399" s="2">
        <v>418600</v>
      </c>
      <c r="M399" s="2">
        <v>2044387</v>
      </c>
    </row>
    <row r="400" spans="1:13">
      <c r="A400" s="2" t="s">
        <v>475</v>
      </c>
      <c r="B400" s="2" t="s">
        <v>48</v>
      </c>
      <c r="C400" s="2" t="s">
        <v>61</v>
      </c>
      <c r="D400" s="2" t="s">
        <v>63</v>
      </c>
      <c r="E400" s="3">
        <v>45325</v>
      </c>
      <c r="F400" s="2" t="str">
        <f t="shared" si="6"/>
        <v>Feb</v>
      </c>
      <c r="G400" s="2">
        <v>144</v>
      </c>
      <c r="H400" s="2" t="s">
        <v>29</v>
      </c>
      <c r="I400" s="2">
        <v>200</v>
      </c>
      <c r="J400" s="2">
        <v>136</v>
      </c>
      <c r="K400" s="2">
        <v>1261425</v>
      </c>
      <c r="L400" s="2">
        <v>301920</v>
      </c>
      <c r="M400" s="2">
        <v>959505</v>
      </c>
    </row>
    <row r="401" spans="1:13">
      <c r="A401" s="2" t="s">
        <v>476</v>
      </c>
      <c r="B401" s="2" t="s">
        <v>10</v>
      </c>
      <c r="C401" s="2" t="s">
        <v>63</v>
      </c>
      <c r="D401" s="2" t="s">
        <v>61</v>
      </c>
      <c r="E401" s="3">
        <v>45326</v>
      </c>
      <c r="F401" s="2" t="str">
        <f t="shared" si="6"/>
        <v>Feb</v>
      </c>
      <c r="G401" s="2">
        <v>321</v>
      </c>
      <c r="H401" s="2" t="s">
        <v>33</v>
      </c>
      <c r="I401" s="2">
        <v>260</v>
      </c>
      <c r="J401" s="2">
        <v>183</v>
      </c>
      <c r="K401" s="2">
        <v>5154767</v>
      </c>
      <c r="L401" s="2">
        <v>568215</v>
      </c>
      <c r="M401" s="2">
        <v>4586552</v>
      </c>
    </row>
    <row r="402" spans="1:13">
      <c r="A402" s="2" t="s">
        <v>477</v>
      </c>
      <c r="B402" s="2" t="s">
        <v>2</v>
      </c>
      <c r="C402" s="2" t="s">
        <v>58</v>
      </c>
      <c r="D402" s="2" t="s">
        <v>60</v>
      </c>
      <c r="E402" s="3">
        <v>45327</v>
      </c>
      <c r="F402" s="2" t="str">
        <f t="shared" si="6"/>
        <v>Feb</v>
      </c>
      <c r="G402" s="2">
        <v>325</v>
      </c>
      <c r="H402" s="2" t="s">
        <v>30</v>
      </c>
      <c r="I402" s="2">
        <v>500</v>
      </c>
      <c r="J402" s="2">
        <v>340</v>
      </c>
      <c r="K402" s="2">
        <v>5904721</v>
      </c>
      <c r="L402" s="2">
        <v>1062500</v>
      </c>
      <c r="M402" s="2">
        <v>4842221</v>
      </c>
    </row>
    <row r="403" spans="1:13">
      <c r="A403" s="2" t="s">
        <v>478</v>
      </c>
      <c r="B403" s="2" t="s">
        <v>43</v>
      </c>
      <c r="C403" s="2" t="s">
        <v>60</v>
      </c>
      <c r="D403" s="2" t="s">
        <v>58</v>
      </c>
      <c r="E403" s="3">
        <v>45328</v>
      </c>
      <c r="F403" s="2" t="str">
        <f t="shared" si="6"/>
        <v>Feb</v>
      </c>
      <c r="G403" s="2">
        <v>94</v>
      </c>
      <c r="H403" s="2" t="s">
        <v>31</v>
      </c>
      <c r="I403" s="2">
        <v>72</v>
      </c>
      <c r="J403" s="2">
        <v>66</v>
      </c>
      <c r="K403" s="2">
        <v>299067</v>
      </c>
      <c r="L403" s="2">
        <v>130020</v>
      </c>
      <c r="M403" s="2">
        <v>169047</v>
      </c>
    </row>
    <row r="404" spans="1:13">
      <c r="A404" s="2" t="s">
        <v>479</v>
      </c>
      <c r="B404" s="2" t="s">
        <v>40</v>
      </c>
      <c r="C404" s="2" t="s">
        <v>59</v>
      </c>
      <c r="D404" s="2" t="s">
        <v>62</v>
      </c>
      <c r="E404" s="3">
        <v>45329</v>
      </c>
      <c r="F404" s="2" t="str">
        <f t="shared" si="6"/>
        <v>Feb</v>
      </c>
      <c r="G404" s="2">
        <v>202</v>
      </c>
      <c r="H404" s="2" t="s">
        <v>28</v>
      </c>
      <c r="I404" s="2">
        <v>180</v>
      </c>
      <c r="J404" s="2">
        <v>132</v>
      </c>
      <c r="K404" s="2">
        <v>1674062</v>
      </c>
      <c r="L404" s="2">
        <v>662640</v>
      </c>
      <c r="M404" s="2">
        <v>1011422</v>
      </c>
    </row>
    <row r="405" spans="1:13">
      <c r="A405" s="2" t="s">
        <v>480</v>
      </c>
      <c r="B405" s="2" t="s">
        <v>51</v>
      </c>
      <c r="C405" s="2" t="s">
        <v>62</v>
      </c>
      <c r="D405" s="2" t="s">
        <v>59</v>
      </c>
      <c r="E405" s="3">
        <v>45330</v>
      </c>
      <c r="F405" s="2" t="str">
        <f t="shared" si="6"/>
        <v>Feb</v>
      </c>
      <c r="G405" s="2">
        <v>199</v>
      </c>
      <c r="H405" s="2" t="s">
        <v>32</v>
      </c>
      <c r="I405" s="2">
        <v>190</v>
      </c>
      <c r="J405" s="2">
        <v>177</v>
      </c>
      <c r="K405" s="2">
        <v>1897739</v>
      </c>
      <c r="L405" s="2">
        <v>883230</v>
      </c>
      <c r="M405" s="2">
        <v>1014509</v>
      </c>
    </row>
    <row r="406" spans="1:13">
      <c r="A406" s="2" t="s">
        <v>481</v>
      </c>
      <c r="B406" s="2" t="s">
        <v>47</v>
      </c>
      <c r="C406" s="2" t="s">
        <v>61</v>
      </c>
      <c r="D406" s="2" t="s">
        <v>62</v>
      </c>
      <c r="E406" s="3">
        <v>45331</v>
      </c>
      <c r="F406" s="2" t="str">
        <f t="shared" si="6"/>
        <v>Feb</v>
      </c>
      <c r="G406" s="2">
        <v>277</v>
      </c>
      <c r="H406" s="2" t="s">
        <v>29</v>
      </c>
      <c r="I406" s="2">
        <v>200</v>
      </c>
      <c r="J406" s="2">
        <v>188</v>
      </c>
      <c r="K406" s="2">
        <v>2833703</v>
      </c>
      <c r="L406" s="2">
        <v>542380</v>
      </c>
      <c r="M406" s="2">
        <v>2291323</v>
      </c>
    </row>
    <row r="407" spans="1:13">
      <c r="A407" s="2" t="s">
        <v>482</v>
      </c>
      <c r="B407" s="2" t="s">
        <v>8</v>
      </c>
      <c r="C407" s="2" t="s">
        <v>62</v>
      </c>
      <c r="D407" s="2" t="s">
        <v>61</v>
      </c>
      <c r="E407" s="3">
        <v>45332</v>
      </c>
      <c r="F407" s="2" t="str">
        <f t="shared" si="6"/>
        <v>Feb</v>
      </c>
      <c r="G407" s="2">
        <v>523</v>
      </c>
      <c r="H407" s="2" t="s">
        <v>33</v>
      </c>
      <c r="I407" s="2">
        <v>260</v>
      </c>
      <c r="J407" s="2">
        <v>198</v>
      </c>
      <c r="K407" s="2">
        <v>8022942</v>
      </c>
      <c r="L407" s="2">
        <v>814770</v>
      </c>
      <c r="M407" s="2">
        <v>7208172</v>
      </c>
    </row>
    <row r="408" spans="1:13">
      <c r="A408" s="2" t="s">
        <v>483</v>
      </c>
      <c r="B408" s="2" t="s">
        <v>4</v>
      </c>
      <c r="C408" s="2" t="s">
        <v>58</v>
      </c>
      <c r="D408" s="2" t="s">
        <v>66</v>
      </c>
      <c r="E408" s="3">
        <v>45333</v>
      </c>
      <c r="F408" s="2" t="str">
        <f t="shared" si="6"/>
        <v>Feb</v>
      </c>
      <c r="G408" s="2">
        <v>332</v>
      </c>
      <c r="H408" s="2" t="s">
        <v>30</v>
      </c>
      <c r="I408" s="2">
        <v>500</v>
      </c>
      <c r="J408" s="2">
        <v>430</v>
      </c>
      <c r="K408" s="2">
        <v>6062301</v>
      </c>
      <c r="L408" s="2">
        <v>2717600</v>
      </c>
      <c r="M408" s="2">
        <v>3344701</v>
      </c>
    </row>
    <row r="409" spans="1:13">
      <c r="A409" s="2" t="s">
        <v>484</v>
      </c>
      <c r="B409" s="2" t="s">
        <v>54</v>
      </c>
      <c r="C409" s="2" t="s">
        <v>66</v>
      </c>
      <c r="D409" s="2" t="s">
        <v>58</v>
      </c>
      <c r="E409" s="3">
        <v>45334</v>
      </c>
      <c r="F409" s="2" t="str">
        <f t="shared" si="6"/>
        <v>Feb</v>
      </c>
      <c r="G409" s="2">
        <v>101</v>
      </c>
      <c r="H409" s="2" t="s">
        <v>31</v>
      </c>
      <c r="I409" s="2">
        <v>72</v>
      </c>
      <c r="J409" s="2">
        <v>66</v>
      </c>
      <c r="K409" s="2">
        <v>364080</v>
      </c>
      <c r="L409" s="2">
        <v>264660</v>
      </c>
      <c r="M409" s="2">
        <v>99420</v>
      </c>
    </row>
    <row r="410" spans="1:13">
      <c r="A410" s="2" t="s">
        <v>485</v>
      </c>
      <c r="B410" s="2" t="s">
        <v>42</v>
      </c>
      <c r="C410" s="2" t="s">
        <v>59</v>
      </c>
      <c r="D410" s="2" t="s">
        <v>66</v>
      </c>
      <c r="E410" s="3">
        <v>45335</v>
      </c>
      <c r="F410" s="2" t="str">
        <f t="shared" si="6"/>
        <v>Feb</v>
      </c>
      <c r="G410" s="2">
        <v>176</v>
      </c>
      <c r="H410" s="2" t="s">
        <v>28</v>
      </c>
      <c r="I410" s="2">
        <v>180</v>
      </c>
      <c r="J410" s="2">
        <v>160</v>
      </c>
      <c r="K410" s="2">
        <v>1301087</v>
      </c>
      <c r="L410" s="2">
        <v>761600</v>
      </c>
      <c r="M410" s="2">
        <v>539487</v>
      </c>
    </row>
    <row r="411" spans="1:13">
      <c r="A411" s="2" t="s">
        <v>486</v>
      </c>
      <c r="B411" s="2" t="s">
        <v>55</v>
      </c>
      <c r="C411" s="2" t="s">
        <v>66</v>
      </c>
      <c r="D411" s="2" t="s">
        <v>59</v>
      </c>
      <c r="E411" s="3">
        <v>45336</v>
      </c>
      <c r="F411" s="2" t="str">
        <f t="shared" si="6"/>
        <v>Feb</v>
      </c>
      <c r="G411" s="2">
        <v>166</v>
      </c>
      <c r="H411" s="2" t="s">
        <v>32</v>
      </c>
      <c r="I411" s="2">
        <v>190</v>
      </c>
      <c r="J411" s="2">
        <v>125</v>
      </c>
      <c r="K411" s="2">
        <v>1410481</v>
      </c>
      <c r="L411" s="2">
        <v>582500</v>
      </c>
      <c r="M411" s="2">
        <v>827981</v>
      </c>
    </row>
    <row r="412" spans="1:13">
      <c r="A412" s="2" t="s">
        <v>487</v>
      </c>
      <c r="B412" s="2" t="s">
        <v>50</v>
      </c>
      <c r="C412" s="2" t="s">
        <v>61</v>
      </c>
      <c r="D412" s="2" t="s">
        <v>65</v>
      </c>
      <c r="E412" s="3">
        <v>45337</v>
      </c>
      <c r="F412" s="2" t="str">
        <f t="shared" si="6"/>
        <v>Feb</v>
      </c>
      <c r="G412" s="2">
        <v>320</v>
      </c>
      <c r="H412" s="2" t="s">
        <v>29</v>
      </c>
      <c r="I412" s="2">
        <v>200</v>
      </c>
      <c r="J412" s="2">
        <v>187</v>
      </c>
      <c r="K412" s="2">
        <v>3238333</v>
      </c>
      <c r="L412" s="2">
        <v>1159400</v>
      </c>
      <c r="M412" s="2">
        <v>2078933</v>
      </c>
    </row>
    <row r="413" spans="1:13">
      <c r="A413" s="2" t="s">
        <v>488</v>
      </c>
      <c r="B413" s="2" t="s">
        <v>11</v>
      </c>
      <c r="C413" s="2" t="s">
        <v>65</v>
      </c>
      <c r="D413" s="2" t="s">
        <v>61</v>
      </c>
      <c r="E413" s="3">
        <v>45338</v>
      </c>
      <c r="F413" s="2" t="str">
        <f t="shared" si="6"/>
        <v>Feb</v>
      </c>
      <c r="G413" s="2">
        <v>184</v>
      </c>
      <c r="H413" s="2" t="s">
        <v>33</v>
      </c>
      <c r="I413" s="2">
        <v>260</v>
      </c>
      <c r="J413" s="2">
        <v>161</v>
      </c>
      <c r="K413" s="2">
        <v>3018944</v>
      </c>
      <c r="L413" s="2">
        <v>779240</v>
      </c>
      <c r="M413" s="2">
        <v>2239704</v>
      </c>
    </row>
    <row r="414" spans="1:13">
      <c r="A414" s="2" t="s">
        <v>489</v>
      </c>
      <c r="B414" s="2" t="s">
        <v>6</v>
      </c>
      <c r="C414" s="2" t="s">
        <v>59</v>
      </c>
      <c r="D414" s="2" t="s">
        <v>65</v>
      </c>
      <c r="E414" s="3">
        <v>45339</v>
      </c>
      <c r="F414" s="2" t="str">
        <f t="shared" si="6"/>
        <v>Feb</v>
      </c>
      <c r="G414" s="2">
        <v>356</v>
      </c>
      <c r="H414" s="2" t="s">
        <v>30</v>
      </c>
      <c r="I414" s="2">
        <v>500</v>
      </c>
      <c r="J414" s="2">
        <v>390</v>
      </c>
      <c r="K414" s="2">
        <v>7258518</v>
      </c>
      <c r="L414" s="2">
        <v>2558400</v>
      </c>
      <c r="M414" s="2">
        <v>4700118</v>
      </c>
    </row>
    <row r="415" spans="1:13">
      <c r="A415" s="2" t="s">
        <v>490</v>
      </c>
      <c r="B415" s="2" t="s">
        <v>53</v>
      </c>
      <c r="C415" s="2" t="s">
        <v>65</v>
      </c>
      <c r="D415" s="2" t="s">
        <v>59</v>
      </c>
      <c r="E415" s="3">
        <v>45340</v>
      </c>
      <c r="F415" s="2" t="str">
        <f t="shared" si="6"/>
        <v>Feb</v>
      </c>
      <c r="G415" s="2">
        <v>142</v>
      </c>
      <c r="H415" s="2" t="s">
        <v>31</v>
      </c>
      <c r="I415" s="2">
        <v>72</v>
      </c>
      <c r="J415" s="2">
        <v>47</v>
      </c>
      <c r="K415" s="2">
        <v>486686</v>
      </c>
      <c r="L415" s="2">
        <v>207740</v>
      </c>
      <c r="M415" s="2">
        <v>278946</v>
      </c>
    </row>
    <row r="416" spans="1:13">
      <c r="A416" s="2" t="s">
        <v>491</v>
      </c>
      <c r="B416" s="2" t="s">
        <v>49</v>
      </c>
      <c r="C416" s="2" t="s">
        <v>61</v>
      </c>
      <c r="D416" s="2" t="s">
        <v>64</v>
      </c>
      <c r="E416" s="3">
        <v>45341</v>
      </c>
      <c r="F416" s="2" t="str">
        <f t="shared" si="6"/>
        <v>Feb</v>
      </c>
      <c r="G416" s="2">
        <v>237</v>
      </c>
      <c r="H416" s="2" t="s">
        <v>28</v>
      </c>
      <c r="I416" s="2">
        <v>180</v>
      </c>
      <c r="J416" s="2">
        <v>138</v>
      </c>
      <c r="K416" s="2">
        <v>2084210</v>
      </c>
      <c r="L416" s="2">
        <v>741060</v>
      </c>
      <c r="M416" s="2">
        <v>1343150</v>
      </c>
    </row>
    <row r="417" spans="1:13">
      <c r="A417" s="2" t="s">
        <v>492</v>
      </c>
      <c r="B417" s="2" t="s">
        <v>52</v>
      </c>
      <c r="C417" s="2" t="s">
        <v>64</v>
      </c>
      <c r="D417" s="2" t="s">
        <v>61</v>
      </c>
      <c r="E417" s="3">
        <v>45342</v>
      </c>
      <c r="F417" s="2" t="str">
        <f t="shared" si="6"/>
        <v>Feb</v>
      </c>
      <c r="G417" s="2">
        <v>62</v>
      </c>
      <c r="H417" s="2" t="s">
        <v>32</v>
      </c>
      <c r="I417" s="2">
        <v>190</v>
      </c>
      <c r="J417" s="2">
        <v>168</v>
      </c>
      <c r="K417" s="2">
        <v>527247</v>
      </c>
      <c r="L417" s="2">
        <v>608160</v>
      </c>
      <c r="M417" s="2">
        <v>-80913</v>
      </c>
    </row>
    <row r="418" spans="1:13">
      <c r="A418" s="2" t="s">
        <v>493</v>
      </c>
      <c r="B418" s="2" t="s">
        <v>37</v>
      </c>
      <c r="C418" s="2" t="s">
        <v>58</v>
      </c>
      <c r="D418" s="2" t="s">
        <v>62</v>
      </c>
      <c r="E418" s="3">
        <v>45343</v>
      </c>
      <c r="F418" s="2" t="str">
        <f t="shared" si="6"/>
        <v>Feb</v>
      </c>
      <c r="G418" s="2">
        <v>199</v>
      </c>
      <c r="H418" s="2" t="s">
        <v>29</v>
      </c>
      <c r="I418" s="2">
        <v>200</v>
      </c>
      <c r="J418" s="2">
        <v>172</v>
      </c>
      <c r="K418" s="2">
        <v>1714632</v>
      </c>
      <c r="L418" s="2">
        <v>858280</v>
      </c>
      <c r="M418" s="2">
        <v>856352</v>
      </c>
    </row>
    <row r="419" spans="1:13">
      <c r="A419" s="2" t="s">
        <v>494</v>
      </c>
      <c r="B419" s="2" t="s">
        <v>7</v>
      </c>
      <c r="C419" s="2" t="s">
        <v>62</v>
      </c>
      <c r="D419" s="2" t="s">
        <v>58</v>
      </c>
      <c r="E419" s="3">
        <v>45344</v>
      </c>
      <c r="F419" s="2" t="str">
        <f t="shared" si="6"/>
        <v>Feb</v>
      </c>
      <c r="G419" s="2">
        <v>247</v>
      </c>
      <c r="H419" s="2" t="s">
        <v>33</v>
      </c>
      <c r="I419" s="2">
        <v>260</v>
      </c>
      <c r="J419" s="2">
        <v>208</v>
      </c>
      <c r="K419" s="2">
        <v>3402291</v>
      </c>
      <c r="L419" s="2">
        <v>1137760</v>
      </c>
      <c r="M419" s="2">
        <v>2264531</v>
      </c>
    </row>
    <row r="420" spans="1:13">
      <c r="A420" s="2" t="s">
        <v>495</v>
      </c>
      <c r="B420" s="2" t="s">
        <v>9</v>
      </c>
      <c r="C420" s="2" t="s">
        <v>63</v>
      </c>
      <c r="D420" s="2" t="s">
        <v>59</v>
      </c>
      <c r="E420" s="3">
        <v>45345</v>
      </c>
      <c r="F420" s="2" t="str">
        <f t="shared" si="6"/>
        <v>Feb</v>
      </c>
      <c r="G420" s="2">
        <v>284</v>
      </c>
      <c r="H420" s="2" t="s">
        <v>30</v>
      </c>
      <c r="I420" s="2">
        <v>500</v>
      </c>
      <c r="J420" s="2">
        <v>368</v>
      </c>
      <c r="K420" s="2">
        <v>5422081</v>
      </c>
      <c r="L420" s="2">
        <v>1074560</v>
      </c>
      <c r="M420" s="2">
        <v>4347521</v>
      </c>
    </row>
    <row r="421" spans="1:13">
      <c r="A421" s="2" t="s">
        <v>496</v>
      </c>
      <c r="B421" s="2" t="s">
        <v>41</v>
      </c>
      <c r="C421" s="2" t="s">
        <v>59</v>
      </c>
      <c r="D421" s="2" t="s">
        <v>63</v>
      </c>
      <c r="E421" s="3">
        <v>45346</v>
      </c>
      <c r="F421" s="2" t="str">
        <f t="shared" si="6"/>
        <v>Feb</v>
      </c>
      <c r="G421" s="2">
        <v>58</v>
      </c>
      <c r="H421" s="2" t="s">
        <v>31</v>
      </c>
      <c r="I421" s="2">
        <v>72</v>
      </c>
      <c r="J421" s="2">
        <v>65</v>
      </c>
      <c r="K421" s="2">
        <v>221499</v>
      </c>
      <c r="L421" s="2">
        <v>116350</v>
      </c>
      <c r="M421" s="2">
        <v>105149</v>
      </c>
    </row>
    <row r="422" spans="1:13">
      <c r="A422" s="2" t="s">
        <v>497</v>
      </c>
      <c r="B422" s="2" t="s">
        <v>39</v>
      </c>
      <c r="C422" s="2" t="s">
        <v>59</v>
      </c>
      <c r="D422" s="2" t="s">
        <v>61</v>
      </c>
      <c r="E422" s="3">
        <v>45347</v>
      </c>
      <c r="F422" s="2" t="str">
        <f t="shared" si="6"/>
        <v>Feb</v>
      </c>
      <c r="G422" s="2">
        <v>135</v>
      </c>
      <c r="H422" s="2" t="s">
        <v>28</v>
      </c>
      <c r="I422" s="2">
        <v>180</v>
      </c>
      <c r="J422" s="2">
        <v>110</v>
      </c>
      <c r="K422" s="2">
        <v>1043075</v>
      </c>
      <c r="L422" s="2">
        <v>239250</v>
      </c>
      <c r="M422" s="2">
        <v>803825</v>
      </c>
    </row>
    <row r="423" spans="1:13">
      <c r="A423" s="2" t="s">
        <v>498</v>
      </c>
      <c r="B423" s="2" t="s">
        <v>46</v>
      </c>
      <c r="C423" s="2" t="s">
        <v>61</v>
      </c>
      <c r="D423" s="2" t="s">
        <v>59</v>
      </c>
      <c r="E423" s="3">
        <v>45348</v>
      </c>
      <c r="F423" s="2" t="str">
        <f t="shared" si="6"/>
        <v>Feb</v>
      </c>
      <c r="G423" s="2">
        <v>84</v>
      </c>
      <c r="H423" s="2" t="s">
        <v>32</v>
      </c>
      <c r="I423" s="2">
        <v>190</v>
      </c>
      <c r="J423" s="2">
        <v>150</v>
      </c>
      <c r="K423" s="2">
        <v>693552</v>
      </c>
      <c r="L423" s="2">
        <v>288000</v>
      </c>
      <c r="M423" s="2">
        <v>405552</v>
      </c>
    </row>
    <row r="424" spans="1:13">
      <c r="A424" s="2" t="s">
        <v>499</v>
      </c>
      <c r="B424" s="2" t="s">
        <v>45</v>
      </c>
      <c r="C424" s="2" t="s">
        <v>61</v>
      </c>
      <c r="D424" s="2" t="s">
        <v>58</v>
      </c>
      <c r="E424" s="3">
        <v>45349</v>
      </c>
      <c r="F424" s="2" t="str">
        <f t="shared" si="6"/>
        <v>Feb</v>
      </c>
      <c r="G424" s="2">
        <v>203</v>
      </c>
      <c r="H424" s="2" t="s">
        <v>29</v>
      </c>
      <c r="I424" s="2">
        <v>200</v>
      </c>
      <c r="J424" s="2">
        <v>146</v>
      </c>
      <c r="K424" s="2">
        <v>1835837</v>
      </c>
      <c r="L424" s="2">
        <v>367190</v>
      </c>
      <c r="M424" s="2">
        <v>1468647</v>
      </c>
    </row>
    <row r="425" spans="1:13">
      <c r="A425" s="2" t="s">
        <v>500</v>
      </c>
      <c r="B425" s="2" t="s">
        <v>3</v>
      </c>
      <c r="C425" s="2" t="s">
        <v>58</v>
      </c>
      <c r="D425" s="2" t="s">
        <v>61</v>
      </c>
      <c r="E425" s="3">
        <v>45350</v>
      </c>
      <c r="F425" s="2" t="str">
        <f t="shared" si="6"/>
        <v>Feb</v>
      </c>
      <c r="G425" s="2">
        <v>355</v>
      </c>
      <c r="H425" s="2" t="s">
        <v>33</v>
      </c>
      <c r="I425" s="2">
        <v>260</v>
      </c>
      <c r="J425" s="2">
        <v>201</v>
      </c>
      <c r="K425" s="2">
        <v>4878814</v>
      </c>
      <c r="L425" s="2">
        <v>658275</v>
      </c>
      <c r="M425" s="2">
        <v>4220539</v>
      </c>
    </row>
    <row r="426" spans="1:13">
      <c r="A426" s="2" t="s">
        <v>501</v>
      </c>
      <c r="B426" s="2" t="s">
        <v>5</v>
      </c>
      <c r="C426" s="2" t="s">
        <v>59</v>
      </c>
      <c r="D426" s="2" t="s">
        <v>58</v>
      </c>
      <c r="E426" s="3">
        <v>45351</v>
      </c>
      <c r="F426" s="2" t="str">
        <f t="shared" si="6"/>
        <v>Feb</v>
      </c>
      <c r="G426" s="2">
        <v>495</v>
      </c>
      <c r="H426" s="2" t="s">
        <v>30</v>
      </c>
      <c r="I426" s="2">
        <v>500</v>
      </c>
      <c r="J426" s="2">
        <v>319</v>
      </c>
      <c r="K426" s="2">
        <v>10681070</v>
      </c>
      <c r="L426" s="2">
        <v>1268025</v>
      </c>
      <c r="M426" s="2">
        <v>9413045</v>
      </c>
    </row>
    <row r="427" spans="1:13">
      <c r="A427" s="2" t="s">
        <v>502</v>
      </c>
      <c r="B427" s="2" t="s">
        <v>36</v>
      </c>
      <c r="C427" s="2" t="s">
        <v>58</v>
      </c>
      <c r="D427" s="2" t="s">
        <v>59</v>
      </c>
      <c r="E427" s="3">
        <v>45352</v>
      </c>
      <c r="F427" s="2" t="str">
        <f t="shared" si="6"/>
        <v>Mar</v>
      </c>
      <c r="G427" s="2">
        <v>106</v>
      </c>
      <c r="H427" s="2" t="s">
        <v>31</v>
      </c>
      <c r="I427" s="2">
        <v>72</v>
      </c>
      <c r="J427" s="2">
        <v>64</v>
      </c>
      <c r="K427" s="2">
        <v>370639</v>
      </c>
      <c r="L427" s="2">
        <v>129920</v>
      </c>
      <c r="M427" s="2">
        <v>240719</v>
      </c>
    </row>
    <row r="428" spans="1:13">
      <c r="A428" s="2" t="s">
        <v>503</v>
      </c>
      <c r="B428" s="2" t="s">
        <v>38</v>
      </c>
      <c r="C428" s="2" t="s">
        <v>59</v>
      </c>
      <c r="D428" s="2" t="s">
        <v>60</v>
      </c>
      <c r="E428" s="3">
        <v>45353</v>
      </c>
      <c r="F428" s="2" t="str">
        <f t="shared" si="6"/>
        <v>Mar</v>
      </c>
      <c r="G428" s="2">
        <v>283</v>
      </c>
      <c r="H428" s="2" t="s">
        <v>28</v>
      </c>
      <c r="I428" s="2">
        <v>180</v>
      </c>
      <c r="J428" s="2">
        <v>140</v>
      </c>
      <c r="K428" s="2">
        <v>2448069</v>
      </c>
      <c r="L428" s="2">
        <v>408100</v>
      </c>
      <c r="M428" s="2">
        <v>2039969</v>
      </c>
    </row>
    <row r="429" spans="1:13">
      <c r="A429" s="2" t="s">
        <v>504</v>
      </c>
      <c r="B429" s="2" t="s">
        <v>44</v>
      </c>
      <c r="C429" s="2" t="s">
        <v>60</v>
      </c>
      <c r="D429" s="2" t="s">
        <v>59</v>
      </c>
      <c r="E429" s="3">
        <v>45354</v>
      </c>
      <c r="F429" s="2" t="str">
        <f t="shared" si="6"/>
        <v>Mar</v>
      </c>
      <c r="G429" s="2">
        <v>115</v>
      </c>
      <c r="H429" s="2" t="s">
        <v>32</v>
      </c>
      <c r="I429" s="2">
        <v>190</v>
      </c>
      <c r="J429" s="2">
        <v>158</v>
      </c>
      <c r="K429" s="2">
        <v>1044062</v>
      </c>
      <c r="L429" s="2">
        <v>327850</v>
      </c>
      <c r="M429" s="2">
        <v>716212</v>
      </c>
    </row>
    <row r="430" spans="1:13">
      <c r="A430" s="2" t="s">
        <v>505</v>
      </c>
      <c r="B430" s="2" t="s">
        <v>48</v>
      </c>
      <c r="C430" s="2" t="s">
        <v>61</v>
      </c>
      <c r="D430" s="2" t="s">
        <v>63</v>
      </c>
      <c r="E430" s="3">
        <v>45355</v>
      </c>
      <c r="F430" s="2" t="str">
        <f t="shared" si="6"/>
        <v>Mar</v>
      </c>
      <c r="G430" s="2">
        <v>316</v>
      </c>
      <c r="H430" s="2" t="s">
        <v>29</v>
      </c>
      <c r="I430" s="2">
        <v>200</v>
      </c>
      <c r="J430" s="2">
        <v>171</v>
      </c>
      <c r="K430" s="2">
        <v>3014764</v>
      </c>
      <c r="L430" s="2">
        <v>526680</v>
      </c>
      <c r="M430" s="2">
        <v>2488084</v>
      </c>
    </row>
    <row r="431" spans="1:13">
      <c r="A431" s="2" t="s">
        <v>506</v>
      </c>
      <c r="B431" s="2" t="s">
        <v>10</v>
      </c>
      <c r="C431" s="2" t="s">
        <v>63</v>
      </c>
      <c r="D431" s="2" t="s">
        <v>61</v>
      </c>
      <c r="E431" s="3">
        <v>45356</v>
      </c>
      <c r="F431" s="2" t="str">
        <f t="shared" si="6"/>
        <v>Mar</v>
      </c>
      <c r="G431" s="2">
        <v>515</v>
      </c>
      <c r="H431" s="2" t="s">
        <v>33</v>
      </c>
      <c r="I431" s="2">
        <v>260</v>
      </c>
      <c r="J431" s="2">
        <v>215</v>
      </c>
      <c r="K431" s="2">
        <v>8266648</v>
      </c>
      <c r="L431" s="2">
        <v>876125</v>
      </c>
      <c r="M431" s="2">
        <v>7390523</v>
      </c>
    </row>
    <row r="432" spans="1:13">
      <c r="A432" s="2" t="s">
        <v>507</v>
      </c>
      <c r="B432" s="2" t="s">
        <v>2</v>
      </c>
      <c r="C432" s="2" t="s">
        <v>58</v>
      </c>
      <c r="D432" s="2" t="s">
        <v>60</v>
      </c>
      <c r="E432" s="3">
        <v>45357</v>
      </c>
      <c r="F432" s="2" t="str">
        <f t="shared" si="6"/>
        <v>Mar</v>
      </c>
      <c r="G432" s="2">
        <v>238</v>
      </c>
      <c r="H432" s="2" t="s">
        <v>30</v>
      </c>
      <c r="I432" s="2">
        <v>500</v>
      </c>
      <c r="J432" s="2">
        <v>328</v>
      </c>
      <c r="K432" s="2">
        <v>4601976</v>
      </c>
      <c r="L432" s="2">
        <v>882320</v>
      </c>
      <c r="M432" s="2">
        <v>3719656</v>
      </c>
    </row>
    <row r="433" spans="1:13">
      <c r="A433" s="2" t="s">
        <v>508</v>
      </c>
      <c r="B433" s="2" t="s">
        <v>43</v>
      </c>
      <c r="C433" s="2" t="s">
        <v>60</v>
      </c>
      <c r="D433" s="2" t="s">
        <v>58</v>
      </c>
      <c r="E433" s="3">
        <v>45358</v>
      </c>
      <c r="F433" s="2" t="str">
        <f t="shared" si="6"/>
        <v>Mar</v>
      </c>
      <c r="G433" s="2">
        <v>74</v>
      </c>
      <c r="H433" s="2" t="s">
        <v>31</v>
      </c>
      <c r="I433" s="2">
        <v>72</v>
      </c>
      <c r="J433" s="2">
        <v>60</v>
      </c>
      <c r="K433" s="2">
        <v>268331</v>
      </c>
      <c r="L433" s="2">
        <v>112200</v>
      </c>
      <c r="M433" s="2">
        <v>156131</v>
      </c>
    </row>
    <row r="434" spans="1:13">
      <c r="A434" s="2" t="s">
        <v>509</v>
      </c>
      <c r="B434" s="2" t="s">
        <v>40</v>
      </c>
      <c r="C434" s="2" t="s">
        <v>59</v>
      </c>
      <c r="D434" s="2" t="s">
        <v>62</v>
      </c>
      <c r="E434" s="3">
        <v>45359</v>
      </c>
      <c r="F434" s="2" t="str">
        <f t="shared" si="6"/>
        <v>Mar</v>
      </c>
      <c r="G434" s="2">
        <v>250</v>
      </c>
      <c r="H434" s="2" t="s">
        <v>28</v>
      </c>
      <c r="I434" s="2">
        <v>180</v>
      </c>
      <c r="J434" s="2">
        <v>152</v>
      </c>
      <c r="K434" s="2">
        <v>1875688</v>
      </c>
      <c r="L434" s="2">
        <v>836000</v>
      </c>
      <c r="M434" s="2">
        <v>1039688</v>
      </c>
    </row>
    <row r="435" spans="1:13">
      <c r="A435" s="2" t="s">
        <v>510</v>
      </c>
      <c r="B435" s="2" t="s">
        <v>51</v>
      </c>
      <c r="C435" s="2" t="s">
        <v>62</v>
      </c>
      <c r="D435" s="2" t="s">
        <v>59</v>
      </c>
      <c r="E435" s="3">
        <v>45360</v>
      </c>
      <c r="F435" s="2" t="str">
        <f t="shared" si="6"/>
        <v>Mar</v>
      </c>
      <c r="G435" s="2">
        <v>192</v>
      </c>
      <c r="H435" s="2" t="s">
        <v>32</v>
      </c>
      <c r="I435" s="2">
        <v>190</v>
      </c>
      <c r="J435" s="2">
        <v>172</v>
      </c>
      <c r="K435" s="2">
        <v>1856509</v>
      </c>
      <c r="L435" s="2">
        <v>846240</v>
      </c>
      <c r="M435" s="2">
        <v>1010269</v>
      </c>
    </row>
    <row r="436" spans="1:13">
      <c r="A436" s="2" t="s">
        <v>511</v>
      </c>
      <c r="B436" s="2" t="s">
        <v>47</v>
      </c>
      <c r="C436" s="2" t="s">
        <v>61</v>
      </c>
      <c r="D436" s="2" t="s">
        <v>62</v>
      </c>
      <c r="E436" s="3">
        <v>45361</v>
      </c>
      <c r="F436" s="2" t="str">
        <f t="shared" si="6"/>
        <v>Mar</v>
      </c>
      <c r="G436" s="2">
        <v>110</v>
      </c>
      <c r="H436" s="2" t="s">
        <v>29</v>
      </c>
      <c r="I436" s="2">
        <v>200</v>
      </c>
      <c r="J436" s="2">
        <v>177</v>
      </c>
      <c r="K436" s="2">
        <v>967433</v>
      </c>
      <c r="L436" s="2">
        <v>362850</v>
      </c>
      <c r="M436" s="2">
        <v>604583</v>
      </c>
    </row>
    <row r="437" spans="1:13">
      <c r="A437" s="2" t="s">
        <v>512</v>
      </c>
      <c r="B437" s="2" t="s">
        <v>8</v>
      </c>
      <c r="C437" s="2" t="s">
        <v>62</v>
      </c>
      <c r="D437" s="2" t="s">
        <v>61</v>
      </c>
      <c r="E437" s="3">
        <v>45362</v>
      </c>
      <c r="F437" s="2" t="str">
        <f t="shared" si="6"/>
        <v>Mar</v>
      </c>
      <c r="G437" s="2">
        <v>542</v>
      </c>
      <c r="H437" s="2" t="s">
        <v>33</v>
      </c>
      <c r="I437" s="2">
        <v>260</v>
      </c>
      <c r="J437" s="2">
        <v>176</v>
      </c>
      <c r="K437" s="2">
        <v>8794548</v>
      </c>
      <c r="L437" s="2">
        <v>740960</v>
      </c>
      <c r="M437" s="2">
        <v>8053588</v>
      </c>
    </row>
    <row r="438" spans="1:13">
      <c r="A438" s="2" t="s">
        <v>513</v>
      </c>
      <c r="B438" s="2" t="s">
        <v>4</v>
      </c>
      <c r="C438" s="2" t="s">
        <v>58</v>
      </c>
      <c r="D438" s="2" t="s">
        <v>66</v>
      </c>
      <c r="E438" s="3">
        <v>45363</v>
      </c>
      <c r="F438" s="2" t="str">
        <f t="shared" si="6"/>
        <v>Mar</v>
      </c>
      <c r="G438" s="2">
        <v>261</v>
      </c>
      <c r="H438" s="2" t="s">
        <v>30</v>
      </c>
      <c r="I438" s="2">
        <v>500</v>
      </c>
      <c r="J438" s="2">
        <v>443</v>
      </c>
      <c r="K438" s="2">
        <v>5566748</v>
      </c>
      <c r="L438" s="2">
        <v>2485230</v>
      </c>
      <c r="M438" s="2">
        <v>3081518</v>
      </c>
    </row>
    <row r="439" spans="1:13">
      <c r="A439" s="2" t="s">
        <v>514</v>
      </c>
      <c r="B439" s="2" t="s">
        <v>54</v>
      </c>
      <c r="C439" s="2" t="s">
        <v>66</v>
      </c>
      <c r="D439" s="2" t="s">
        <v>58</v>
      </c>
      <c r="E439" s="3">
        <v>45364</v>
      </c>
      <c r="F439" s="2" t="str">
        <f t="shared" si="6"/>
        <v>Mar</v>
      </c>
      <c r="G439" s="2">
        <v>122</v>
      </c>
      <c r="H439" s="2" t="s">
        <v>31</v>
      </c>
      <c r="I439" s="2">
        <v>72</v>
      </c>
      <c r="J439" s="2">
        <v>49</v>
      </c>
      <c r="K439" s="2">
        <v>400793</v>
      </c>
      <c r="L439" s="2">
        <v>206780</v>
      </c>
      <c r="M439" s="2">
        <v>194013</v>
      </c>
    </row>
    <row r="440" spans="1:13">
      <c r="A440" s="2" t="s">
        <v>515</v>
      </c>
      <c r="B440" s="2" t="s">
        <v>42</v>
      </c>
      <c r="C440" s="2" t="s">
        <v>59</v>
      </c>
      <c r="D440" s="2" t="s">
        <v>66</v>
      </c>
      <c r="E440" s="3">
        <v>45365</v>
      </c>
      <c r="F440" s="2" t="str">
        <f t="shared" si="6"/>
        <v>Mar</v>
      </c>
      <c r="G440" s="2">
        <v>72</v>
      </c>
      <c r="H440" s="2" t="s">
        <v>28</v>
      </c>
      <c r="I440" s="2">
        <v>180</v>
      </c>
      <c r="J440" s="2">
        <v>146</v>
      </c>
      <c r="K440" s="2">
        <v>631432</v>
      </c>
      <c r="L440" s="2">
        <v>543120</v>
      </c>
      <c r="M440" s="2">
        <v>88312</v>
      </c>
    </row>
    <row r="441" spans="1:13">
      <c r="A441" s="2" t="s">
        <v>516</v>
      </c>
      <c r="B441" s="2" t="s">
        <v>55</v>
      </c>
      <c r="C441" s="2" t="s">
        <v>66</v>
      </c>
      <c r="D441" s="2" t="s">
        <v>59</v>
      </c>
      <c r="E441" s="3">
        <v>45366</v>
      </c>
      <c r="F441" s="2" t="str">
        <f t="shared" si="6"/>
        <v>Mar</v>
      </c>
      <c r="G441" s="2">
        <v>76</v>
      </c>
      <c r="H441" s="2" t="s">
        <v>32</v>
      </c>
      <c r="I441" s="2">
        <v>190</v>
      </c>
      <c r="J441" s="2">
        <v>121</v>
      </c>
      <c r="K441" s="2">
        <v>667131</v>
      </c>
      <c r="L441" s="2">
        <v>454960</v>
      </c>
      <c r="M441" s="2">
        <v>212171</v>
      </c>
    </row>
    <row r="442" spans="1:13">
      <c r="A442" s="2" t="s">
        <v>517</v>
      </c>
      <c r="B442" s="2" t="s">
        <v>50</v>
      </c>
      <c r="C442" s="2" t="s">
        <v>61</v>
      </c>
      <c r="D442" s="2" t="s">
        <v>65</v>
      </c>
      <c r="E442" s="3">
        <v>45367</v>
      </c>
      <c r="F442" s="2" t="str">
        <f t="shared" si="6"/>
        <v>Mar</v>
      </c>
      <c r="G442" s="2">
        <v>242</v>
      </c>
      <c r="H442" s="2" t="s">
        <v>29</v>
      </c>
      <c r="I442" s="2">
        <v>200</v>
      </c>
      <c r="J442" s="2">
        <v>128</v>
      </c>
      <c r="K442" s="2">
        <v>2199381</v>
      </c>
      <c r="L442" s="2">
        <v>693760</v>
      </c>
      <c r="M442" s="2">
        <v>1505621</v>
      </c>
    </row>
    <row r="443" spans="1:13">
      <c r="A443" s="2" t="s">
        <v>518</v>
      </c>
      <c r="B443" s="2" t="s">
        <v>11</v>
      </c>
      <c r="C443" s="2" t="s">
        <v>65</v>
      </c>
      <c r="D443" s="2" t="s">
        <v>61</v>
      </c>
      <c r="E443" s="3">
        <v>45368</v>
      </c>
      <c r="F443" s="2" t="str">
        <f t="shared" si="6"/>
        <v>Mar</v>
      </c>
      <c r="G443" s="2">
        <v>253</v>
      </c>
      <c r="H443" s="2" t="s">
        <v>33</v>
      </c>
      <c r="I443" s="2">
        <v>260</v>
      </c>
      <c r="J443" s="2">
        <v>195</v>
      </c>
      <c r="K443" s="2">
        <v>4053152</v>
      </c>
      <c r="L443" s="2">
        <v>1078350</v>
      </c>
      <c r="M443" s="2">
        <v>2974802</v>
      </c>
    </row>
    <row r="444" spans="1:13">
      <c r="A444" s="2" t="s">
        <v>519</v>
      </c>
      <c r="B444" s="2" t="s">
        <v>6</v>
      </c>
      <c r="C444" s="2" t="s">
        <v>59</v>
      </c>
      <c r="D444" s="2" t="s">
        <v>65</v>
      </c>
      <c r="E444" s="3">
        <v>45369</v>
      </c>
      <c r="F444" s="2" t="str">
        <f t="shared" si="6"/>
        <v>Mar</v>
      </c>
      <c r="G444" s="2">
        <v>239</v>
      </c>
      <c r="H444" s="2" t="s">
        <v>30</v>
      </c>
      <c r="I444" s="2">
        <v>500</v>
      </c>
      <c r="J444" s="2">
        <v>331</v>
      </c>
      <c r="K444" s="2">
        <v>5022536</v>
      </c>
      <c r="L444" s="2">
        <v>1784090</v>
      </c>
      <c r="M444" s="2">
        <v>3238446</v>
      </c>
    </row>
    <row r="445" spans="1:13">
      <c r="A445" s="2" t="s">
        <v>520</v>
      </c>
      <c r="B445" s="2" t="s">
        <v>53</v>
      </c>
      <c r="C445" s="2" t="s">
        <v>65</v>
      </c>
      <c r="D445" s="2" t="s">
        <v>59</v>
      </c>
      <c r="E445" s="3">
        <v>45370</v>
      </c>
      <c r="F445" s="2" t="str">
        <f t="shared" si="6"/>
        <v>Mar</v>
      </c>
      <c r="G445" s="2">
        <v>51</v>
      </c>
      <c r="H445" s="2" t="s">
        <v>31</v>
      </c>
      <c r="I445" s="2">
        <v>72</v>
      </c>
      <c r="J445" s="2">
        <v>66</v>
      </c>
      <c r="K445" s="2">
        <v>185207</v>
      </c>
      <c r="L445" s="2">
        <v>231660</v>
      </c>
      <c r="M445" s="2">
        <v>-46453</v>
      </c>
    </row>
    <row r="446" spans="1:13">
      <c r="A446" s="2" t="s">
        <v>521</v>
      </c>
      <c r="B446" s="2" t="s">
        <v>49</v>
      </c>
      <c r="C446" s="2" t="s">
        <v>61</v>
      </c>
      <c r="D446" s="2" t="s">
        <v>64</v>
      </c>
      <c r="E446" s="3">
        <v>45371</v>
      </c>
      <c r="F446" s="2" t="str">
        <f t="shared" si="6"/>
        <v>Mar</v>
      </c>
      <c r="G446" s="2">
        <v>127</v>
      </c>
      <c r="H446" s="2" t="s">
        <v>28</v>
      </c>
      <c r="I446" s="2">
        <v>180</v>
      </c>
      <c r="J446" s="2">
        <v>126</v>
      </c>
      <c r="K446" s="2">
        <v>1058300</v>
      </c>
      <c r="L446" s="2">
        <v>538020</v>
      </c>
      <c r="M446" s="2">
        <v>520280</v>
      </c>
    </row>
    <row r="447" spans="1:13">
      <c r="A447" s="2" t="s">
        <v>522</v>
      </c>
      <c r="B447" s="2" t="s">
        <v>52</v>
      </c>
      <c r="C447" s="2" t="s">
        <v>64</v>
      </c>
      <c r="D447" s="2" t="s">
        <v>61</v>
      </c>
      <c r="E447" s="3">
        <v>45372</v>
      </c>
      <c r="F447" s="2" t="str">
        <f t="shared" si="6"/>
        <v>Mar</v>
      </c>
      <c r="G447" s="2">
        <v>252</v>
      </c>
      <c r="H447" s="2" t="s">
        <v>32</v>
      </c>
      <c r="I447" s="2">
        <v>190</v>
      </c>
      <c r="J447" s="2">
        <v>117</v>
      </c>
      <c r="K447" s="2">
        <v>2075081</v>
      </c>
      <c r="L447" s="2">
        <v>645840</v>
      </c>
      <c r="M447" s="2">
        <v>1429241</v>
      </c>
    </row>
    <row r="448" spans="1:13">
      <c r="A448" s="2" t="s">
        <v>523</v>
      </c>
      <c r="B448" s="2" t="s">
        <v>37</v>
      </c>
      <c r="C448" s="2" t="s">
        <v>58</v>
      </c>
      <c r="D448" s="2" t="s">
        <v>62</v>
      </c>
      <c r="E448" s="3">
        <v>45373</v>
      </c>
      <c r="F448" s="2" t="str">
        <f t="shared" si="6"/>
        <v>Mar</v>
      </c>
      <c r="G448" s="2">
        <v>289</v>
      </c>
      <c r="H448" s="2" t="s">
        <v>29</v>
      </c>
      <c r="I448" s="2">
        <v>200</v>
      </c>
      <c r="J448" s="2">
        <v>181</v>
      </c>
      <c r="K448" s="2">
        <v>3005492</v>
      </c>
      <c r="L448" s="2">
        <v>1066090</v>
      </c>
      <c r="M448" s="2">
        <v>1939402</v>
      </c>
    </row>
    <row r="449" spans="1:13">
      <c r="A449" s="2" t="s">
        <v>524</v>
      </c>
      <c r="B449" s="2" t="s">
        <v>7</v>
      </c>
      <c r="C449" s="2" t="s">
        <v>62</v>
      </c>
      <c r="D449" s="2" t="s">
        <v>58</v>
      </c>
      <c r="E449" s="3">
        <v>45374</v>
      </c>
      <c r="F449" s="2" t="str">
        <f t="shared" si="6"/>
        <v>Mar</v>
      </c>
      <c r="G449" s="2">
        <v>464</v>
      </c>
      <c r="H449" s="2" t="s">
        <v>33</v>
      </c>
      <c r="I449" s="2">
        <v>260</v>
      </c>
      <c r="J449" s="2">
        <v>196</v>
      </c>
      <c r="K449" s="2">
        <v>7165422</v>
      </c>
      <c r="L449" s="2">
        <v>1497440</v>
      </c>
      <c r="M449" s="2">
        <v>5667982</v>
      </c>
    </row>
    <row r="450" spans="1:13">
      <c r="A450" s="2" t="s">
        <v>525</v>
      </c>
      <c r="B450" s="2" t="s">
        <v>9</v>
      </c>
      <c r="C450" s="2" t="s">
        <v>63</v>
      </c>
      <c r="D450" s="2" t="s">
        <v>59</v>
      </c>
      <c r="E450" s="3">
        <v>45375</v>
      </c>
      <c r="F450" s="2" t="str">
        <f t="shared" si="6"/>
        <v>Mar</v>
      </c>
      <c r="G450" s="2">
        <v>186</v>
      </c>
      <c r="H450" s="2" t="s">
        <v>30</v>
      </c>
      <c r="I450" s="2">
        <v>500</v>
      </c>
      <c r="J450" s="2">
        <v>311</v>
      </c>
      <c r="K450" s="2">
        <v>3959205</v>
      </c>
      <c r="L450" s="2">
        <v>755730</v>
      </c>
      <c r="M450" s="2">
        <v>3203475</v>
      </c>
    </row>
    <row r="451" spans="1:13">
      <c r="A451" s="2" t="s">
        <v>526</v>
      </c>
      <c r="B451" s="2" t="s">
        <v>41</v>
      </c>
      <c r="C451" s="2" t="s">
        <v>59</v>
      </c>
      <c r="D451" s="2" t="s">
        <v>63</v>
      </c>
      <c r="E451" s="3">
        <v>45376</v>
      </c>
      <c r="F451" s="2" t="str">
        <f t="shared" ref="F451:F514" si="7">TEXT(E451,"mmm")</f>
        <v>Mar</v>
      </c>
      <c r="G451" s="2">
        <v>140</v>
      </c>
      <c r="H451" s="2" t="s">
        <v>31</v>
      </c>
      <c r="I451" s="2">
        <v>72</v>
      </c>
      <c r="J451" s="2">
        <v>55</v>
      </c>
      <c r="K451" s="2">
        <v>516499</v>
      </c>
      <c r="L451" s="2">
        <v>121000</v>
      </c>
      <c r="M451" s="2">
        <v>395499</v>
      </c>
    </row>
    <row r="452" spans="1:13">
      <c r="A452" s="2" t="s">
        <v>527</v>
      </c>
      <c r="B452" s="2" t="s">
        <v>39</v>
      </c>
      <c r="C452" s="2" t="s">
        <v>59</v>
      </c>
      <c r="D452" s="2" t="s">
        <v>61</v>
      </c>
      <c r="E452" s="3">
        <v>45377</v>
      </c>
      <c r="F452" s="2" t="str">
        <f t="shared" si="7"/>
        <v>Mar</v>
      </c>
      <c r="G452" s="2">
        <v>117</v>
      </c>
      <c r="H452" s="2" t="s">
        <v>28</v>
      </c>
      <c r="I452" s="2">
        <v>180</v>
      </c>
      <c r="J452" s="2">
        <v>108</v>
      </c>
      <c r="K452" s="2">
        <v>872153</v>
      </c>
      <c r="L452" s="2">
        <v>225180</v>
      </c>
      <c r="M452" s="2">
        <v>646973</v>
      </c>
    </row>
    <row r="453" spans="1:13">
      <c r="A453" s="2" t="s">
        <v>528</v>
      </c>
      <c r="B453" s="2" t="s">
        <v>46</v>
      </c>
      <c r="C453" s="2" t="s">
        <v>61</v>
      </c>
      <c r="D453" s="2" t="s">
        <v>59</v>
      </c>
      <c r="E453" s="3">
        <v>45378</v>
      </c>
      <c r="F453" s="2" t="str">
        <f t="shared" si="7"/>
        <v>Mar</v>
      </c>
      <c r="G453" s="2">
        <v>285</v>
      </c>
      <c r="H453" s="2" t="s">
        <v>32</v>
      </c>
      <c r="I453" s="2">
        <v>190</v>
      </c>
      <c r="J453" s="2">
        <v>180</v>
      </c>
      <c r="K453" s="2">
        <v>2527131</v>
      </c>
      <c r="L453" s="2">
        <v>526500</v>
      </c>
      <c r="M453" s="2">
        <v>2000631</v>
      </c>
    </row>
    <row r="454" spans="1:13">
      <c r="A454" s="2" t="s">
        <v>529</v>
      </c>
      <c r="B454" s="2" t="s">
        <v>45</v>
      </c>
      <c r="C454" s="2" t="s">
        <v>61</v>
      </c>
      <c r="D454" s="2" t="s">
        <v>58</v>
      </c>
      <c r="E454" s="3">
        <v>45379</v>
      </c>
      <c r="F454" s="2" t="str">
        <f t="shared" si="7"/>
        <v>Mar</v>
      </c>
      <c r="G454" s="2">
        <v>118</v>
      </c>
      <c r="H454" s="2" t="s">
        <v>29</v>
      </c>
      <c r="I454" s="2">
        <v>200</v>
      </c>
      <c r="J454" s="2">
        <v>156</v>
      </c>
      <c r="K454" s="2">
        <v>1194071</v>
      </c>
      <c r="L454" s="2">
        <v>326040</v>
      </c>
      <c r="M454" s="2">
        <v>868031</v>
      </c>
    </row>
    <row r="455" spans="1:13">
      <c r="A455" s="2" t="s">
        <v>530</v>
      </c>
      <c r="B455" s="2" t="s">
        <v>3</v>
      </c>
      <c r="C455" s="2" t="s">
        <v>58</v>
      </c>
      <c r="D455" s="2" t="s">
        <v>61</v>
      </c>
      <c r="E455" s="3">
        <v>45380</v>
      </c>
      <c r="F455" s="2" t="str">
        <f t="shared" si="7"/>
        <v>Mar</v>
      </c>
      <c r="G455" s="2">
        <v>254</v>
      </c>
      <c r="H455" s="2" t="s">
        <v>33</v>
      </c>
      <c r="I455" s="2">
        <v>260</v>
      </c>
      <c r="J455" s="2">
        <v>176</v>
      </c>
      <c r="K455" s="2">
        <v>3491774</v>
      </c>
      <c r="L455" s="2">
        <v>487520</v>
      </c>
      <c r="M455" s="2">
        <v>3004254</v>
      </c>
    </row>
    <row r="456" spans="1:13">
      <c r="A456" s="2" t="s">
        <v>531</v>
      </c>
      <c r="B456" s="2" t="s">
        <v>5</v>
      </c>
      <c r="C456" s="2" t="s">
        <v>59</v>
      </c>
      <c r="D456" s="2" t="s">
        <v>58</v>
      </c>
      <c r="E456" s="3">
        <v>45381</v>
      </c>
      <c r="F456" s="2" t="str">
        <f t="shared" si="7"/>
        <v>Mar</v>
      </c>
      <c r="G456" s="2">
        <v>263</v>
      </c>
      <c r="H456" s="2" t="s">
        <v>30</v>
      </c>
      <c r="I456" s="2">
        <v>500</v>
      </c>
      <c r="J456" s="2">
        <v>414</v>
      </c>
      <c r="K456" s="2">
        <v>5021469</v>
      </c>
      <c r="L456" s="2">
        <v>1165410</v>
      </c>
      <c r="M456" s="2">
        <v>3856059</v>
      </c>
    </row>
    <row r="457" spans="1:13">
      <c r="A457" s="2" t="s">
        <v>532</v>
      </c>
      <c r="B457" s="2" t="s">
        <v>36</v>
      </c>
      <c r="C457" s="2" t="s">
        <v>58</v>
      </c>
      <c r="D457" s="2" t="s">
        <v>59</v>
      </c>
      <c r="E457" s="3">
        <v>45382</v>
      </c>
      <c r="F457" s="2" t="str">
        <f t="shared" si="7"/>
        <v>Mar</v>
      </c>
      <c r="G457" s="2">
        <v>110</v>
      </c>
      <c r="H457" s="2" t="s">
        <v>31</v>
      </c>
      <c r="I457" s="2">
        <v>72</v>
      </c>
      <c r="J457" s="2">
        <v>67</v>
      </c>
      <c r="K457" s="2">
        <v>348910</v>
      </c>
      <c r="L457" s="2">
        <v>137350</v>
      </c>
      <c r="M457" s="2">
        <v>211560</v>
      </c>
    </row>
    <row r="458" spans="1:13">
      <c r="A458" s="2" t="s">
        <v>533</v>
      </c>
      <c r="B458" s="2" t="s">
        <v>38</v>
      </c>
      <c r="C458" s="2" t="s">
        <v>59</v>
      </c>
      <c r="D458" s="2" t="s">
        <v>60</v>
      </c>
      <c r="E458" s="3">
        <v>45383</v>
      </c>
      <c r="F458" s="2" t="str">
        <f t="shared" si="7"/>
        <v>Apr</v>
      </c>
      <c r="G458" s="2">
        <v>280</v>
      </c>
      <c r="H458" s="2" t="s">
        <v>28</v>
      </c>
      <c r="I458" s="2">
        <v>180</v>
      </c>
      <c r="J458" s="2">
        <v>167</v>
      </c>
      <c r="K458" s="2">
        <v>2204037</v>
      </c>
      <c r="L458" s="2">
        <v>484300</v>
      </c>
      <c r="M458" s="2">
        <v>1719737</v>
      </c>
    </row>
    <row r="459" spans="1:13">
      <c r="A459" s="2" t="s">
        <v>534</v>
      </c>
      <c r="B459" s="2" t="s">
        <v>44</v>
      </c>
      <c r="C459" s="2" t="s">
        <v>60</v>
      </c>
      <c r="D459" s="2" t="s">
        <v>59</v>
      </c>
      <c r="E459" s="3">
        <v>45384</v>
      </c>
      <c r="F459" s="2" t="str">
        <f t="shared" si="7"/>
        <v>Apr</v>
      </c>
      <c r="G459" s="2">
        <v>143</v>
      </c>
      <c r="H459" s="2" t="s">
        <v>32</v>
      </c>
      <c r="I459" s="2">
        <v>190</v>
      </c>
      <c r="J459" s="2">
        <v>140</v>
      </c>
      <c r="K459" s="2">
        <v>1228882</v>
      </c>
      <c r="L459" s="2">
        <v>310100</v>
      </c>
      <c r="M459" s="2">
        <v>918782</v>
      </c>
    </row>
    <row r="460" spans="1:13">
      <c r="A460" s="2" t="s">
        <v>535</v>
      </c>
      <c r="B460" s="2" t="s">
        <v>48</v>
      </c>
      <c r="C460" s="2" t="s">
        <v>61</v>
      </c>
      <c r="D460" s="2" t="s">
        <v>63</v>
      </c>
      <c r="E460" s="3">
        <v>45385</v>
      </c>
      <c r="F460" s="2" t="str">
        <f t="shared" si="7"/>
        <v>Apr</v>
      </c>
      <c r="G460" s="2">
        <v>336</v>
      </c>
      <c r="H460" s="2" t="s">
        <v>29</v>
      </c>
      <c r="I460" s="2">
        <v>200</v>
      </c>
      <c r="J460" s="2">
        <v>142</v>
      </c>
      <c r="K460" s="2">
        <v>3335271</v>
      </c>
      <c r="L460" s="2">
        <v>451560</v>
      </c>
      <c r="M460" s="2">
        <v>2883711</v>
      </c>
    </row>
    <row r="461" spans="1:13">
      <c r="A461" s="2" t="s">
        <v>536</v>
      </c>
      <c r="B461" s="2" t="s">
        <v>10</v>
      </c>
      <c r="C461" s="2" t="s">
        <v>63</v>
      </c>
      <c r="D461" s="2" t="s">
        <v>61</v>
      </c>
      <c r="E461" s="3">
        <v>45386</v>
      </c>
      <c r="F461" s="2" t="str">
        <f t="shared" si="7"/>
        <v>Apr</v>
      </c>
      <c r="G461" s="2">
        <v>341</v>
      </c>
      <c r="H461" s="2" t="s">
        <v>33</v>
      </c>
      <c r="I461" s="2">
        <v>260</v>
      </c>
      <c r="J461" s="2">
        <v>175</v>
      </c>
      <c r="K461" s="2">
        <v>4635350</v>
      </c>
      <c r="L461" s="2">
        <v>560875</v>
      </c>
      <c r="M461" s="2">
        <v>4074475</v>
      </c>
    </row>
    <row r="462" spans="1:13">
      <c r="A462" s="2" t="s">
        <v>537</v>
      </c>
      <c r="B462" s="2" t="s">
        <v>2</v>
      </c>
      <c r="C462" s="2" t="s">
        <v>58</v>
      </c>
      <c r="D462" s="2" t="s">
        <v>60</v>
      </c>
      <c r="E462" s="3">
        <v>45387</v>
      </c>
      <c r="F462" s="2" t="str">
        <f t="shared" si="7"/>
        <v>Apr</v>
      </c>
      <c r="G462" s="2">
        <v>460</v>
      </c>
      <c r="H462" s="2" t="s">
        <v>30</v>
      </c>
      <c r="I462" s="2">
        <v>500</v>
      </c>
      <c r="J462" s="2">
        <v>425</v>
      </c>
      <c r="K462" s="2">
        <v>9315460</v>
      </c>
      <c r="L462" s="2">
        <v>1615000</v>
      </c>
      <c r="M462" s="2">
        <v>7700460</v>
      </c>
    </row>
    <row r="463" spans="1:13">
      <c r="A463" s="2" t="s">
        <v>538</v>
      </c>
      <c r="B463" s="2" t="s">
        <v>43</v>
      </c>
      <c r="C463" s="2" t="s">
        <v>60</v>
      </c>
      <c r="D463" s="2" t="s">
        <v>58</v>
      </c>
      <c r="E463" s="3">
        <v>45388</v>
      </c>
      <c r="F463" s="2" t="str">
        <f t="shared" si="7"/>
        <v>Apr</v>
      </c>
      <c r="G463" s="2">
        <v>137</v>
      </c>
      <c r="H463" s="2" t="s">
        <v>31</v>
      </c>
      <c r="I463" s="2">
        <v>72</v>
      </c>
      <c r="J463" s="2">
        <v>55</v>
      </c>
      <c r="K463" s="2">
        <v>524399</v>
      </c>
      <c r="L463" s="2">
        <v>120175</v>
      </c>
      <c r="M463" s="2">
        <v>404224</v>
      </c>
    </row>
    <row r="464" spans="1:13">
      <c r="A464" s="2" t="s">
        <v>539</v>
      </c>
      <c r="B464" s="2" t="s">
        <v>40</v>
      </c>
      <c r="C464" s="2" t="s">
        <v>59</v>
      </c>
      <c r="D464" s="2" t="s">
        <v>62</v>
      </c>
      <c r="E464" s="3">
        <v>45389</v>
      </c>
      <c r="F464" s="2" t="str">
        <f t="shared" si="7"/>
        <v>Apr</v>
      </c>
      <c r="G464" s="2">
        <v>233</v>
      </c>
      <c r="H464" s="2" t="s">
        <v>28</v>
      </c>
      <c r="I464" s="2">
        <v>180</v>
      </c>
      <c r="J464" s="2">
        <v>120</v>
      </c>
      <c r="K464" s="2">
        <v>1711586</v>
      </c>
      <c r="L464" s="2">
        <v>639600</v>
      </c>
      <c r="M464" s="2">
        <v>1071986</v>
      </c>
    </row>
    <row r="465" spans="1:13">
      <c r="A465" s="2" t="s">
        <v>540</v>
      </c>
      <c r="B465" s="2" t="s">
        <v>51</v>
      </c>
      <c r="C465" s="2" t="s">
        <v>62</v>
      </c>
      <c r="D465" s="2" t="s">
        <v>59</v>
      </c>
      <c r="E465" s="3">
        <v>45390</v>
      </c>
      <c r="F465" s="2" t="str">
        <f t="shared" si="7"/>
        <v>Apr</v>
      </c>
      <c r="G465" s="2">
        <v>67</v>
      </c>
      <c r="H465" s="2" t="s">
        <v>32</v>
      </c>
      <c r="I465" s="2">
        <v>190</v>
      </c>
      <c r="J465" s="2">
        <v>165</v>
      </c>
      <c r="K465" s="2">
        <v>644580</v>
      </c>
      <c r="L465" s="2">
        <v>605550</v>
      </c>
      <c r="M465" s="2">
        <v>39030</v>
      </c>
    </row>
    <row r="466" spans="1:13">
      <c r="A466" s="2" t="s">
        <v>541</v>
      </c>
      <c r="B466" s="2" t="s">
        <v>47</v>
      </c>
      <c r="C466" s="2" t="s">
        <v>61</v>
      </c>
      <c r="D466" s="2" t="s">
        <v>62</v>
      </c>
      <c r="E466" s="3">
        <v>45391</v>
      </c>
      <c r="F466" s="2" t="str">
        <f t="shared" si="7"/>
        <v>Apr</v>
      </c>
      <c r="G466" s="2">
        <v>278</v>
      </c>
      <c r="H466" s="2" t="s">
        <v>29</v>
      </c>
      <c r="I466" s="2">
        <v>200</v>
      </c>
      <c r="J466" s="2">
        <v>163</v>
      </c>
      <c r="K466" s="2">
        <v>2446223</v>
      </c>
      <c r="L466" s="2">
        <v>471070</v>
      </c>
      <c r="M466" s="2">
        <v>1975153</v>
      </c>
    </row>
    <row r="467" spans="1:13">
      <c r="A467" s="2" t="s">
        <v>542</v>
      </c>
      <c r="B467" s="2" t="s">
        <v>8</v>
      </c>
      <c r="C467" s="2" t="s">
        <v>62</v>
      </c>
      <c r="D467" s="2" t="s">
        <v>61</v>
      </c>
      <c r="E467" s="3">
        <v>45392</v>
      </c>
      <c r="F467" s="2" t="str">
        <f t="shared" si="7"/>
        <v>Apr</v>
      </c>
      <c r="G467" s="2">
        <v>360</v>
      </c>
      <c r="H467" s="2" t="s">
        <v>33</v>
      </c>
      <c r="I467" s="2">
        <v>260</v>
      </c>
      <c r="J467" s="2">
        <v>238</v>
      </c>
      <c r="K467" s="2">
        <v>5904912</v>
      </c>
      <c r="L467" s="2">
        <v>785400</v>
      </c>
      <c r="M467" s="2">
        <v>5119512</v>
      </c>
    </row>
    <row r="468" spans="1:13">
      <c r="A468" s="2" t="s">
        <v>543</v>
      </c>
      <c r="B468" s="2" t="s">
        <v>4</v>
      </c>
      <c r="C468" s="2" t="s">
        <v>58</v>
      </c>
      <c r="D468" s="2" t="s">
        <v>66</v>
      </c>
      <c r="E468" s="3">
        <v>45393</v>
      </c>
      <c r="F468" s="2" t="str">
        <f t="shared" si="7"/>
        <v>Apr</v>
      </c>
      <c r="G468" s="2">
        <v>225</v>
      </c>
      <c r="H468" s="2" t="s">
        <v>30</v>
      </c>
      <c r="I468" s="2">
        <v>500</v>
      </c>
      <c r="J468" s="2">
        <v>380</v>
      </c>
      <c r="K468" s="2">
        <v>4051108</v>
      </c>
      <c r="L468" s="2">
        <v>1995000</v>
      </c>
      <c r="M468" s="2">
        <v>2056108</v>
      </c>
    </row>
    <row r="469" spans="1:13">
      <c r="A469" s="2" t="s">
        <v>544</v>
      </c>
      <c r="B469" s="2" t="s">
        <v>54</v>
      </c>
      <c r="C469" s="2" t="s">
        <v>66</v>
      </c>
      <c r="D469" s="2" t="s">
        <v>58</v>
      </c>
      <c r="E469" s="3">
        <v>45394</v>
      </c>
      <c r="F469" s="2" t="str">
        <f t="shared" si="7"/>
        <v>Apr</v>
      </c>
      <c r="G469" s="2">
        <v>100</v>
      </c>
      <c r="H469" s="2" t="s">
        <v>31</v>
      </c>
      <c r="I469" s="2">
        <v>72</v>
      </c>
      <c r="J469" s="2">
        <v>46</v>
      </c>
      <c r="K469" s="2">
        <v>362989</v>
      </c>
      <c r="L469" s="2">
        <v>184000</v>
      </c>
      <c r="M469" s="2">
        <v>178989</v>
      </c>
    </row>
    <row r="470" spans="1:13">
      <c r="A470" s="2" t="s">
        <v>545</v>
      </c>
      <c r="B470" s="2" t="s">
        <v>42</v>
      </c>
      <c r="C470" s="2" t="s">
        <v>59</v>
      </c>
      <c r="D470" s="2" t="s">
        <v>66</v>
      </c>
      <c r="E470" s="3">
        <v>45395</v>
      </c>
      <c r="F470" s="2" t="str">
        <f t="shared" si="7"/>
        <v>Apr</v>
      </c>
      <c r="G470" s="2">
        <v>287</v>
      </c>
      <c r="H470" s="2" t="s">
        <v>28</v>
      </c>
      <c r="I470" s="2">
        <v>180</v>
      </c>
      <c r="J470" s="2">
        <v>143</v>
      </c>
      <c r="K470" s="2">
        <v>2169968</v>
      </c>
      <c r="L470" s="2">
        <v>839410</v>
      </c>
      <c r="M470" s="2">
        <v>1330558</v>
      </c>
    </row>
    <row r="471" spans="1:13">
      <c r="A471" s="2" t="s">
        <v>546</v>
      </c>
      <c r="B471" s="2" t="s">
        <v>55</v>
      </c>
      <c r="C471" s="2" t="s">
        <v>66</v>
      </c>
      <c r="D471" s="2" t="s">
        <v>59</v>
      </c>
      <c r="E471" s="3">
        <v>45396</v>
      </c>
      <c r="F471" s="2" t="str">
        <f t="shared" si="7"/>
        <v>Apr</v>
      </c>
      <c r="G471" s="2">
        <v>273</v>
      </c>
      <c r="H471" s="2" t="s">
        <v>32</v>
      </c>
      <c r="I471" s="2">
        <v>190</v>
      </c>
      <c r="J471" s="2">
        <v>152</v>
      </c>
      <c r="K471" s="2">
        <v>2343483</v>
      </c>
      <c r="L471" s="2">
        <v>870960</v>
      </c>
      <c r="M471" s="2">
        <v>1472523</v>
      </c>
    </row>
    <row r="472" spans="1:13">
      <c r="A472" s="2" t="s">
        <v>547</v>
      </c>
      <c r="B472" s="2" t="s">
        <v>50</v>
      </c>
      <c r="C472" s="2" t="s">
        <v>61</v>
      </c>
      <c r="D472" s="2" t="s">
        <v>65</v>
      </c>
      <c r="E472" s="3">
        <v>45397</v>
      </c>
      <c r="F472" s="2" t="str">
        <f t="shared" si="7"/>
        <v>Apr</v>
      </c>
      <c r="G472" s="2">
        <v>151</v>
      </c>
      <c r="H472" s="2" t="s">
        <v>29</v>
      </c>
      <c r="I472" s="2">
        <v>200</v>
      </c>
      <c r="J472" s="2">
        <v>141</v>
      </c>
      <c r="K472" s="2">
        <v>1421652</v>
      </c>
      <c r="L472" s="2">
        <v>635910</v>
      </c>
      <c r="M472" s="2">
        <v>785742</v>
      </c>
    </row>
    <row r="473" spans="1:13">
      <c r="A473" s="2" t="s">
        <v>548</v>
      </c>
      <c r="B473" s="2" t="s">
        <v>11</v>
      </c>
      <c r="C473" s="2" t="s">
        <v>65</v>
      </c>
      <c r="D473" s="2" t="s">
        <v>61</v>
      </c>
      <c r="E473" s="3">
        <v>45398</v>
      </c>
      <c r="F473" s="2" t="str">
        <f t="shared" si="7"/>
        <v>Apr</v>
      </c>
      <c r="G473" s="2">
        <v>251</v>
      </c>
      <c r="H473" s="2" t="s">
        <v>33</v>
      </c>
      <c r="I473" s="2">
        <v>260</v>
      </c>
      <c r="J473" s="2">
        <v>198</v>
      </c>
      <c r="K473" s="2">
        <v>3900883</v>
      </c>
      <c r="L473" s="2">
        <v>1090980</v>
      </c>
      <c r="M473" s="2">
        <v>2809903</v>
      </c>
    </row>
    <row r="474" spans="1:13">
      <c r="A474" s="2" t="s">
        <v>549</v>
      </c>
      <c r="B474" s="2" t="s">
        <v>6</v>
      </c>
      <c r="C474" s="2" t="s">
        <v>59</v>
      </c>
      <c r="D474" s="2" t="s">
        <v>65</v>
      </c>
      <c r="E474" s="3">
        <v>45399</v>
      </c>
      <c r="F474" s="2" t="str">
        <f t="shared" si="7"/>
        <v>Apr</v>
      </c>
      <c r="G474" s="2">
        <v>517</v>
      </c>
      <c r="H474" s="2" t="s">
        <v>30</v>
      </c>
      <c r="I474" s="2">
        <v>500</v>
      </c>
      <c r="J474" s="2">
        <v>383</v>
      </c>
      <c r="K474" s="2">
        <v>10546842</v>
      </c>
      <c r="L474" s="2">
        <v>3129110</v>
      </c>
      <c r="M474" s="2">
        <v>7417732</v>
      </c>
    </row>
    <row r="475" spans="1:13">
      <c r="A475" s="2" t="s">
        <v>550</v>
      </c>
      <c r="B475" s="2" t="s">
        <v>53</v>
      </c>
      <c r="C475" s="2" t="s">
        <v>65</v>
      </c>
      <c r="D475" s="2" t="s">
        <v>59</v>
      </c>
      <c r="E475" s="3">
        <v>45400</v>
      </c>
      <c r="F475" s="2" t="str">
        <f t="shared" si="7"/>
        <v>Apr</v>
      </c>
      <c r="G475" s="2">
        <v>61</v>
      </c>
      <c r="H475" s="2" t="s">
        <v>31</v>
      </c>
      <c r="I475" s="2">
        <v>72</v>
      </c>
      <c r="J475" s="2">
        <v>59</v>
      </c>
      <c r="K475" s="2">
        <v>224476</v>
      </c>
      <c r="L475" s="2">
        <v>212990</v>
      </c>
      <c r="M475" s="2">
        <v>11486</v>
      </c>
    </row>
    <row r="476" spans="1:13">
      <c r="A476" s="2" t="s">
        <v>551</v>
      </c>
      <c r="B476" s="2" t="s">
        <v>49</v>
      </c>
      <c r="C476" s="2" t="s">
        <v>61</v>
      </c>
      <c r="D476" s="2" t="s">
        <v>64</v>
      </c>
      <c r="E476" s="3">
        <v>45401</v>
      </c>
      <c r="F476" s="2" t="str">
        <f t="shared" si="7"/>
        <v>Apr</v>
      </c>
      <c r="G476" s="2">
        <v>161</v>
      </c>
      <c r="H476" s="2" t="s">
        <v>28</v>
      </c>
      <c r="I476" s="2">
        <v>180</v>
      </c>
      <c r="J476" s="2">
        <v>165</v>
      </c>
      <c r="K476" s="2">
        <v>1345775</v>
      </c>
      <c r="L476" s="2">
        <v>760650</v>
      </c>
      <c r="M476" s="2">
        <v>585125</v>
      </c>
    </row>
    <row r="477" spans="1:13">
      <c r="A477" s="2" t="s">
        <v>552</v>
      </c>
      <c r="B477" s="2" t="s">
        <v>52</v>
      </c>
      <c r="C477" s="2" t="s">
        <v>64</v>
      </c>
      <c r="D477" s="2" t="s">
        <v>61</v>
      </c>
      <c r="E477" s="3">
        <v>45402</v>
      </c>
      <c r="F477" s="2" t="str">
        <f t="shared" si="7"/>
        <v>Apr</v>
      </c>
      <c r="G477" s="2">
        <v>238</v>
      </c>
      <c r="H477" s="2" t="s">
        <v>32</v>
      </c>
      <c r="I477" s="2">
        <v>190</v>
      </c>
      <c r="J477" s="2">
        <v>120</v>
      </c>
      <c r="K477" s="2">
        <v>2031492</v>
      </c>
      <c r="L477" s="2">
        <v>645600</v>
      </c>
      <c r="M477" s="2">
        <v>1385892</v>
      </c>
    </row>
    <row r="478" spans="1:13">
      <c r="A478" s="2" t="s">
        <v>553</v>
      </c>
      <c r="B478" s="2" t="s">
        <v>37</v>
      </c>
      <c r="C478" s="2" t="s">
        <v>58</v>
      </c>
      <c r="D478" s="2" t="s">
        <v>62</v>
      </c>
      <c r="E478" s="3">
        <v>45403</v>
      </c>
      <c r="F478" s="2" t="str">
        <f t="shared" si="7"/>
        <v>Apr</v>
      </c>
      <c r="G478" s="2">
        <v>125</v>
      </c>
      <c r="H478" s="2" t="s">
        <v>29</v>
      </c>
      <c r="I478" s="2">
        <v>200</v>
      </c>
      <c r="J478" s="2">
        <v>129</v>
      </c>
      <c r="K478" s="2">
        <v>1187235</v>
      </c>
      <c r="L478" s="2">
        <v>548250</v>
      </c>
      <c r="M478" s="2">
        <v>638985</v>
      </c>
    </row>
    <row r="479" spans="1:13">
      <c r="A479" s="2" t="s">
        <v>554</v>
      </c>
      <c r="B479" s="2" t="s">
        <v>7</v>
      </c>
      <c r="C479" s="2" t="s">
        <v>62</v>
      </c>
      <c r="D479" s="2" t="s">
        <v>58</v>
      </c>
      <c r="E479" s="3">
        <v>45404</v>
      </c>
      <c r="F479" s="2" t="str">
        <f t="shared" si="7"/>
        <v>Apr</v>
      </c>
      <c r="G479" s="2">
        <v>265</v>
      </c>
      <c r="H479" s="2" t="s">
        <v>33</v>
      </c>
      <c r="I479" s="2">
        <v>260</v>
      </c>
      <c r="J479" s="2">
        <v>175</v>
      </c>
      <c r="K479" s="2">
        <v>3852583</v>
      </c>
      <c r="L479" s="2">
        <v>988750</v>
      </c>
      <c r="M479" s="2">
        <v>2863833</v>
      </c>
    </row>
    <row r="480" spans="1:13">
      <c r="A480" s="2" t="s">
        <v>555</v>
      </c>
      <c r="B480" s="2" t="s">
        <v>9</v>
      </c>
      <c r="C480" s="2" t="s">
        <v>63</v>
      </c>
      <c r="D480" s="2" t="s">
        <v>59</v>
      </c>
      <c r="E480" s="3">
        <v>45405</v>
      </c>
      <c r="F480" s="2" t="str">
        <f t="shared" si="7"/>
        <v>Apr</v>
      </c>
      <c r="G480" s="2">
        <v>421</v>
      </c>
      <c r="H480" s="2" t="s">
        <v>30</v>
      </c>
      <c r="I480" s="2">
        <v>500</v>
      </c>
      <c r="J480" s="2">
        <v>357</v>
      </c>
      <c r="K480" s="2">
        <v>8449826</v>
      </c>
      <c r="L480" s="2">
        <v>1286985</v>
      </c>
      <c r="M480" s="2">
        <v>7162841</v>
      </c>
    </row>
    <row r="481" spans="1:13">
      <c r="A481" s="2" t="s">
        <v>556</v>
      </c>
      <c r="B481" s="2" t="s">
        <v>41</v>
      </c>
      <c r="C481" s="2" t="s">
        <v>59</v>
      </c>
      <c r="D481" s="2" t="s">
        <v>63</v>
      </c>
      <c r="E481" s="3">
        <v>45406</v>
      </c>
      <c r="F481" s="2" t="str">
        <f t="shared" si="7"/>
        <v>Apr</v>
      </c>
      <c r="G481" s="2">
        <v>62</v>
      </c>
      <c r="H481" s="2" t="s">
        <v>31</v>
      </c>
      <c r="I481" s="2">
        <v>72</v>
      </c>
      <c r="J481" s="2">
        <v>65</v>
      </c>
      <c r="K481" s="2">
        <v>198880</v>
      </c>
      <c r="L481" s="2">
        <v>117650</v>
      </c>
      <c r="M481" s="2">
        <v>81230</v>
      </c>
    </row>
    <row r="482" spans="1:13">
      <c r="A482" s="2" t="s">
        <v>557</v>
      </c>
      <c r="B482" s="2" t="s">
        <v>39</v>
      </c>
      <c r="C482" s="2" t="s">
        <v>59</v>
      </c>
      <c r="D482" s="2" t="s">
        <v>61</v>
      </c>
      <c r="E482" s="3">
        <v>45407</v>
      </c>
      <c r="F482" s="2" t="str">
        <f t="shared" si="7"/>
        <v>Apr</v>
      </c>
      <c r="G482" s="2">
        <v>136</v>
      </c>
      <c r="H482" s="2" t="s">
        <v>28</v>
      </c>
      <c r="I482" s="2">
        <v>180</v>
      </c>
      <c r="J482" s="2">
        <v>112</v>
      </c>
      <c r="K482" s="2">
        <v>1065570</v>
      </c>
      <c r="L482" s="2">
        <v>244160</v>
      </c>
      <c r="M482" s="2">
        <v>821410</v>
      </c>
    </row>
    <row r="483" spans="1:13">
      <c r="A483" s="2" t="s">
        <v>558</v>
      </c>
      <c r="B483" s="2" t="s">
        <v>46</v>
      </c>
      <c r="C483" s="2" t="s">
        <v>61</v>
      </c>
      <c r="D483" s="2" t="s">
        <v>59</v>
      </c>
      <c r="E483" s="3">
        <v>45408</v>
      </c>
      <c r="F483" s="2" t="str">
        <f t="shared" si="7"/>
        <v>Apr</v>
      </c>
      <c r="G483" s="2">
        <v>253</v>
      </c>
      <c r="H483" s="2" t="s">
        <v>32</v>
      </c>
      <c r="I483" s="2">
        <v>190</v>
      </c>
      <c r="J483" s="2">
        <v>179</v>
      </c>
      <c r="K483" s="2">
        <v>2140771</v>
      </c>
      <c r="L483" s="2">
        <v>494935</v>
      </c>
      <c r="M483" s="2">
        <v>1645836</v>
      </c>
    </row>
    <row r="484" spans="1:13">
      <c r="A484" s="2" t="s">
        <v>559</v>
      </c>
      <c r="B484" s="2" t="s">
        <v>45</v>
      </c>
      <c r="C484" s="2" t="s">
        <v>61</v>
      </c>
      <c r="D484" s="2" t="s">
        <v>58</v>
      </c>
      <c r="E484" s="3">
        <v>45409</v>
      </c>
      <c r="F484" s="2" t="str">
        <f t="shared" si="7"/>
        <v>Apr</v>
      </c>
      <c r="G484" s="2">
        <v>201</v>
      </c>
      <c r="H484" s="2" t="s">
        <v>29</v>
      </c>
      <c r="I484" s="2">
        <v>200</v>
      </c>
      <c r="J484" s="2">
        <v>176</v>
      </c>
      <c r="K484" s="2">
        <v>1794987</v>
      </c>
      <c r="L484" s="2">
        <v>440880</v>
      </c>
      <c r="M484" s="2">
        <v>1354107</v>
      </c>
    </row>
    <row r="485" spans="1:13">
      <c r="A485" s="2" t="s">
        <v>560</v>
      </c>
      <c r="B485" s="2" t="s">
        <v>3</v>
      </c>
      <c r="C485" s="2" t="s">
        <v>58</v>
      </c>
      <c r="D485" s="2" t="s">
        <v>61</v>
      </c>
      <c r="E485" s="3">
        <v>45410</v>
      </c>
      <c r="F485" s="2" t="str">
        <f t="shared" si="7"/>
        <v>Apr</v>
      </c>
      <c r="G485" s="2">
        <v>484</v>
      </c>
      <c r="H485" s="2" t="s">
        <v>33</v>
      </c>
      <c r="I485" s="2">
        <v>260</v>
      </c>
      <c r="J485" s="2">
        <v>242</v>
      </c>
      <c r="K485" s="2">
        <v>6714367</v>
      </c>
      <c r="L485" s="2">
        <v>948640</v>
      </c>
      <c r="M485" s="2">
        <v>5765727</v>
      </c>
    </row>
    <row r="486" spans="1:13">
      <c r="A486" s="2" t="s">
        <v>561</v>
      </c>
      <c r="B486" s="2" t="s">
        <v>5</v>
      </c>
      <c r="C486" s="2" t="s">
        <v>59</v>
      </c>
      <c r="D486" s="2" t="s">
        <v>58</v>
      </c>
      <c r="E486" s="3">
        <v>45411</v>
      </c>
      <c r="F486" s="2" t="str">
        <f t="shared" si="7"/>
        <v>Apr</v>
      </c>
      <c r="G486" s="2">
        <v>302</v>
      </c>
      <c r="H486" s="2" t="s">
        <v>30</v>
      </c>
      <c r="I486" s="2">
        <v>500</v>
      </c>
      <c r="J486" s="2">
        <v>305</v>
      </c>
      <c r="K486" s="2">
        <v>6566944</v>
      </c>
      <c r="L486" s="2">
        <v>918050</v>
      </c>
      <c r="M486" s="2">
        <v>5648894</v>
      </c>
    </row>
    <row r="487" spans="1:13">
      <c r="A487" s="2" t="s">
        <v>562</v>
      </c>
      <c r="B487" s="2" t="s">
        <v>36</v>
      </c>
      <c r="C487" s="2" t="s">
        <v>58</v>
      </c>
      <c r="D487" s="2" t="s">
        <v>59</v>
      </c>
      <c r="E487" s="3">
        <v>45412</v>
      </c>
      <c r="F487" s="2" t="str">
        <f t="shared" si="7"/>
        <v>Apr</v>
      </c>
      <c r="G487" s="2">
        <v>132</v>
      </c>
      <c r="H487" s="2" t="s">
        <v>31</v>
      </c>
      <c r="I487" s="2">
        <v>72</v>
      </c>
      <c r="J487" s="2">
        <v>58</v>
      </c>
      <c r="K487" s="2">
        <v>443412</v>
      </c>
      <c r="L487" s="2">
        <v>125280</v>
      </c>
      <c r="M487" s="2">
        <v>318132</v>
      </c>
    </row>
    <row r="488" spans="1:13">
      <c r="A488" s="2" t="s">
        <v>563</v>
      </c>
      <c r="B488" s="2" t="s">
        <v>38</v>
      </c>
      <c r="C488" s="2" t="s">
        <v>59</v>
      </c>
      <c r="D488" s="2" t="s">
        <v>60</v>
      </c>
      <c r="E488" s="3">
        <v>45413</v>
      </c>
      <c r="F488" s="2" t="str">
        <f t="shared" si="7"/>
        <v>May</v>
      </c>
      <c r="G488" s="2">
        <v>263</v>
      </c>
      <c r="H488" s="2" t="s">
        <v>28</v>
      </c>
      <c r="I488" s="2">
        <v>180</v>
      </c>
      <c r="J488" s="2">
        <v>162</v>
      </c>
      <c r="K488" s="2">
        <v>2194087</v>
      </c>
      <c r="L488" s="2">
        <v>456030</v>
      </c>
      <c r="M488" s="2">
        <v>1738057</v>
      </c>
    </row>
    <row r="489" spans="1:13">
      <c r="A489" s="2" t="s">
        <v>564</v>
      </c>
      <c r="B489" s="2" t="s">
        <v>44</v>
      </c>
      <c r="C489" s="2" t="s">
        <v>60</v>
      </c>
      <c r="D489" s="2" t="s">
        <v>59</v>
      </c>
      <c r="E489" s="3">
        <v>45414</v>
      </c>
      <c r="F489" s="2" t="str">
        <f t="shared" si="7"/>
        <v>May</v>
      </c>
      <c r="G489" s="2">
        <v>143</v>
      </c>
      <c r="H489" s="2" t="s">
        <v>32</v>
      </c>
      <c r="I489" s="2">
        <v>190</v>
      </c>
      <c r="J489" s="2">
        <v>136</v>
      </c>
      <c r="K489" s="2">
        <v>1368035</v>
      </c>
      <c r="L489" s="2">
        <v>301240</v>
      </c>
      <c r="M489" s="2">
        <v>1066795</v>
      </c>
    </row>
    <row r="490" spans="1:13">
      <c r="A490" s="2" t="s">
        <v>565</v>
      </c>
      <c r="B490" s="2" t="s">
        <v>48</v>
      </c>
      <c r="C490" s="2" t="s">
        <v>61</v>
      </c>
      <c r="D490" s="2" t="s">
        <v>63</v>
      </c>
      <c r="E490" s="3">
        <v>45415</v>
      </c>
      <c r="F490" s="2" t="str">
        <f t="shared" si="7"/>
        <v>May</v>
      </c>
      <c r="G490" s="2">
        <v>86</v>
      </c>
      <c r="H490" s="2" t="s">
        <v>29</v>
      </c>
      <c r="I490" s="2">
        <v>200</v>
      </c>
      <c r="J490" s="2">
        <v>166</v>
      </c>
      <c r="K490" s="2">
        <v>825660</v>
      </c>
      <c r="L490" s="2">
        <v>320380</v>
      </c>
      <c r="M490" s="2">
        <v>505280</v>
      </c>
    </row>
    <row r="491" spans="1:13">
      <c r="A491" s="2" t="s">
        <v>566</v>
      </c>
      <c r="B491" s="2" t="s">
        <v>10</v>
      </c>
      <c r="C491" s="2" t="s">
        <v>63</v>
      </c>
      <c r="D491" s="2" t="s">
        <v>61</v>
      </c>
      <c r="E491" s="3">
        <v>45416</v>
      </c>
      <c r="F491" s="2" t="str">
        <f t="shared" si="7"/>
        <v>May</v>
      </c>
      <c r="G491" s="2">
        <v>493</v>
      </c>
      <c r="H491" s="2" t="s">
        <v>33</v>
      </c>
      <c r="I491" s="2">
        <v>260</v>
      </c>
      <c r="J491" s="2">
        <v>227</v>
      </c>
      <c r="K491" s="2">
        <v>7366756</v>
      </c>
      <c r="L491" s="2">
        <v>900055</v>
      </c>
      <c r="M491" s="2">
        <v>6466701</v>
      </c>
    </row>
    <row r="492" spans="1:13">
      <c r="A492" s="2" t="s">
        <v>567</v>
      </c>
      <c r="B492" s="2" t="s">
        <v>2</v>
      </c>
      <c r="C492" s="2" t="s">
        <v>58</v>
      </c>
      <c r="D492" s="2" t="s">
        <v>60</v>
      </c>
      <c r="E492" s="3">
        <v>45417</v>
      </c>
      <c r="F492" s="2" t="str">
        <f t="shared" si="7"/>
        <v>May</v>
      </c>
      <c r="G492" s="2">
        <v>306</v>
      </c>
      <c r="H492" s="2" t="s">
        <v>30</v>
      </c>
      <c r="I492" s="2">
        <v>500</v>
      </c>
      <c r="J492" s="2">
        <v>392</v>
      </c>
      <c r="K492" s="2">
        <v>6403465</v>
      </c>
      <c r="L492" s="2">
        <v>1187760</v>
      </c>
      <c r="M492" s="2">
        <v>5215705</v>
      </c>
    </row>
    <row r="493" spans="1:13">
      <c r="A493" s="2" t="s">
        <v>568</v>
      </c>
      <c r="B493" s="2" t="s">
        <v>43</v>
      </c>
      <c r="C493" s="2" t="s">
        <v>60</v>
      </c>
      <c r="D493" s="2" t="s">
        <v>58</v>
      </c>
      <c r="E493" s="3">
        <v>45418</v>
      </c>
      <c r="F493" s="2" t="str">
        <f t="shared" si="7"/>
        <v>May</v>
      </c>
      <c r="G493" s="2">
        <v>104</v>
      </c>
      <c r="H493" s="2" t="s">
        <v>31</v>
      </c>
      <c r="I493" s="2">
        <v>72</v>
      </c>
      <c r="J493" s="2">
        <v>61</v>
      </c>
      <c r="K493" s="2">
        <v>370790</v>
      </c>
      <c r="L493" s="2">
        <v>123220</v>
      </c>
      <c r="M493" s="2">
        <v>247570</v>
      </c>
    </row>
    <row r="494" spans="1:13">
      <c r="A494" s="2" t="s">
        <v>569</v>
      </c>
      <c r="B494" s="2" t="s">
        <v>40</v>
      </c>
      <c r="C494" s="2" t="s">
        <v>59</v>
      </c>
      <c r="D494" s="2" t="s">
        <v>62</v>
      </c>
      <c r="E494" s="3">
        <v>45419</v>
      </c>
      <c r="F494" s="2" t="str">
        <f t="shared" si="7"/>
        <v>May</v>
      </c>
      <c r="G494" s="2">
        <v>71</v>
      </c>
      <c r="H494" s="2" t="s">
        <v>28</v>
      </c>
      <c r="I494" s="2">
        <v>180</v>
      </c>
      <c r="J494" s="2">
        <v>118</v>
      </c>
      <c r="K494" s="2">
        <v>610234</v>
      </c>
      <c r="L494" s="2">
        <v>437780</v>
      </c>
      <c r="M494" s="2">
        <v>172454</v>
      </c>
    </row>
    <row r="495" spans="1:13">
      <c r="A495" s="2" t="s">
        <v>570</v>
      </c>
      <c r="B495" s="2" t="s">
        <v>51</v>
      </c>
      <c r="C495" s="2" t="s">
        <v>62</v>
      </c>
      <c r="D495" s="2" t="s">
        <v>59</v>
      </c>
      <c r="E495" s="3">
        <v>45420</v>
      </c>
      <c r="F495" s="2" t="str">
        <f t="shared" si="7"/>
        <v>May</v>
      </c>
      <c r="G495" s="2">
        <v>181</v>
      </c>
      <c r="H495" s="2" t="s">
        <v>32</v>
      </c>
      <c r="I495" s="2">
        <v>190</v>
      </c>
      <c r="J495" s="2">
        <v>135</v>
      </c>
      <c r="K495" s="2">
        <v>1619285</v>
      </c>
      <c r="L495" s="2">
        <v>649350</v>
      </c>
      <c r="M495" s="2">
        <v>969935</v>
      </c>
    </row>
    <row r="496" spans="1:13">
      <c r="A496" s="2" t="s">
        <v>571</v>
      </c>
      <c r="B496" s="2" t="s">
        <v>47</v>
      </c>
      <c r="C496" s="2" t="s">
        <v>61</v>
      </c>
      <c r="D496" s="2" t="s">
        <v>62</v>
      </c>
      <c r="E496" s="3">
        <v>45421</v>
      </c>
      <c r="F496" s="2" t="str">
        <f t="shared" si="7"/>
        <v>May</v>
      </c>
      <c r="G496" s="2">
        <v>252</v>
      </c>
      <c r="H496" s="2" t="s">
        <v>29</v>
      </c>
      <c r="I496" s="2">
        <v>200</v>
      </c>
      <c r="J496" s="2">
        <v>132</v>
      </c>
      <c r="K496" s="2">
        <v>2532707</v>
      </c>
      <c r="L496" s="2">
        <v>364320</v>
      </c>
      <c r="M496" s="2">
        <v>2168387</v>
      </c>
    </row>
    <row r="497" spans="1:13">
      <c r="A497" s="2" t="s">
        <v>572</v>
      </c>
      <c r="B497" s="2" t="s">
        <v>8</v>
      </c>
      <c r="C497" s="2" t="s">
        <v>62</v>
      </c>
      <c r="D497" s="2" t="s">
        <v>61</v>
      </c>
      <c r="E497" s="3">
        <v>45422</v>
      </c>
      <c r="F497" s="2" t="str">
        <f t="shared" si="7"/>
        <v>May</v>
      </c>
      <c r="G497" s="2">
        <v>362</v>
      </c>
      <c r="H497" s="2" t="s">
        <v>33</v>
      </c>
      <c r="I497" s="2">
        <v>260</v>
      </c>
      <c r="J497" s="2">
        <v>159</v>
      </c>
      <c r="K497" s="2">
        <v>5062576</v>
      </c>
      <c r="L497" s="2">
        <v>526290</v>
      </c>
      <c r="M497" s="2">
        <v>4536286</v>
      </c>
    </row>
    <row r="498" spans="1:13">
      <c r="A498" s="2" t="s">
        <v>573</v>
      </c>
      <c r="B498" s="2" t="s">
        <v>4</v>
      </c>
      <c r="C498" s="2" t="s">
        <v>58</v>
      </c>
      <c r="D498" s="2" t="s">
        <v>66</v>
      </c>
      <c r="E498" s="3">
        <v>45423</v>
      </c>
      <c r="F498" s="2" t="str">
        <f t="shared" si="7"/>
        <v>May</v>
      </c>
      <c r="G498" s="2">
        <v>390</v>
      </c>
      <c r="H498" s="2" t="s">
        <v>30</v>
      </c>
      <c r="I498" s="2">
        <v>500</v>
      </c>
      <c r="J498" s="2">
        <v>339</v>
      </c>
      <c r="K498" s="2">
        <v>8574280</v>
      </c>
      <c r="L498" s="2">
        <v>2339100</v>
      </c>
      <c r="M498" s="2">
        <v>6235180</v>
      </c>
    </row>
    <row r="499" spans="1:13">
      <c r="A499" s="2" t="s">
        <v>574</v>
      </c>
      <c r="B499" s="2" t="s">
        <v>54</v>
      </c>
      <c r="C499" s="2" t="s">
        <v>66</v>
      </c>
      <c r="D499" s="2" t="s">
        <v>58</v>
      </c>
      <c r="E499" s="3">
        <v>45424</v>
      </c>
      <c r="F499" s="2" t="str">
        <f t="shared" si="7"/>
        <v>May</v>
      </c>
      <c r="G499" s="2">
        <v>134</v>
      </c>
      <c r="H499" s="2" t="s">
        <v>31</v>
      </c>
      <c r="I499" s="2">
        <v>72</v>
      </c>
      <c r="J499" s="2">
        <v>55</v>
      </c>
      <c r="K499" s="2">
        <v>429747</v>
      </c>
      <c r="L499" s="2">
        <v>238700</v>
      </c>
      <c r="M499" s="2">
        <v>191047</v>
      </c>
    </row>
    <row r="500" spans="1:13">
      <c r="A500" s="2" t="s">
        <v>575</v>
      </c>
      <c r="B500" s="2" t="s">
        <v>42</v>
      </c>
      <c r="C500" s="2" t="s">
        <v>59</v>
      </c>
      <c r="D500" s="2" t="s">
        <v>66</v>
      </c>
      <c r="E500" s="3">
        <v>45425</v>
      </c>
      <c r="F500" s="2" t="str">
        <f t="shared" si="7"/>
        <v>May</v>
      </c>
      <c r="G500" s="2">
        <v>94</v>
      </c>
      <c r="H500" s="2" t="s">
        <v>28</v>
      </c>
      <c r="I500" s="2">
        <v>180</v>
      </c>
      <c r="J500" s="2">
        <v>121</v>
      </c>
      <c r="K500" s="2">
        <v>739727</v>
      </c>
      <c r="L500" s="2">
        <v>476740</v>
      </c>
      <c r="M500" s="2">
        <v>262987</v>
      </c>
    </row>
    <row r="501" spans="1:13">
      <c r="A501" s="2" t="s">
        <v>576</v>
      </c>
      <c r="B501" s="2" t="s">
        <v>55</v>
      </c>
      <c r="C501" s="2" t="s">
        <v>66</v>
      </c>
      <c r="D501" s="2" t="s">
        <v>59</v>
      </c>
      <c r="E501" s="3">
        <v>45426</v>
      </c>
      <c r="F501" s="2" t="str">
        <f t="shared" si="7"/>
        <v>May</v>
      </c>
      <c r="G501" s="2">
        <v>266</v>
      </c>
      <c r="H501" s="2" t="s">
        <v>32</v>
      </c>
      <c r="I501" s="2">
        <v>190</v>
      </c>
      <c r="J501" s="2">
        <v>131</v>
      </c>
      <c r="K501" s="2">
        <v>2376103</v>
      </c>
      <c r="L501" s="2">
        <v>741460</v>
      </c>
      <c r="M501" s="2">
        <v>1634643</v>
      </c>
    </row>
    <row r="502" spans="1:13">
      <c r="A502" s="2" t="s">
        <v>577</v>
      </c>
      <c r="B502" s="2" t="s">
        <v>50</v>
      </c>
      <c r="C502" s="2" t="s">
        <v>61</v>
      </c>
      <c r="D502" s="2" t="s">
        <v>65</v>
      </c>
      <c r="E502" s="3">
        <v>45427</v>
      </c>
      <c r="F502" s="2" t="str">
        <f t="shared" si="7"/>
        <v>May</v>
      </c>
      <c r="G502" s="2">
        <v>292</v>
      </c>
      <c r="H502" s="2" t="s">
        <v>29</v>
      </c>
      <c r="I502" s="2">
        <v>200</v>
      </c>
      <c r="J502" s="2">
        <v>170</v>
      </c>
      <c r="K502" s="2">
        <v>2908653</v>
      </c>
      <c r="L502" s="2">
        <v>1006400</v>
      </c>
      <c r="M502" s="2">
        <v>1902253</v>
      </c>
    </row>
    <row r="503" spans="1:13">
      <c r="A503" s="2" t="s">
        <v>578</v>
      </c>
      <c r="B503" s="2" t="s">
        <v>11</v>
      </c>
      <c r="C503" s="2" t="s">
        <v>65</v>
      </c>
      <c r="D503" s="2" t="s">
        <v>61</v>
      </c>
      <c r="E503" s="3">
        <v>45428</v>
      </c>
      <c r="F503" s="2" t="str">
        <f t="shared" si="7"/>
        <v>May</v>
      </c>
      <c r="G503" s="2">
        <v>472</v>
      </c>
      <c r="H503" s="2" t="s">
        <v>33</v>
      </c>
      <c r="I503" s="2">
        <v>260</v>
      </c>
      <c r="J503" s="2">
        <v>187</v>
      </c>
      <c r="K503" s="2">
        <v>6897390</v>
      </c>
      <c r="L503" s="2">
        <v>1443640</v>
      </c>
      <c r="M503" s="2">
        <v>5453750</v>
      </c>
    </row>
    <row r="504" spans="1:13">
      <c r="A504" s="2" t="s">
        <v>579</v>
      </c>
      <c r="B504" s="2" t="s">
        <v>6</v>
      </c>
      <c r="C504" s="2" t="s">
        <v>59</v>
      </c>
      <c r="D504" s="2" t="s">
        <v>65</v>
      </c>
      <c r="E504" s="3">
        <v>45429</v>
      </c>
      <c r="F504" s="2" t="str">
        <f t="shared" si="7"/>
        <v>May</v>
      </c>
      <c r="G504" s="2">
        <v>199</v>
      </c>
      <c r="H504" s="2" t="s">
        <v>30</v>
      </c>
      <c r="I504" s="2">
        <v>500</v>
      </c>
      <c r="J504" s="2">
        <v>388</v>
      </c>
      <c r="K504" s="2">
        <v>4014467</v>
      </c>
      <c r="L504" s="2">
        <v>1936120</v>
      </c>
      <c r="M504" s="2">
        <v>2078347</v>
      </c>
    </row>
    <row r="505" spans="1:13">
      <c r="A505" s="2" t="s">
        <v>580</v>
      </c>
      <c r="B505" s="2" t="s">
        <v>53</v>
      </c>
      <c r="C505" s="2" t="s">
        <v>65</v>
      </c>
      <c r="D505" s="2" t="s">
        <v>59</v>
      </c>
      <c r="E505" s="3">
        <v>45430</v>
      </c>
      <c r="F505" s="2" t="str">
        <f t="shared" si="7"/>
        <v>May</v>
      </c>
      <c r="G505" s="2">
        <v>80</v>
      </c>
      <c r="H505" s="2" t="s">
        <v>31</v>
      </c>
      <c r="I505" s="2">
        <v>72</v>
      </c>
      <c r="J505" s="2">
        <v>57</v>
      </c>
      <c r="K505" s="2">
        <v>276562</v>
      </c>
      <c r="L505" s="2">
        <v>216600</v>
      </c>
      <c r="M505" s="2">
        <v>59962</v>
      </c>
    </row>
    <row r="506" spans="1:13">
      <c r="A506" s="2" t="s">
        <v>581</v>
      </c>
      <c r="B506" s="2" t="s">
        <v>49</v>
      </c>
      <c r="C506" s="2" t="s">
        <v>61</v>
      </c>
      <c r="D506" s="2" t="s">
        <v>64</v>
      </c>
      <c r="E506" s="3">
        <v>45431</v>
      </c>
      <c r="F506" s="2" t="str">
        <f t="shared" si="7"/>
        <v>May</v>
      </c>
      <c r="G506" s="2">
        <v>176</v>
      </c>
      <c r="H506" s="2" t="s">
        <v>28</v>
      </c>
      <c r="I506" s="2">
        <v>180</v>
      </c>
      <c r="J506" s="2">
        <v>132</v>
      </c>
      <c r="K506" s="2">
        <v>1437902</v>
      </c>
      <c r="L506" s="2">
        <v>628320</v>
      </c>
      <c r="M506" s="2">
        <v>809582</v>
      </c>
    </row>
    <row r="507" spans="1:13">
      <c r="A507" s="2" t="s">
        <v>582</v>
      </c>
      <c r="B507" s="2" t="s">
        <v>52</v>
      </c>
      <c r="C507" s="2" t="s">
        <v>64</v>
      </c>
      <c r="D507" s="2" t="s">
        <v>61</v>
      </c>
      <c r="E507" s="3">
        <v>45432</v>
      </c>
      <c r="F507" s="2" t="str">
        <f t="shared" si="7"/>
        <v>May</v>
      </c>
      <c r="G507" s="2">
        <v>321</v>
      </c>
      <c r="H507" s="2" t="s">
        <v>32</v>
      </c>
      <c r="I507" s="2">
        <v>190</v>
      </c>
      <c r="J507" s="2">
        <v>157</v>
      </c>
      <c r="K507" s="2">
        <v>3173354</v>
      </c>
      <c r="L507" s="2">
        <v>974970</v>
      </c>
      <c r="M507" s="2">
        <v>2198384</v>
      </c>
    </row>
    <row r="508" spans="1:13">
      <c r="A508" s="2" t="s">
        <v>583</v>
      </c>
      <c r="B508" s="2" t="s">
        <v>37</v>
      </c>
      <c r="C508" s="2" t="s">
        <v>58</v>
      </c>
      <c r="D508" s="2" t="s">
        <v>62</v>
      </c>
      <c r="E508" s="3">
        <v>45433</v>
      </c>
      <c r="F508" s="2" t="str">
        <f t="shared" si="7"/>
        <v>May</v>
      </c>
      <c r="G508" s="2">
        <v>265</v>
      </c>
      <c r="H508" s="2" t="s">
        <v>29</v>
      </c>
      <c r="I508" s="2">
        <v>200</v>
      </c>
      <c r="J508" s="2">
        <v>183</v>
      </c>
      <c r="K508" s="2">
        <v>2371818</v>
      </c>
      <c r="L508" s="2">
        <v>1033950</v>
      </c>
      <c r="M508" s="2">
        <v>1337868</v>
      </c>
    </row>
    <row r="509" spans="1:13">
      <c r="A509" s="2" t="s">
        <v>584</v>
      </c>
      <c r="B509" s="2" t="s">
        <v>7</v>
      </c>
      <c r="C509" s="2" t="s">
        <v>62</v>
      </c>
      <c r="D509" s="2" t="s">
        <v>58</v>
      </c>
      <c r="E509" s="3">
        <v>45434</v>
      </c>
      <c r="F509" s="2" t="str">
        <f t="shared" si="7"/>
        <v>May</v>
      </c>
      <c r="G509" s="2">
        <v>416</v>
      </c>
      <c r="H509" s="2" t="s">
        <v>33</v>
      </c>
      <c r="I509" s="2">
        <v>260</v>
      </c>
      <c r="J509" s="2">
        <v>198</v>
      </c>
      <c r="K509" s="2">
        <v>6659325</v>
      </c>
      <c r="L509" s="2">
        <v>1417680</v>
      </c>
      <c r="M509" s="2">
        <v>5241645</v>
      </c>
    </row>
    <row r="510" spans="1:13">
      <c r="A510" s="2" t="s">
        <v>585</v>
      </c>
      <c r="B510" s="2" t="s">
        <v>9</v>
      </c>
      <c r="C510" s="2" t="s">
        <v>63</v>
      </c>
      <c r="D510" s="2" t="s">
        <v>59</v>
      </c>
      <c r="E510" s="3">
        <v>45435</v>
      </c>
      <c r="F510" s="2" t="str">
        <f t="shared" si="7"/>
        <v>May</v>
      </c>
      <c r="G510" s="2">
        <v>404</v>
      </c>
      <c r="H510" s="2" t="s">
        <v>30</v>
      </c>
      <c r="I510" s="2">
        <v>500</v>
      </c>
      <c r="J510" s="2">
        <v>323</v>
      </c>
      <c r="K510" s="2">
        <v>8428773</v>
      </c>
      <c r="L510" s="2">
        <v>1136960</v>
      </c>
      <c r="M510" s="2">
        <v>7291813</v>
      </c>
    </row>
    <row r="511" spans="1:13">
      <c r="A511" s="2" t="s">
        <v>586</v>
      </c>
      <c r="B511" s="2" t="s">
        <v>41</v>
      </c>
      <c r="C511" s="2" t="s">
        <v>59</v>
      </c>
      <c r="D511" s="2" t="s">
        <v>63</v>
      </c>
      <c r="E511" s="3">
        <v>45436</v>
      </c>
      <c r="F511" s="2" t="str">
        <f t="shared" si="7"/>
        <v>May</v>
      </c>
      <c r="G511" s="2">
        <v>141</v>
      </c>
      <c r="H511" s="2" t="s">
        <v>31</v>
      </c>
      <c r="I511" s="2">
        <v>72</v>
      </c>
      <c r="J511" s="2">
        <v>58</v>
      </c>
      <c r="K511" s="2">
        <v>506581</v>
      </c>
      <c r="L511" s="2">
        <v>127890</v>
      </c>
      <c r="M511" s="2">
        <v>378691</v>
      </c>
    </row>
    <row r="512" spans="1:13">
      <c r="A512" s="2" t="s">
        <v>587</v>
      </c>
      <c r="B512" s="2" t="s">
        <v>39</v>
      </c>
      <c r="C512" s="2" t="s">
        <v>59</v>
      </c>
      <c r="D512" s="2" t="s">
        <v>61</v>
      </c>
      <c r="E512" s="3">
        <v>45437</v>
      </c>
      <c r="F512" s="2" t="str">
        <f t="shared" si="7"/>
        <v>May</v>
      </c>
      <c r="G512" s="2">
        <v>73</v>
      </c>
      <c r="H512" s="2" t="s">
        <v>28</v>
      </c>
      <c r="I512" s="2">
        <v>180</v>
      </c>
      <c r="J512" s="2">
        <v>169</v>
      </c>
      <c r="K512" s="2">
        <v>546738</v>
      </c>
      <c r="L512" s="2">
        <v>315185</v>
      </c>
      <c r="M512" s="2">
        <v>231553</v>
      </c>
    </row>
    <row r="513" spans="1:13">
      <c r="A513" s="2" t="s">
        <v>588</v>
      </c>
      <c r="B513" s="2" t="s">
        <v>46</v>
      </c>
      <c r="C513" s="2" t="s">
        <v>61</v>
      </c>
      <c r="D513" s="2" t="s">
        <v>59</v>
      </c>
      <c r="E513" s="3">
        <v>45438</v>
      </c>
      <c r="F513" s="2" t="str">
        <f t="shared" si="7"/>
        <v>May</v>
      </c>
      <c r="G513" s="2">
        <v>100</v>
      </c>
      <c r="H513" s="2" t="s">
        <v>32</v>
      </c>
      <c r="I513" s="2">
        <v>190</v>
      </c>
      <c r="J513" s="2">
        <v>130</v>
      </c>
      <c r="K513" s="2">
        <v>966734</v>
      </c>
      <c r="L513" s="2">
        <v>260000</v>
      </c>
      <c r="M513" s="2">
        <v>706734</v>
      </c>
    </row>
    <row r="514" spans="1:13">
      <c r="A514" s="2" t="s">
        <v>589</v>
      </c>
      <c r="B514" s="2" t="s">
        <v>45</v>
      </c>
      <c r="C514" s="2" t="s">
        <v>61</v>
      </c>
      <c r="D514" s="2" t="s">
        <v>58</v>
      </c>
      <c r="E514" s="3">
        <v>45439</v>
      </c>
      <c r="F514" s="2" t="str">
        <f t="shared" si="7"/>
        <v>May</v>
      </c>
      <c r="G514" s="2">
        <v>190</v>
      </c>
      <c r="H514" s="2" t="s">
        <v>29</v>
      </c>
      <c r="I514" s="2">
        <v>200</v>
      </c>
      <c r="J514" s="2">
        <v>161</v>
      </c>
      <c r="K514" s="2">
        <v>1833668</v>
      </c>
      <c r="L514" s="2">
        <v>394450</v>
      </c>
      <c r="M514" s="2">
        <v>1439218</v>
      </c>
    </row>
    <row r="515" spans="1:13">
      <c r="A515" s="2" t="s">
        <v>590</v>
      </c>
      <c r="B515" s="2" t="s">
        <v>3</v>
      </c>
      <c r="C515" s="2" t="s">
        <v>58</v>
      </c>
      <c r="D515" s="2" t="s">
        <v>61</v>
      </c>
      <c r="E515" s="3">
        <v>45440</v>
      </c>
      <c r="F515" s="2" t="str">
        <f t="shared" ref="F515:F578" si="8">TEXT(E515,"mmm")</f>
        <v>May</v>
      </c>
      <c r="G515" s="2">
        <v>263</v>
      </c>
      <c r="H515" s="2" t="s">
        <v>33</v>
      </c>
      <c r="I515" s="2">
        <v>260</v>
      </c>
      <c r="J515" s="2">
        <v>209</v>
      </c>
      <c r="K515" s="2">
        <v>3679520</v>
      </c>
      <c r="L515" s="2">
        <v>588335</v>
      </c>
      <c r="M515" s="2">
        <v>3091185</v>
      </c>
    </row>
    <row r="516" spans="1:13">
      <c r="A516" s="2" t="s">
        <v>591</v>
      </c>
      <c r="B516" s="2" t="s">
        <v>5</v>
      </c>
      <c r="C516" s="2" t="s">
        <v>59</v>
      </c>
      <c r="D516" s="2" t="s">
        <v>58</v>
      </c>
      <c r="E516" s="3">
        <v>45441</v>
      </c>
      <c r="F516" s="2" t="str">
        <f t="shared" si="8"/>
        <v>May</v>
      </c>
      <c r="G516" s="2">
        <v>524</v>
      </c>
      <c r="H516" s="2" t="s">
        <v>30</v>
      </c>
      <c r="I516" s="2">
        <v>500</v>
      </c>
      <c r="J516" s="2">
        <v>469</v>
      </c>
      <c r="K516" s="2">
        <v>9973047</v>
      </c>
      <c r="L516" s="2">
        <v>1932280</v>
      </c>
      <c r="M516" s="2">
        <v>8040767</v>
      </c>
    </row>
    <row r="517" spans="1:13">
      <c r="A517" s="2" t="s">
        <v>592</v>
      </c>
      <c r="B517" s="2" t="s">
        <v>36</v>
      </c>
      <c r="C517" s="2" t="s">
        <v>58</v>
      </c>
      <c r="D517" s="2" t="s">
        <v>59</v>
      </c>
      <c r="E517" s="3">
        <v>45442</v>
      </c>
      <c r="F517" s="2" t="str">
        <f t="shared" si="8"/>
        <v>May</v>
      </c>
      <c r="G517" s="2">
        <v>130</v>
      </c>
      <c r="H517" s="2" t="s">
        <v>31</v>
      </c>
      <c r="I517" s="2">
        <v>72</v>
      </c>
      <c r="J517" s="2">
        <v>43</v>
      </c>
      <c r="K517" s="2">
        <v>463045</v>
      </c>
      <c r="L517" s="2">
        <v>92450</v>
      </c>
      <c r="M517" s="2">
        <v>370595</v>
      </c>
    </row>
    <row r="518" spans="1:13">
      <c r="A518" s="2" t="s">
        <v>593</v>
      </c>
      <c r="B518" s="2" t="s">
        <v>38</v>
      </c>
      <c r="C518" s="2" t="s">
        <v>59</v>
      </c>
      <c r="D518" s="2" t="s">
        <v>60</v>
      </c>
      <c r="E518" s="3">
        <v>45443</v>
      </c>
      <c r="F518" s="2" t="str">
        <f t="shared" si="8"/>
        <v>May</v>
      </c>
      <c r="G518" s="2">
        <v>263</v>
      </c>
      <c r="H518" s="2" t="s">
        <v>28</v>
      </c>
      <c r="I518" s="2">
        <v>180</v>
      </c>
      <c r="J518" s="2">
        <v>116</v>
      </c>
      <c r="K518" s="2">
        <v>2301700</v>
      </c>
      <c r="L518" s="2">
        <v>326540</v>
      </c>
      <c r="M518" s="2">
        <v>1975160</v>
      </c>
    </row>
    <row r="519" spans="1:13">
      <c r="A519" s="2" t="s">
        <v>594</v>
      </c>
      <c r="B519" s="2" t="s">
        <v>44</v>
      </c>
      <c r="C519" s="2" t="s">
        <v>60</v>
      </c>
      <c r="D519" s="2" t="s">
        <v>59</v>
      </c>
      <c r="E519" s="3">
        <v>45444</v>
      </c>
      <c r="F519" s="2" t="str">
        <f t="shared" si="8"/>
        <v>Jun</v>
      </c>
      <c r="G519" s="2">
        <v>346</v>
      </c>
      <c r="H519" s="2" t="s">
        <v>32</v>
      </c>
      <c r="I519" s="2">
        <v>190</v>
      </c>
      <c r="J519" s="2">
        <v>129</v>
      </c>
      <c r="K519" s="2">
        <v>2848373</v>
      </c>
      <c r="L519" s="2">
        <v>416670</v>
      </c>
      <c r="M519" s="2">
        <v>2431703</v>
      </c>
    </row>
    <row r="520" spans="1:13">
      <c r="A520" s="2" t="s">
        <v>595</v>
      </c>
      <c r="B520" s="2" t="s">
        <v>48</v>
      </c>
      <c r="C520" s="2" t="s">
        <v>61</v>
      </c>
      <c r="D520" s="2" t="s">
        <v>63</v>
      </c>
      <c r="E520" s="3">
        <v>45445</v>
      </c>
      <c r="F520" s="2" t="str">
        <f t="shared" si="8"/>
        <v>Jun</v>
      </c>
      <c r="G520" s="2">
        <v>349</v>
      </c>
      <c r="H520" s="2" t="s">
        <v>29</v>
      </c>
      <c r="I520" s="2">
        <v>200</v>
      </c>
      <c r="J520" s="2">
        <v>143</v>
      </c>
      <c r="K520" s="2">
        <v>3281534</v>
      </c>
      <c r="L520" s="2">
        <v>464035</v>
      </c>
      <c r="M520" s="2">
        <v>2817499</v>
      </c>
    </row>
    <row r="521" spans="1:13">
      <c r="A521" s="2" t="s">
        <v>596</v>
      </c>
      <c r="B521" s="2" t="s">
        <v>10</v>
      </c>
      <c r="C521" s="2" t="s">
        <v>63</v>
      </c>
      <c r="D521" s="2" t="s">
        <v>61</v>
      </c>
      <c r="E521" s="3">
        <v>45446</v>
      </c>
      <c r="F521" s="2" t="str">
        <f t="shared" si="8"/>
        <v>Jun</v>
      </c>
      <c r="G521" s="2">
        <v>511</v>
      </c>
      <c r="H521" s="2" t="s">
        <v>33</v>
      </c>
      <c r="I521" s="2">
        <v>260</v>
      </c>
      <c r="J521" s="2">
        <v>231</v>
      </c>
      <c r="K521" s="2">
        <v>7559050</v>
      </c>
      <c r="L521" s="2">
        <v>936705</v>
      </c>
      <c r="M521" s="2">
        <v>6622345</v>
      </c>
    </row>
    <row r="522" spans="1:13">
      <c r="A522" s="2" t="s">
        <v>597</v>
      </c>
      <c r="B522" s="2" t="s">
        <v>2</v>
      </c>
      <c r="C522" s="2" t="s">
        <v>58</v>
      </c>
      <c r="D522" s="2" t="s">
        <v>60</v>
      </c>
      <c r="E522" s="3">
        <v>45447</v>
      </c>
      <c r="F522" s="2" t="str">
        <f t="shared" si="8"/>
        <v>Jun</v>
      </c>
      <c r="G522" s="2">
        <v>455</v>
      </c>
      <c r="H522" s="2" t="s">
        <v>30</v>
      </c>
      <c r="I522" s="2">
        <v>500</v>
      </c>
      <c r="J522" s="2">
        <v>402</v>
      </c>
      <c r="K522" s="2">
        <v>9916421</v>
      </c>
      <c r="L522" s="2">
        <v>1517550</v>
      </c>
      <c r="M522" s="2">
        <v>8398871</v>
      </c>
    </row>
    <row r="523" spans="1:13">
      <c r="A523" s="2" t="s">
        <v>598</v>
      </c>
      <c r="B523" s="2" t="s">
        <v>43</v>
      </c>
      <c r="C523" s="2" t="s">
        <v>60</v>
      </c>
      <c r="D523" s="2" t="s">
        <v>58</v>
      </c>
      <c r="E523" s="3">
        <v>45448</v>
      </c>
      <c r="F523" s="2" t="str">
        <f t="shared" si="8"/>
        <v>Jun</v>
      </c>
      <c r="G523" s="2">
        <v>86</v>
      </c>
      <c r="H523" s="2" t="s">
        <v>31</v>
      </c>
      <c r="I523" s="2">
        <v>72</v>
      </c>
      <c r="J523" s="2">
        <v>47</v>
      </c>
      <c r="K523" s="2">
        <v>280990</v>
      </c>
      <c r="L523" s="2">
        <v>90710</v>
      </c>
      <c r="M523" s="2">
        <v>190280</v>
      </c>
    </row>
    <row r="524" spans="1:13">
      <c r="A524" s="2" t="s">
        <v>599</v>
      </c>
      <c r="B524" s="2" t="s">
        <v>40</v>
      </c>
      <c r="C524" s="2" t="s">
        <v>59</v>
      </c>
      <c r="D524" s="2" t="s">
        <v>62</v>
      </c>
      <c r="E524" s="3">
        <v>45449</v>
      </c>
      <c r="F524" s="2" t="str">
        <f t="shared" si="8"/>
        <v>Jun</v>
      </c>
      <c r="G524" s="2">
        <v>180</v>
      </c>
      <c r="H524" s="2" t="s">
        <v>28</v>
      </c>
      <c r="I524" s="2">
        <v>180</v>
      </c>
      <c r="J524" s="2">
        <v>146</v>
      </c>
      <c r="K524" s="2">
        <v>1398738</v>
      </c>
      <c r="L524" s="2">
        <v>700800</v>
      </c>
      <c r="M524" s="2">
        <v>697938</v>
      </c>
    </row>
    <row r="525" spans="1:13">
      <c r="A525" s="2" t="s">
        <v>600</v>
      </c>
      <c r="B525" s="2" t="s">
        <v>51</v>
      </c>
      <c r="C525" s="2" t="s">
        <v>62</v>
      </c>
      <c r="D525" s="2" t="s">
        <v>59</v>
      </c>
      <c r="E525" s="3">
        <v>45450</v>
      </c>
      <c r="F525" s="2" t="str">
        <f t="shared" si="8"/>
        <v>Jun</v>
      </c>
      <c r="G525" s="2">
        <v>263</v>
      </c>
      <c r="H525" s="2" t="s">
        <v>32</v>
      </c>
      <c r="I525" s="2">
        <v>190</v>
      </c>
      <c r="J525" s="2">
        <v>145</v>
      </c>
      <c r="K525" s="2">
        <v>2529930</v>
      </c>
      <c r="L525" s="2">
        <v>816350</v>
      </c>
      <c r="M525" s="2">
        <v>1713580</v>
      </c>
    </row>
    <row r="526" spans="1:13">
      <c r="A526" s="2" t="s">
        <v>601</v>
      </c>
      <c r="B526" s="2" t="s">
        <v>47</v>
      </c>
      <c r="C526" s="2" t="s">
        <v>61</v>
      </c>
      <c r="D526" s="2" t="s">
        <v>62</v>
      </c>
      <c r="E526" s="3">
        <v>45451</v>
      </c>
      <c r="F526" s="2" t="str">
        <f t="shared" si="8"/>
        <v>Jun</v>
      </c>
      <c r="G526" s="2">
        <v>123</v>
      </c>
      <c r="H526" s="2" t="s">
        <v>29</v>
      </c>
      <c r="I526" s="2">
        <v>200</v>
      </c>
      <c r="J526" s="2">
        <v>151</v>
      </c>
      <c r="K526" s="2">
        <v>1253617</v>
      </c>
      <c r="L526" s="2">
        <v>319365</v>
      </c>
      <c r="M526" s="2">
        <v>934252</v>
      </c>
    </row>
    <row r="527" spans="1:13">
      <c r="A527" s="2" t="s">
        <v>602</v>
      </c>
      <c r="B527" s="2" t="s">
        <v>8</v>
      </c>
      <c r="C527" s="2" t="s">
        <v>62</v>
      </c>
      <c r="D527" s="2" t="s">
        <v>61</v>
      </c>
      <c r="E527" s="3">
        <v>45452</v>
      </c>
      <c r="F527" s="2" t="str">
        <f t="shared" si="8"/>
        <v>Jun</v>
      </c>
      <c r="G527" s="2">
        <v>287</v>
      </c>
      <c r="H527" s="2" t="s">
        <v>33</v>
      </c>
      <c r="I527" s="2">
        <v>260</v>
      </c>
      <c r="J527" s="2">
        <v>205</v>
      </c>
      <c r="K527" s="2">
        <v>3903935</v>
      </c>
      <c r="L527" s="2">
        <v>601675</v>
      </c>
      <c r="M527" s="2">
        <v>3302260</v>
      </c>
    </row>
    <row r="528" spans="1:13">
      <c r="A528" s="2" t="s">
        <v>603</v>
      </c>
      <c r="B528" s="2" t="s">
        <v>4</v>
      </c>
      <c r="C528" s="2" t="s">
        <v>58</v>
      </c>
      <c r="D528" s="2" t="s">
        <v>66</v>
      </c>
      <c r="E528" s="3">
        <v>45453</v>
      </c>
      <c r="F528" s="2" t="str">
        <f t="shared" si="8"/>
        <v>Jun</v>
      </c>
      <c r="G528" s="2">
        <v>513</v>
      </c>
      <c r="H528" s="2" t="s">
        <v>30</v>
      </c>
      <c r="I528" s="2">
        <v>500</v>
      </c>
      <c r="J528" s="2">
        <v>309</v>
      </c>
      <c r="K528" s="2">
        <v>10323959</v>
      </c>
      <c r="L528" s="2">
        <v>2512170</v>
      </c>
      <c r="M528" s="2">
        <v>7811789</v>
      </c>
    </row>
    <row r="529" spans="1:13">
      <c r="A529" s="2" t="s">
        <v>604</v>
      </c>
      <c r="B529" s="2" t="s">
        <v>54</v>
      </c>
      <c r="C529" s="2" t="s">
        <v>66</v>
      </c>
      <c r="D529" s="2" t="s">
        <v>58</v>
      </c>
      <c r="E529" s="3">
        <v>45454</v>
      </c>
      <c r="F529" s="2" t="str">
        <f t="shared" si="8"/>
        <v>Jun</v>
      </c>
      <c r="G529" s="2">
        <v>49</v>
      </c>
      <c r="H529" s="2" t="s">
        <v>31</v>
      </c>
      <c r="I529" s="2">
        <v>72</v>
      </c>
      <c r="J529" s="2">
        <v>44</v>
      </c>
      <c r="K529" s="2">
        <v>176302</v>
      </c>
      <c r="L529" s="2">
        <v>153560</v>
      </c>
      <c r="M529" s="2">
        <v>22742</v>
      </c>
    </row>
    <row r="530" spans="1:13">
      <c r="A530" s="2" t="s">
        <v>605</v>
      </c>
      <c r="B530" s="2" t="s">
        <v>42</v>
      </c>
      <c r="C530" s="2" t="s">
        <v>59</v>
      </c>
      <c r="D530" s="2" t="s">
        <v>66</v>
      </c>
      <c r="E530" s="3">
        <v>45455</v>
      </c>
      <c r="F530" s="2" t="str">
        <f t="shared" si="8"/>
        <v>Jun</v>
      </c>
      <c r="G530" s="2">
        <v>94</v>
      </c>
      <c r="H530" s="2" t="s">
        <v>28</v>
      </c>
      <c r="I530" s="2">
        <v>180</v>
      </c>
      <c r="J530" s="2">
        <v>136</v>
      </c>
      <c r="K530" s="2">
        <v>817254</v>
      </c>
      <c r="L530" s="2">
        <v>535840</v>
      </c>
      <c r="M530" s="2">
        <v>281414</v>
      </c>
    </row>
    <row r="531" spans="1:13">
      <c r="A531" s="2" t="s">
        <v>606</v>
      </c>
      <c r="B531" s="2" t="s">
        <v>55</v>
      </c>
      <c r="C531" s="2" t="s">
        <v>66</v>
      </c>
      <c r="D531" s="2" t="s">
        <v>59</v>
      </c>
      <c r="E531" s="3">
        <v>45456</v>
      </c>
      <c r="F531" s="2" t="str">
        <f t="shared" si="8"/>
        <v>Jun</v>
      </c>
      <c r="G531" s="2">
        <v>220</v>
      </c>
      <c r="H531" s="2" t="s">
        <v>32</v>
      </c>
      <c r="I531" s="2">
        <v>190</v>
      </c>
      <c r="J531" s="2">
        <v>147</v>
      </c>
      <c r="K531" s="2">
        <v>1798462</v>
      </c>
      <c r="L531" s="2">
        <v>764400</v>
      </c>
      <c r="M531" s="2">
        <v>1034062</v>
      </c>
    </row>
    <row r="532" spans="1:13">
      <c r="A532" s="2" t="s">
        <v>607</v>
      </c>
      <c r="B532" s="2" t="s">
        <v>50</v>
      </c>
      <c r="C532" s="2" t="s">
        <v>61</v>
      </c>
      <c r="D532" s="2" t="s">
        <v>65</v>
      </c>
      <c r="E532" s="3">
        <v>45457</v>
      </c>
      <c r="F532" s="2" t="str">
        <f t="shared" si="8"/>
        <v>Jun</v>
      </c>
      <c r="G532" s="2">
        <v>355</v>
      </c>
      <c r="H532" s="2" t="s">
        <v>29</v>
      </c>
      <c r="I532" s="2">
        <v>200</v>
      </c>
      <c r="J532" s="2">
        <v>189</v>
      </c>
      <c r="K532" s="2">
        <v>3686222</v>
      </c>
      <c r="L532" s="2">
        <v>1237950</v>
      </c>
      <c r="M532" s="2">
        <v>2448272</v>
      </c>
    </row>
    <row r="533" spans="1:13">
      <c r="A533" s="2" t="s">
        <v>608</v>
      </c>
      <c r="B533" s="2" t="s">
        <v>11</v>
      </c>
      <c r="C533" s="2" t="s">
        <v>65</v>
      </c>
      <c r="D533" s="2" t="s">
        <v>61</v>
      </c>
      <c r="E533" s="3">
        <v>45458</v>
      </c>
      <c r="F533" s="2" t="str">
        <f t="shared" si="8"/>
        <v>Jun</v>
      </c>
      <c r="G533" s="2">
        <v>478</v>
      </c>
      <c r="H533" s="2" t="s">
        <v>33</v>
      </c>
      <c r="I533" s="2">
        <v>260</v>
      </c>
      <c r="J533" s="2">
        <v>157</v>
      </c>
      <c r="K533" s="2">
        <v>6916369</v>
      </c>
      <c r="L533" s="2">
        <v>1221460</v>
      </c>
      <c r="M533" s="2">
        <v>5694909</v>
      </c>
    </row>
    <row r="534" spans="1:13">
      <c r="A534" s="2" t="s">
        <v>609</v>
      </c>
      <c r="B534" s="2" t="s">
        <v>6</v>
      </c>
      <c r="C534" s="2" t="s">
        <v>59</v>
      </c>
      <c r="D534" s="2" t="s">
        <v>65</v>
      </c>
      <c r="E534" s="3">
        <v>45459</v>
      </c>
      <c r="F534" s="2" t="str">
        <f t="shared" si="8"/>
        <v>Jun</v>
      </c>
      <c r="G534" s="2">
        <v>464</v>
      </c>
      <c r="H534" s="2" t="s">
        <v>30</v>
      </c>
      <c r="I534" s="2">
        <v>500</v>
      </c>
      <c r="J534" s="2">
        <v>451</v>
      </c>
      <c r="K534" s="2">
        <v>9195997</v>
      </c>
      <c r="L534" s="2">
        <v>3445640</v>
      </c>
      <c r="M534" s="2">
        <v>5750357</v>
      </c>
    </row>
    <row r="535" spans="1:13">
      <c r="A535" s="2" t="s">
        <v>610</v>
      </c>
      <c r="B535" s="2" t="s">
        <v>53</v>
      </c>
      <c r="C535" s="2" t="s">
        <v>65</v>
      </c>
      <c r="D535" s="2" t="s">
        <v>59</v>
      </c>
      <c r="E535" s="3">
        <v>45460</v>
      </c>
      <c r="F535" s="2" t="str">
        <f t="shared" si="8"/>
        <v>Jun</v>
      </c>
      <c r="G535" s="2">
        <v>140</v>
      </c>
      <c r="H535" s="2" t="s">
        <v>31</v>
      </c>
      <c r="I535" s="2">
        <v>72</v>
      </c>
      <c r="J535" s="2">
        <v>56</v>
      </c>
      <c r="K535" s="2">
        <v>474580</v>
      </c>
      <c r="L535" s="2">
        <v>246400</v>
      </c>
      <c r="M535" s="2">
        <v>228180</v>
      </c>
    </row>
    <row r="536" spans="1:13">
      <c r="A536" s="2" t="s">
        <v>611</v>
      </c>
      <c r="B536" s="2" t="s">
        <v>49</v>
      </c>
      <c r="C536" s="2" t="s">
        <v>61</v>
      </c>
      <c r="D536" s="2" t="s">
        <v>64</v>
      </c>
      <c r="E536" s="3">
        <v>45461</v>
      </c>
      <c r="F536" s="2" t="str">
        <f t="shared" si="8"/>
        <v>Jun</v>
      </c>
      <c r="G536" s="2">
        <v>97</v>
      </c>
      <c r="H536" s="2" t="s">
        <v>28</v>
      </c>
      <c r="I536" s="2">
        <v>180</v>
      </c>
      <c r="J536" s="2">
        <v>116</v>
      </c>
      <c r="K536" s="2">
        <v>703051</v>
      </c>
      <c r="L536" s="2">
        <v>460520</v>
      </c>
      <c r="M536" s="2">
        <v>242531</v>
      </c>
    </row>
    <row r="537" spans="1:13">
      <c r="A537" s="2" t="s">
        <v>612</v>
      </c>
      <c r="B537" s="2" t="s">
        <v>52</v>
      </c>
      <c r="C537" s="2" t="s">
        <v>64</v>
      </c>
      <c r="D537" s="2" t="s">
        <v>61</v>
      </c>
      <c r="E537" s="3">
        <v>45462</v>
      </c>
      <c r="F537" s="2" t="str">
        <f t="shared" si="8"/>
        <v>Jun</v>
      </c>
      <c r="G537" s="2">
        <v>293</v>
      </c>
      <c r="H537" s="2" t="s">
        <v>32</v>
      </c>
      <c r="I537" s="2">
        <v>190</v>
      </c>
      <c r="J537" s="2">
        <v>162</v>
      </c>
      <c r="K537" s="2">
        <v>2458940</v>
      </c>
      <c r="L537" s="2">
        <v>960660</v>
      </c>
      <c r="M537" s="2">
        <v>1498280</v>
      </c>
    </row>
    <row r="538" spans="1:13">
      <c r="A538" s="2" t="s">
        <v>613</v>
      </c>
      <c r="B538" s="2" t="s">
        <v>37</v>
      </c>
      <c r="C538" s="2" t="s">
        <v>58</v>
      </c>
      <c r="D538" s="2" t="s">
        <v>62</v>
      </c>
      <c r="E538" s="3">
        <v>45463</v>
      </c>
      <c r="F538" s="2" t="str">
        <f t="shared" si="8"/>
        <v>Jun</v>
      </c>
      <c r="G538" s="2">
        <v>208</v>
      </c>
      <c r="H538" s="2" t="s">
        <v>29</v>
      </c>
      <c r="I538" s="2">
        <v>200</v>
      </c>
      <c r="J538" s="2">
        <v>171</v>
      </c>
      <c r="K538" s="2">
        <v>1840115</v>
      </c>
      <c r="L538" s="2">
        <v>868680</v>
      </c>
      <c r="M538" s="2">
        <v>971435</v>
      </c>
    </row>
    <row r="539" spans="1:13">
      <c r="A539" s="2" t="s">
        <v>614</v>
      </c>
      <c r="B539" s="2" t="s">
        <v>7</v>
      </c>
      <c r="C539" s="2" t="s">
        <v>62</v>
      </c>
      <c r="D539" s="2" t="s">
        <v>58</v>
      </c>
      <c r="E539" s="3">
        <v>45464</v>
      </c>
      <c r="F539" s="2" t="str">
        <f t="shared" si="8"/>
        <v>Jun</v>
      </c>
      <c r="G539" s="2">
        <v>537</v>
      </c>
      <c r="H539" s="2" t="s">
        <v>33</v>
      </c>
      <c r="I539" s="2">
        <v>260</v>
      </c>
      <c r="J539" s="2">
        <v>235</v>
      </c>
      <c r="K539" s="2">
        <v>7534888</v>
      </c>
      <c r="L539" s="2">
        <v>1966950</v>
      </c>
      <c r="M539" s="2">
        <v>5567938</v>
      </c>
    </row>
    <row r="540" spans="1:13">
      <c r="A540" s="2" t="s">
        <v>615</v>
      </c>
      <c r="B540" s="2" t="s">
        <v>9</v>
      </c>
      <c r="C540" s="2" t="s">
        <v>63</v>
      </c>
      <c r="D540" s="2" t="s">
        <v>59</v>
      </c>
      <c r="E540" s="3">
        <v>45465</v>
      </c>
      <c r="F540" s="2" t="str">
        <f t="shared" si="8"/>
        <v>Jun</v>
      </c>
      <c r="G540" s="2">
        <v>469</v>
      </c>
      <c r="H540" s="2" t="s">
        <v>30</v>
      </c>
      <c r="I540" s="2">
        <v>500</v>
      </c>
      <c r="J540" s="2">
        <v>415</v>
      </c>
      <c r="K540" s="2">
        <v>10277912</v>
      </c>
      <c r="L540" s="2">
        <v>1595675</v>
      </c>
      <c r="M540" s="2">
        <v>8682237</v>
      </c>
    </row>
    <row r="541" spans="1:13">
      <c r="A541" s="2" t="s">
        <v>616</v>
      </c>
      <c r="B541" s="2" t="s">
        <v>41</v>
      </c>
      <c r="C541" s="2" t="s">
        <v>59</v>
      </c>
      <c r="D541" s="2" t="s">
        <v>63</v>
      </c>
      <c r="E541" s="3">
        <v>45466</v>
      </c>
      <c r="F541" s="2" t="str">
        <f t="shared" si="8"/>
        <v>Jun</v>
      </c>
      <c r="G541" s="2">
        <v>72</v>
      </c>
      <c r="H541" s="2" t="s">
        <v>31</v>
      </c>
      <c r="I541" s="2">
        <v>72</v>
      </c>
      <c r="J541" s="2">
        <v>60</v>
      </c>
      <c r="K541" s="2">
        <v>251857</v>
      </c>
      <c r="L541" s="2">
        <v>111600</v>
      </c>
      <c r="M541" s="2">
        <v>140257</v>
      </c>
    </row>
    <row r="542" spans="1:13">
      <c r="A542" s="2" t="s">
        <v>617</v>
      </c>
      <c r="B542" s="2" t="s">
        <v>39</v>
      </c>
      <c r="C542" s="2" t="s">
        <v>59</v>
      </c>
      <c r="D542" s="2" t="s">
        <v>61</v>
      </c>
      <c r="E542" s="3">
        <v>45467</v>
      </c>
      <c r="F542" s="2" t="str">
        <f t="shared" si="8"/>
        <v>Jun</v>
      </c>
      <c r="G542" s="2">
        <v>204</v>
      </c>
      <c r="H542" s="2" t="s">
        <v>28</v>
      </c>
      <c r="I542" s="2">
        <v>180</v>
      </c>
      <c r="J542" s="2">
        <v>160</v>
      </c>
      <c r="K542" s="2">
        <v>1751008</v>
      </c>
      <c r="L542" s="2">
        <v>403200</v>
      </c>
      <c r="M542" s="2">
        <v>1347808</v>
      </c>
    </row>
    <row r="543" spans="1:13">
      <c r="A543" s="2" t="s">
        <v>618</v>
      </c>
      <c r="B543" s="2" t="s">
        <v>46</v>
      </c>
      <c r="C543" s="2" t="s">
        <v>61</v>
      </c>
      <c r="D543" s="2" t="s">
        <v>59</v>
      </c>
      <c r="E543" s="3">
        <v>45468</v>
      </c>
      <c r="F543" s="2" t="str">
        <f t="shared" si="8"/>
        <v>Jun</v>
      </c>
      <c r="G543" s="2">
        <v>135</v>
      </c>
      <c r="H543" s="2" t="s">
        <v>32</v>
      </c>
      <c r="I543" s="2">
        <v>190</v>
      </c>
      <c r="J543" s="2">
        <v>121</v>
      </c>
      <c r="K543" s="2">
        <v>1286809</v>
      </c>
      <c r="L543" s="2">
        <v>263175</v>
      </c>
      <c r="M543" s="2">
        <v>1023634</v>
      </c>
    </row>
    <row r="544" spans="1:13">
      <c r="A544" s="2" t="s">
        <v>619</v>
      </c>
      <c r="B544" s="2" t="s">
        <v>45</v>
      </c>
      <c r="C544" s="2" t="s">
        <v>61</v>
      </c>
      <c r="D544" s="2" t="s">
        <v>58</v>
      </c>
      <c r="E544" s="3">
        <v>45469</v>
      </c>
      <c r="F544" s="2" t="str">
        <f t="shared" si="8"/>
        <v>Jun</v>
      </c>
      <c r="G544" s="2">
        <v>368</v>
      </c>
      <c r="H544" s="2" t="s">
        <v>29</v>
      </c>
      <c r="I544" s="2">
        <v>200</v>
      </c>
      <c r="J544" s="2">
        <v>162</v>
      </c>
      <c r="K544" s="2">
        <v>3804260</v>
      </c>
      <c r="L544" s="2">
        <v>541080</v>
      </c>
      <c r="M544" s="2">
        <v>3263180</v>
      </c>
    </row>
    <row r="545" spans="1:13">
      <c r="A545" s="2" t="s">
        <v>620</v>
      </c>
      <c r="B545" s="2" t="s">
        <v>3</v>
      </c>
      <c r="C545" s="2" t="s">
        <v>58</v>
      </c>
      <c r="D545" s="2" t="s">
        <v>61</v>
      </c>
      <c r="E545" s="3">
        <v>45470</v>
      </c>
      <c r="F545" s="2" t="str">
        <f t="shared" si="8"/>
        <v>Jun</v>
      </c>
      <c r="G545" s="2">
        <v>321</v>
      </c>
      <c r="H545" s="2" t="s">
        <v>33</v>
      </c>
      <c r="I545" s="2">
        <v>260</v>
      </c>
      <c r="J545" s="2">
        <v>191</v>
      </c>
      <c r="K545" s="2">
        <v>4960637</v>
      </c>
      <c r="L545" s="2">
        <v>593055</v>
      </c>
      <c r="M545" s="2">
        <v>4367582</v>
      </c>
    </row>
    <row r="546" spans="1:13">
      <c r="A546" s="2" t="s">
        <v>621</v>
      </c>
      <c r="B546" s="2" t="s">
        <v>5</v>
      </c>
      <c r="C546" s="2" t="s">
        <v>59</v>
      </c>
      <c r="D546" s="2" t="s">
        <v>58</v>
      </c>
      <c r="E546" s="3">
        <v>45471</v>
      </c>
      <c r="F546" s="2" t="str">
        <f t="shared" si="8"/>
        <v>Jun</v>
      </c>
      <c r="G546" s="2">
        <v>269</v>
      </c>
      <c r="H546" s="2" t="s">
        <v>30</v>
      </c>
      <c r="I546" s="2">
        <v>500</v>
      </c>
      <c r="J546" s="2">
        <v>361</v>
      </c>
      <c r="K546" s="2">
        <v>5013393</v>
      </c>
      <c r="L546" s="2">
        <v>1027045</v>
      </c>
      <c r="M546" s="2">
        <v>3986348</v>
      </c>
    </row>
    <row r="547" spans="1:13">
      <c r="A547" s="2" t="s">
        <v>622</v>
      </c>
      <c r="B547" s="2" t="s">
        <v>36</v>
      </c>
      <c r="C547" s="2" t="s">
        <v>58</v>
      </c>
      <c r="D547" s="2" t="s">
        <v>59</v>
      </c>
      <c r="E547" s="3">
        <v>45472</v>
      </c>
      <c r="F547" s="2" t="str">
        <f t="shared" si="8"/>
        <v>Jun</v>
      </c>
      <c r="G547" s="2">
        <v>93</v>
      </c>
      <c r="H547" s="2" t="s">
        <v>31</v>
      </c>
      <c r="I547" s="2">
        <v>72</v>
      </c>
      <c r="J547" s="2">
        <v>44</v>
      </c>
      <c r="K547" s="2">
        <v>356564</v>
      </c>
      <c r="L547" s="2">
        <v>86460</v>
      </c>
      <c r="M547" s="2">
        <v>270104</v>
      </c>
    </row>
    <row r="548" spans="1:13">
      <c r="A548" s="2" t="s">
        <v>623</v>
      </c>
      <c r="B548" s="2" t="s">
        <v>38</v>
      </c>
      <c r="C548" s="2" t="s">
        <v>59</v>
      </c>
      <c r="D548" s="2" t="s">
        <v>60</v>
      </c>
      <c r="E548" s="3">
        <v>45473</v>
      </c>
      <c r="F548" s="2" t="str">
        <f t="shared" si="8"/>
        <v>Jun</v>
      </c>
      <c r="G548" s="2">
        <v>228</v>
      </c>
      <c r="H548" s="2" t="s">
        <v>28</v>
      </c>
      <c r="I548" s="2">
        <v>180</v>
      </c>
      <c r="J548" s="2">
        <v>170</v>
      </c>
      <c r="K548" s="2">
        <v>1916085</v>
      </c>
      <c r="L548" s="2">
        <v>448800</v>
      </c>
      <c r="M548" s="2">
        <v>1467285</v>
      </c>
    </row>
    <row r="549" spans="1:13">
      <c r="A549" s="2" t="s">
        <v>624</v>
      </c>
      <c r="B549" s="2" t="s">
        <v>44</v>
      </c>
      <c r="C549" s="2" t="s">
        <v>60</v>
      </c>
      <c r="D549" s="2" t="s">
        <v>59</v>
      </c>
      <c r="E549" s="3">
        <v>45474</v>
      </c>
      <c r="F549" s="2" t="str">
        <f t="shared" si="8"/>
        <v>Jul</v>
      </c>
      <c r="G549" s="2">
        <v>304</v>
      </c>
      <c r="H549" s="2" t="s">
        <v>32</v>
      </c>
      <c r="I549" s="2">
        <v>190</v>
      </c>
      <c r="J549" s="2">
        <v>151</v>
      </c>
      <c r="K549" s="2">
        <v>2866479</v>
      </c>
      <c r="L549" s="2">
        <v>456020</v>
      </c>
      <c r="M549" s="2">
        <v>2410459</v>
      </c>
    </row>
    <row r="550" spans="1:13">
      <c r="A550" s="2" t="s">
        <v>625</v>
      </c>
      <c r="B550" s="2" t="s">
        <v>48</v>
      </c>
      <c r="C550" s="2" t="s">
        <v>61</v>
      </c>
      <c r="D550" s="2" t="s">
        <v>63</v>
      </c>
      <c r="E550" s="3">
        <v>45475</v>
      </c>
      <c r="F550" s="2" t="str">
        <f t="shared" si="8"/>
        <v>Jul</v>
      </c>
      <c r="G550" s="2">
        <v>177</v>
      </c>
      <c r="H550" s="2" t="s">
        <v>29</v>
      </c>
      <c r="I550" s="2">
        <v>200</v>
      </c>
      <c r="J550" s="2">
        <v>148</v>
      </c>
      <c r="K550" s="2">
        <v>1623331</v>
      </c>
      <c r="L550" s="2">
        <v>352980</v>
      </c>
      <c r="M550" s="2">
        <v>1270351</v>
      </c>
    </row>
    <row r="551" spans="1:13">
      <c r="A551" s="2" t="s">
        <v>626</v>
      </c>
      <c r="B551" s="2" t="s">
        <v>10</v>
      </c>
      <c r="C551" s="2" t="s">
        <v>63</v>
      </c>
      <c r="D551" s="2" t="s">
        <v>61</v>
      </c>
      <c r="E551" s="3">
        <v>45476</v>
      </c>
      <c r="F551" s="2" t="str">
        <f t="shared" si="8"/>
        <v>Jul</v>
      </c>
      <c r="G551" s="2">
        <v>281</v>
      </c>
      <c r="H551" s="2" t="s">
        <v>33</v>
      </c>
      <c r="I551" s="2">
        <v>260</v>
      </c>
      <c r="J551" s="2">
        <v>195</v>
      </c>
      <c r="K551" s="2">
        <v>4553359</v>
      </c>
      <c r="L551" s="2">
        <v>566475</v>
      </c>
      <c r="M551" s="2">
        <v>3986884</v>
      </c>
    </row>
    <row r="552" spans="1:13">
      <c r="A552" s="2" t="s">
        <v>627</v>
      </c>
      <c r="B552" s="2" t="s">
        <v>2</v>
      </c>
      <c r="C552" s="2" t="s">
        <v>58</v>
      </c>
      <c r="D552" s="2" t="s">
        <v>60</v>
      </c>
      <c r="E552" s="3">
        <v>45477</v>
      </c>
      <c r="F552" s="2" t="str">
        <f t="shared" si="8"/>
        <v>Jul</v>
      </c>
      <c r="G552" s="2">
        <v>458</v>
      </c>
      <c r="H552" s="2" t="s">
        <v>30</v>
      </c>
      <c r="I552" s="2">
        <v>500</v>
      </c>
      <c r="J552" s="2">
        <v>376</v>
      </c>
      <c r="K552" s="2">
        <v>9742272</v>
      </c>
      <c r="L552" s="2">
        <v>1425040</v>
      </c>
      <c r="M552" s="2">
        <v>8317232</v>
      </c>
    </row>
    <row r="553" spans="1:13">
      <c r="A553" s="2" t="s">
        <v>628</v>
      </c>
      <c r="B553" s="2" t="s">
        <v>43</v>
      </c>
      <c r="C553" s="2" t="s">
        <v>60</v>
      </c>
      <c r="D553" s="2" t="s">
        <v>58</v>
      </c>
      <c r="E553" s="3">
        <v>45478</v>
      </c>
      <c r="F553" s="2" t="str">
        <f t="shared" si="8"/>
        <v>Jul</v>
      </c>
      <c r="G553" s="2">
        <v>117</v>
      </c>
      <c r="H553" s="2" t="s">
        <v>31</v>
      </c>
      <c r="I553" s="2">
        <v>72</v>
      </c>
      <c r="J553" s="2">
        <v>50</v>
      </c>
      <c r="K553" s="2">
        <v>421709</v>
      </c>
      <c r="L553" s="2">
        <v>104250</v>
      </c>
      <c r="M553" s="2">
        <v>317459</v>
      </c>
    </row>
    <row r="554" spans="1:13">
      <c r="A554" s="2" t="s">
        <v>629</v>
      </c>
      <c r="B554" s="2" t="s">
        <v>40</v>
      </c>
      <c r="C554" s="2" t="s">
        <v>59</v>
      </c>
      <c r="D554" s="2" t="s">
        <v>62</v>
      </c>
      <c r="E554" s="3">
        <v>45479</v>
      </c>
      <c r="F554" s="2" t="str">
        <f t="shared" si="8"/>
        <v>Jul</v>
      </c>
      <c r="G554" s="2">
        <v>272</v>
      </c>
      <c r="H554" s="2" t="s">
        <v>28</v>
      </c>
      <c r="I554" s="2">
        <v>180</v>
      </c>
      <c r="J554" s="2">
        <v>128</v>
      </c>
      <c r="K554" s="2">
        <v>2117884</v>
      </c>
      <c r="L554" s="2">
        <v>732160</v>
      </c>
      <c r="M554" s="2">
        <v>1385724</v>
      </c>
    </row>
    <row r="555" spans="1:13">
      <c r="A555" s="2" t="s">
        <v>630</v>
      </c>
      <c r="B555" s="2" t="s">
        <v>51</v>
      </c>
      <c r="C555" s="2" t="s">
        <v>62</v>
      </c>
      <c r="D555" s="2" t="s">
        <v>59</v>
      </c>
      <c r="E555" s="3">
        <v>45480</v>
      </c>
      <c r="F555" s="2" t="str">
        <f t="shared" si="8"/>
        <v>Jul</v>
      </c>
      <c r="G555" s="2">
        <v>258</v>
      </c>
      <c r="H555" s="2" t="s">
        <v>32</v>
      </c>
      <c r="I555" s="2">
        <v>190</v>
      </c>
      <c r="J555" s="2">
        <v>151</v>
      </c>
      <c r="K555" s="2">
        <v>2266466</v>
      </c>
      <c r="L555" s="2">
        <v>842580</v>
      </c>
      <c r="M555" s="2">
        <v>1423886</v>
      </c>
    </row>
    <row r="556" spans="1:13">
      <c r="A556" s="2" t="s">
        <v>631</v>
      </c>
      <c r="B556" s="2" t="s">
        <v>47</v>
      </c>
      <c r="C556" s="2" t="s">
        <v>61</v>
      </c>
      <c r="D556" s="2" t="s">
        <v>62</v>
      </c>
      <c r="E556" s="3">
        <v>45481</v>
      </c>
      <c r="F556" s="2" t="str">
        <f t="shared" si="8"/>
        <v>Jul</v>
      </c>
      <c r="G556" s="2">
        <v>172</v>
      </c>
      <c r="H556" s="2" t="s">
        <v>29</v>
      </c>
      <c r="I556" s="2">
        <v>200</v>
      </c>
      <c r="J556" s="2">
        <v>151</v>
      </c>
      <c r="K556" s="2">
        <v>1548229</v>
      </c>
      <c r="L556" s="2">
        <v>356360</v>
      </c>
      <c r="M556" s="2">
        <v>1191869</v>
      </c>
    </row>
    <row r="557" spans="1:13">
      <c r="A557" s="2" t="s">
        <v>632</v>
      </c>
      <c r="B557" s="2" t="s">
        <v>8</v>
      </c>
      <c r="C557" s="2" t="s">
        <v>62</v>
      </c>
      <c r="D557" s="2" t="s">
        <v>61</v>
      </c>
      <c r="E557" s="3">
        <v>45482</v>
      </c>
      <c r="F557" s="2" t="str">
        <f t="shared" si="8"/>
        <v>Jul</v>
      </c>
      <c r="G557" s="2">
        <v>470</v>
      </c>
      <c r="H557" s="2" t="s">
        <v>33</v>
      </c>
      <c r="I557" s="2">
        <v>260</v>
      </c>
      <c r="J557" s="2">
        <v>176</v>
      </c>
      <c r="K557" s="2">
        <v>6448206</v>
      </c>
      <c r="L557" s="2">
        <v>677600</v>
      </c>
      <c r="M557" s="2">
        <v>5770606</v>
      </c>
    </row>
    <row r="558" spans="1:13">
      <c r="A558" s="2" t="s">
        <v>633</v>
      </c>
      <c r="B558" s="2" t="s">
        <v>4</v>
      </c>
      <c r="C558" s="2" t="s">
        <v>58</v>
      </c>
      <c r="D558" s="2" t="s">
        <v>66</v>
      </c>
      <c r="E558" s="3">
        <v>45483</v>
      </c>
      <c r="F558" s="2" t="str">
        <f t="shared" si="8"/>
        <v>Jul</v>
      </c>
      <c r="G558" s="2">
        <v>534</v>
      </c>
      <c r="H558" s="2" t="s">
        <v>30</v>
      </c>
      <c r="I558" s="2">
        <v>500</v>
      </c>
      <c r="J558" s="2">
        <v>329</v>
      </c>
      <c r="K558" s="2">
        <v>10984542</v>
      </c>
      <c r="L558" s="2">
        <v>2743860</v>
      </c>
      <c r="M558" s="2">
        <v>8240682</v>
      </c>
    </row>
    <row r="559" spans="1:13">
      <c r="A559" s="2" t="s">
        <v>634</v>
      </c>
      <c r="B559" s="2" t="s">
        <v>54</v>
      </c>
      <c r="C559" s="2" t="s">
        <v>66</v>
      </c>
      <c r="D559" s="2" t="s">
        <v>58</v>
      </c>
      <c r="E559" s="3">
        <v>45484</v>
      </c>
      <c r="F559" s="2" t="str">
        <f t="shared" si="8"/>
        <v>Jul</v>
      </c>
      <c r="G559" s="2">
        <v>95</v>
      </c>
      <c r="H559" s="2" t="s">
        <v>31</v>
      </c>
      <c r="I559" s="2">
        <v>72</v>
      </c>
      <c r="J559" s="2">
        <v>54</v>
      </c>
      <c r="K559" s="2">
        <v>324505</v>
      </c>
      <c r="L559" s="2">
        <v>213300</v>
      </c>
      <c r="M559" s="2">
        <v>111205</v>
      </c>
    </row>
    <row r="560" spans="1:13">
      <c r="A560" s="2" t="s">
        <v>635</v>
      </c>
      <c r="B560" s="2" t="s">
        <v>42</v>
      </c>
      <c r="C560" s="2" t="s">
        <v>59</v>
      </c>
      <c r="D560" s="2" t="s">
        <v>66</v>
      </c>
      <c r="E560" s="3">
        <v>45485</v>
      </c>
      <c r="F560" s="2" t="str">
        <f t="shared" si="8"/>
        <v>Jul</v>
      </c>
      <c r="G560" s="2">
        <v>85</v>
      </c>
      <c r="H560" s="2" t="s">
        <v>28</v>
      </c>
      <c r="I560" s="2">
        <v>180</v>
      </c>
      <c r="J560" s="2">
        <v>167</v>
      </c>
      <c r="K560" s="2">
        <v>727214</v>
      </c>
      <c r="L560" s="2">
        <v>642950</v>
      </c>
      <c r="M560" s="2">
        <v>84264</v>
      </c>
    </row>
    <row r="561" spans="1:13">
      <c r="A561" s="2" t="s">
        <v>636</v>
      </c>
      <c r="B561" s="2" t="s">
        <v>55</v>
      </c>
      <c r="C561" s="2" t="s">
        <v>66</v>
      </c>
      <c r="D561" s="2" t="s">
        <v>59</v>
      </c>
      <c r="E561" s="3">
        <v>45486</v>
      </c>
      <c r="F561" s="2" t="str">
        <f t="shared" si="8"/>
        <v>Jul</v>
      </c>
      <c r="G561" s="2">
        <v>176</v>
      </c>
      <c r="H561" s="2" t="s">
        <v>32</v>
      </c>
      <c r="I561" s="2">
        <v>190</v>
      </c>
      <c r="J561" s="2">
        <v>168</v>
      </c>
      <c r="K561" s="2">
        <v>1460105</v>
      </c>
      <c r="L561" s="2">
        <v>799680</v>
      </c>
      <c r="M561" s="2">
        <v>660425</v>
      </c>
    </row>
    <row r="562" spans="1:13">
      <c r="A562" s="2" t="s">
        <v>637</v>
      </c>
      <c r="B562" s="2" t="s">
        <v>50</v>
      </c>
      <c r="C562" s="2" t="s">
        <v>61</v>
      </c>
      <c r="D562" s="2" t="s">
        <v>65</v>
      </c>
      <c r="E562" s="3">
        <v>45487</v>
      </c>
      <c r="F562" s="2" t="str">
        <f t="shared" si="8"/>
        <v>Jul</v>
      </c>
      <c r="G562" s="2">
        <v>212</v>
      </c>
      <c r="H562" s="2" t="s">
        <v>29</v>
      </c>
      <c r="I562" s="2">
        <v>200</v>
      </c>
      <c r="J562" s="2">
        <v>147</v>
      </c>
      <c r="K562" s="2">
        <v>2046293</v>
      </c>
      <c r="L562" s="2">
        <v>752640</v>
      </c>
      <c r="M562" s="2">
        <v>1293653</v>
      </c>
    </row>
    <row r="563" spans="1:13">
      <c r="A563" s="2" t="s">
        <v>638</v>
      </c>
      <c r="B563" s="2" t="s">
        <v>11</v>
      </c>
      <c r="C563" s="2" t="s">
        <v>65</v>
      </c>
      <c r="D563" s="2" t="s">
        <v>61</v>
      </c>
      <c r="E563" s="3">
        <v>45488</v>
      </c>
      <c r="F563" s="2" t="str">
        <f t="shared" si="8"/>
        <v>Jul</v>
      </c>
      <c r="G563" s="2">
        <v>479</v>
      </c>
      <c r="H563" s="2" t="s">
        <v>33</v>
      </c>
      <c r="I563" s="2">
        <v>260</v>
      </c>
      <c r="J563" s="2">
        <v>199</v>
      </c>
      <c r="K563" s="2">
        <v>7033202</v>
      </c>
      <c r="L563" s="2">
        <v>1550210</v>
      </c>
      <c r="M563" s="2">
        <v>5482992</v>
      </c>
    </row>
    <row r="564" spans="1:13">
      <c r="A564" s="2" t="s">
        <v>639</v>
      </c>
      <c r="B564" s="2" t="s">
        <v>6</v>
      </c>
      <c r="C564" s="2" t="s">
        <v>59</v>
      </c>
      <c r="D564" s="2" t="s">
        <v>65</v>
      </c>
      <c r="E564" s="3">
        <v>45489</v>
      </c>
      <c r="F564" s="2" t="str">
        <f t="shared" si="8"/>
        <v>Jul</v>
      </c>
      <c r="G564" s="2">
        <v>522</v>
      </c>
      <c r="H564" s="2" t="s">
        <v>30</v>
      </c>
      <c r="I564" s="2">
        <v>500</v>
      </c>
      <c r="J564" s="2">
        <v>442</v>
      </c>
      <c r="K564" s="2">
        <v>10895440</v>
      </c>
      <c r="L564" s="2">
        <v>3633240</v>
      </c>
      <c r="M564" s="2">
        <v>7262200</v>
      </c>
    </row>
    <row r="565" spans="1:13">
      <c r="A565" s="2" t="s">
        <v>640</v>
      </c>
      <c r="B565" s="2" t="s">
        <v>53</v>
      </c>
      <c r="C565" s="2" t="s">
        <v>65</v>
      </c>
      <c r="D565" s="2" t="s">
        <v>59</v>
      </c>
      <c r="E565" s="3">
        <v>45490</v>
      </c>
      <c r="F565" s="2" t="str">
        <f t="shared" si="8"/>
        <v>Jul</v>
      </c>
      <c r="G565" s="2">
        <v>72</v>
      </c>
      <c r="H565" s="2" t="s">
        <v>31</v>
      </c>
      <c r="I565" s="2">
        <v>72</v>
      </c>
      <c r="J565" s="2">
        <v>43</v>
      </c>
      <c r="K565" s="2">
        <v>236667</v>
      </c>
      <c r="L565" s="2">
        <v>159960</v>
      </c>
      <c r="M565" s="2">
        <v>76707</v>
      </c>
    </row>
    <row r="566" spans="1:13">
      <c r="A566" s="2" t="s">
        <v>641</v>
      </c>
      <c r="B566" s="2" t="s">
        <v>49</v>
      </c>
      <c r="C566" s="2" t="s">
        <v>61</v>
      </c>
      <c r="D566" s="2" t="s">
        <v>64</v>
      </c>
      <c r="E566" s="3">
        <v>45491</v>
      </c>
      <c r="F566" s="2" t="str">
        <f t="shared" si="8"/>
        <v>Jul</v>
      </c>
      <c r="G566" s="2">
        <v>139</v>
      </c>
      <c r="H566" s="2" t="s">
        <v>28</v>
      </c>
      <c r="I566" s="2">
        <v>180</v>
      </c>
      <c r="J566" s="2">
        <v>148</v>
      </c>
      <c r="K566" s="2">
        <v>1200521</v>
      </c>
      <c r="L566" s="2">
        <v>649720</v>
      </c>
      <c r="M566" s="2">
        <v>550801</v>
      </c>
    </row>
    <row r="567" spans="1:13">
      <c r="A567" s="2" t="s">
        <v>642</v>
      </c>
      <c r="B567" s="2" t="s">
        <v>52</v>
      </c>
      <c r="C567" s="2" t="s">
        <v>64</v>
      </c>
      <c r="D567" s="2" t="s">
        <v>61</v>
      </c>
      <c r="E567" s="3">
        <v>45492</v>
      </c>
      <c r="F567" s="2" t="str">
        <f t="shared" si="8"/>
        <v>Jul</v>
      </c>
      <c r="G567" s="2">
        <v>340</v>
      </c>
      <c r="H567" s="2" t="s">
        <v>32</v>
      </c>
      <c r="I567" s="2">
        <v>190</v>
      </c>
      <c r="J567" s="2">
        <v>157</v>
      </c>
      <c r="K567" s="2">
        <v>2986605</v>
      </c>
      <c r="L567" s="2">
        <v>1004800</v>
      </c>
      <c r="M567" s="2">
        <v>1981805</v>
      </c>
    </row>
    <row r="568" spans="1:13">
      <c r="A568" s="2" t="s">
        <v>643</v>
      </c>
      <c r="B568" s="2" t="s">
        <v>37</v>
      </c>
      <c r="C568" s="2" t="s">
        <v>58</v>
      </c>
      <c r="D568" s="2" t="s">
        <v>62</v>
      </c>
      <c r="E568" s="3">
        <v>45493</v>
      </c>
      <c r="F568" s="2" t="str">
        <f t="shared" si="8"/>
        <v>Jul</v>
      </c>
      <c r="G568" s="2">
        <v>356</v>
      </c>
      <c r="H568" s="2" t="s">
        <v>29</v>
      </c>
      <c r="I568" s="2">
        <v>200</v>
      </c>
      <c r="J568" s="2">
        <v>153</v>
      </c>
      <c r="K568" s="2">
        <v>3175399</v>
      </c>
      <c r="L568" s="2">
        <v>1003680</v>
      </c>
      <c r="M568" s="2">
        <v>2171719</v>
      </c>
    </row>
    <row r="569" spans="1:13">
      <c r="A569" s="2" t="s">
        <v>644</v>
      </c>
      <c r="B569" s="2" t="s">
        <v>7</v>
      </c>
      <c r="C569" s="2" t="s">
        <v>62</v>
      </c>
      <c r="D569" s="2" t="s">
        <v>58</v>
      </c>
      <c r="E569" s="3">
        <v>45494</v>
      </c>
      <c r="F569" s="2" t="str">
        <f t="shared" si="8"/>
        <v>Jul</v>
      </c>
      <c r="G569" s="2">
        <v>513</v>
      </c>
      <c r="H569" s="2" t="s">
        <v>33</v>
      </c>
      <c r="I569" s="2">
        <v>260</v>
      </c>
      <c r="J569" s="2">
        <v>200</v>
      </c>
      <c r="K569" s="2">
        <v>7320679</v>
      </c>
      <c r="L569" s="2">
        <v>1626000</v>
      </c>
      <c r="M569" s="2">
        <v>5694679</v>
      </c>
    </row>
    <row r="570" spans="1:13">
      <c r="A570" s="2" t="s">
        <v>645</v>
      </c>
      <c r="B570" s="2" t="s">
        <v>9</v>
      </c>
      <c r="C570" s="2" t="s">
        <v>63</v>
      </c>
      <c r="D570" s="2" t="s">
        <v>59</v>
      </c>
      <c r="E570" s="3">
        <v>45495</v>
      </c>
      <c r="F570" s="2" t="str">
        <f t="shared" si="8"/>
        <v>Jul</v>
      </c>
      <c r="G570" s="2">
        <v>231</v>
      </c>
      <c r="H570" s="2" t="s">
        <v>30</v>
      </c>
      <c r="I570" s="2">
        <v>500</v>
      </c>
      <c r="J570" s="2">
        <v>417</v>
      </c>
      <c r="K570" s="2">
        <v>5016955</v>
      </c>
      <c r="L570" s="2">
        <v>1107135</v>
      </c>
      <c r="M570" s="2">
        <v>3909820</v>
      </c>
    </row>
    <row r="571" spans="1:13">
      <c r="A571" s="2" t="s">
        <v>646</v>
      </c>
      <c r="B571" s="2" t="s">
        <v>41</v>
      </c>
      <c r="C571" s="2" t="s">
        <v>59</v>
      </c>
      <c r="D571" s="2" t="s">
        <v>63</v>
      </c>
      <c r="E571" s="3">
        <v>45496</v>
      </c>
      <c r="F571" s="2" t="str">
        <f t="shared" si="8"/>
        <v>Jul</v>
      </c>
      <c r="G571" s="2">
        <v>57</v>
      </c>
      <c r="H571" s="2" t="s">
        <v>31</v>
      </c>
      <c r="I571" s="2">
        <v>72</v>
      </c>
      <c r="J571" s="2">
        <v>56</v>
      </c>
      <c r="K571" s="2">
        <v>191971</v>
      </c>
      <c r="L571" s="2">
        <v>99960</v>
      </c>
      <c r="M571" s="2">
        <v>92011</v>
      </c>
    </row>
    <row r="572" spans="1:13">
      <c r="A572" s="2" t="s">
        <v>647</v>
      </c>
      <c r="B572" s="2" t="s">
        <v>39</v>
      </c>
      <c r="C572" s="2" t="s">
        <v>59</v>
      </c>
      <c r="D572" s="2" t="s">
        <v>61</v>
      </c>
      <c r="E572" s="3">
        <v>45497</v>
      </c>
      <c r="F572" s="2" t="str">
        <f t="shared" si="8"/>
        <v>Jul</v>
      </c>
      <c r="G572" s="2">
        <v>223</v>
      </c>
      <c r="H572" s="2" t="s">
        <v>28</v>
      </c>
      <c r="I572" s="2">
        <v>180</v>
      </c>
      <c r="J572" s="2">
        <v>153</v>
      </c>
      <c r="K572" s="2">
        <v>1748286</v>
      </c>
      <c r="L572" s="2">
        <v>400095</v>
      </c>
      <c r="M572" s="2">
        <v>1348191</v>
      </c>
    </row>
    <row r="573" spans="1:13">
      <c r="A573" s="2" t="s">
        <v>648</v>
      </c>
      <c r="B573" s="2" t="s">
        <v>46</v>
      </c>
      <c r="C573" s="2" t="s">
        <v>61</v>
      </c>
      <c r="D573" s="2" t="s">
        <v>59</v>
      </c>
      <c r="E573" s="3">
        <v>45498</v>
      </c>
      <c r="F573" s="2" t="str">
        <f t="shared" si="8"/>
        <v>Jul</v>
      </c>
      <c r="G573" s="2">
        <v>136</v>
      </c>
      <c r="H573" s="2" t="s">
        <v>32</v>
      </c>
      <c r="I573" s="2">
        <v>190</v>
      </c>
      <c r="J573" s="2">
        <v>141</v>
      </c>
      <c r="K573" s="2">
        <v>1131437</v>
      </c>
      <c r="L573" s="2">
        <v>307380</v>
      </c>
      <c r="M573" s="2">
        <v>824057</v>
      </c>
    </row>
    <row r="574" spans="1:13">
      <c r="A574" s="2" t="s">
        <v>649</v>
      </c>
      <c r="B574" s="2" t="s">
        <v>45</v>
      </c>
      <c r="C574" s="2" t="s">
        <v>61</v>
      </c>
      <c r="D574" s="2" t="s">
        <v>58</v>
      </c>
      <c r="E574" s="3">
        <v>45499</v>
      </c>
      <c r="F574" s="2" t="str">
        <f t="shared" si="8"/>
        <v>Jul</v>
      </c>
      <c r="G574" s="2">
        <v>342</v>
      </c>
      <c r="H574" s="2" t="s">
        <v>29</v>
      </c>
      <c r="I574" s="2">
        <v>200</v>
      </c>
      <c r="J574" s="2">
        <v>167</v>
      </c>
      <c r="K574" s="2">
        <v>3041998</v>
      </c>
      <c r="L574" s="2">
        <v>536070</v>
      </c>
      <c r="M574" s="2">
        <v>2505928</v>
      </c>
    </row>
    <row r="575" spans="1:13">
      <c r="A575" s="2" t="s">
        <v>650</v>
      </c>
      <c r="B575" s="2" t="s">
        <v>3</v>
      </c>
      <c r="C575" s="2" t="s">
        <v>58</v>
      </c>
      <c r="D575" s="2" t="s">
        <v>61</v>
      </c>
      <c r="E575" s="3">
        <v>45500</v>
      </c>
      <c r="F575" s="2" t="str">
        <f t="shared" si="8"/>
        <v>Jul</v>
      </c>
      <c r="G575" s="2">
        <v>338</v>
      </c>
      <c r="H575" s="2" t="s">
        <v>33</v>
      </c>
      <c r="I575" s="2">
        <v>260</v>
      </c>
      <c r="J575" s="2">
        <v>220</v>
      </c>
      <c r="K575" s="2">
        <v>4671373</v>
      </c>
      <c r="L575" s="2">
        <v>701800</v>
      </c>
      <c r="M575" s="2">
        <v>3969573</v>
      </c>
    </row>
    <row r="576" spans="1:13">
      <c r="A576" s="2" t="s">
        <v>651</v>
      </c>
      <c r="B576" s="2" t="s">
        <v>5</v>
      </c>
      <c r="C576" s="2" t="s">
        <v>59</v>
      </c>
      <c r="D576" s="2" t="s">
        <v>58</v>
      </c>
      <c r="E576" s="3">
        <v>45501</v>
      </c>
      <c r="F576" s="2" t="str">
        <f t="shared" si="8"/>
        <v>Jul</v>
      </c>
      <c r="G576" s="2">
        <v>477</v>
      </c>
      <c r="H576" s="2" t="s">
        <v>30</v>
      </c>
      <c r="I576" s="2">
        <v>500</v>
      </c>
      <c r="J576" s="2">
        <v>460</v>
      </c>
      <c r="K576" s="2">
        <v>9395998</v>
      </c>
      <c r="L576" s="2">
        <v>1787100</v>
      </c>
      <c r="M576" s="2">
        <v>7608898</v>
      </c>
    </row>
    <row r="577" spans="1:13">
      <c r="A577" s="2" t="s">
        <v>652</v>
      </c>
      <c r="B577" s="2" t="s">
        <v>36</v>
      </c>
      <c r="C577" s="2" t="s">
        <v>58</v>
      </c>
      <c r="D577" s="2" t="s">
        <v>59</v>
      </c>
      <c r="E577" s="3">
        <v>45502</v>
      </c>
      <c r="F577" s="2" t="str">
        <f t="shared" si="8"/>
        <v>Jul</v>
      </c>
      <c r="G577" s="2">
        <v>147</v>
      </c>
      <c r="H577" s="2" t="s">
        <v>31</v>
      </c>
      <c r="I577" s="2">
        <v>72</v>
      </c>
      <c r="J577" s="2">
        <v>63</v>
      </c>
      <c r="K577" s="2">
        <v>519668</v>
      </c>
      <c r="L577" s="2">
        <v>140805</v>
      </c>
      <c r="M577" s="2">
        <v>378863</v>
      </c>
    </row>
    <row r="578" spans="1:13">
      <c r="A578" s="2" t="s">
        <v>653</v>
      </c>
      <c r="B578" s="2" t="s">
        <v>38</v>
      </c>
      <c r="C578" s="2" t="s">
        <v>59</v>
      </c>
      <c r="D578" s="2" t="s">
        <v>60</v>
      </c>
      <c r="E578" s="3">
        <v>45503</v>
      </c>
      <c r="F578" s="2" t="str">
        <f t="shared" si="8"/>
        <v>Jul</v>
      </c>
      <c r="G578" s="2">
        <v>179</v>
      </c>
      <c r="H578" s="2" t="s">
        <v>28</v>
      </c>
      <c r="I578" s="2">
        <v>180</v>
      </c>
      <c r="J578" s="2">
        <v>141</v>
      </c>
      <c r="K578" s="2">
        <v>1320963</v>
      </c>
      <c r="L578" s="2">
        <v>337695</v>
      </c>
      <c r="M578" s="2">
        <v>983268</v>
      </c>
    </row>
    <row r="579" spans="1:13">
      <c r="A579" s="2" t="s">
        <v>654</v>
      </c>
      <c r="B579" s="2" t="s">
        <v>44</v>
      </c>
      <c r="C579" s="2" t="s">
        <v>60</v>
      </c>
      <c r="D579" s="2" t="s">
        <v>59</v>
      </c>
      <c r="E579" s="3">
        <v>45504</v>
      </c>
      <c r="F579" s="2" t="str">
        <f t="shared" ref="F579:F642" si="9">TEXT(E579,"mmm")</f>
        <v>Jul</v>
      </c>
      <c r="G579" s="2">
        <v>200</v>
      </c>
      <c r="H579" s="2" t="s">
        <v>32</v>
      </c>
      <c r="I579" s="2">
        <v>190</v>
      </c>
      <c r="J579" s="2">
        <v>154</v>
      </c>
      <c r="K579" s="2">
        <v>1914907</v>
      </c>
      <c r="L579" s="2">
        <v>385000</v>
      </c>
      <c r="M579" s="2">
        <v>1529907</v>
      </c>
    </row>
    <row r="580" spans="1:13">
      <c r="A580" s="2" t="s">
        <v>655</v>
      </c>
      <c r="B580" s="2" t="s">
        <v>48</v>
      </c>
      <c r="C580" s="2" t="s">
        <v>61</v>
      </c>
      <c r="D580" s="2" t="s">
        <v>63</v>
      </c>
      <c r="E580" s="3">
        <v>45505</v>
      </c>
      <c r="F580" s="2" t="str">
        <f t="shared" si="9"/>
        <v>Aug</v>
      </c>
      <c r="G580" s="2">
        <v>293</v>
      </c>
      <c r="H580" s="2" t="s">
        <v>29</v>
      </c>
      <c r="I580" s="2">
        <v>200</v>
      </c>
      <c r="J580" s="2">
        <v>161</v>
      </c>
      <c r="K580" s="2">
        <v>2947027</v>
      </c>
      <c r="L580" s="2">
        <v>477365</v>
      </c>
      <c r="M580" s="2">
        <v>2469662</v>
      </c>
    </row>
    <row r="581" spans="1:13">
      <c r="A581" s="2" t="s">
        <v>656</v>
      </c>
      <c r="B581" s="2" t="s">
        <v>10</v>
      </c>
      <c r="C581" s="2" t="s">
        <v>63</v>
      </c>
      <c r="D581" s="2" t="s">
        <v>61</v>
      </c>
      <c r="E581" s="3">
        <v>45506</v>
      </c>
      <c r="F581" s="2" t="str">
        <f t="shared" si="9"/>
        <v>Aug</v>
      </c>
      <c r="G581" s="2">
        <v>450</v>
      </c>
      <c r="H581" s="2" t="s">
        <v>33</v>
      </c>
      <c r="I581" s="2">
        <v>260</v>
      </c>
      <c r="J581" s="2">
        <v>211</v>
      </c>
      <c r="K581" s="2">
        <v>6629888</v>
      </c>
      <c r="L581" s="2">
        <v>791250</v>
      </c>
      <c r="M581" s="2">
        <v>5838638</v>
      </c>
    </row>
    <row r="582" spans="1:13">
      <c r="A582" s="2" t="s">
        <v>657</v>
      </c>
      <c r="B582" s="2" t="s">
        <v>2</v>
      </c>
      <c r="C582" s="2" t="s">
        <v>58</v>
      </c>
      <c r="D582" s="2" t="s">
        <v>60</v>
      </c>
      <c r="E582" s="3">
        <v>45507</v>
      </c>
      <c r="F582" s="2" t="str">
        <f t="shared" si="9"/>
        <v>Aug</v>
      </c>
      <c r="G582" s="2">
        <v>304</v>
      </c>
      <c r="H582" s="2" t="s">
        <v>30</v>
      </c>
      <c r="I582" s="2">
        <v>500</v>
      </c>
      <c r="J582" s="2">
        <v>458</v>
      </c>
      <c r="K582" s="2">
        <v>6408252</v>
      </c>
      <c r="L582" s="2">
        <v>1383160</v>
      </c>
      <c r="M582" s="2">
        <v>5025092</v>
      </c>
    </row>
    <row r="583" spans="1:13">
      <c r="A583" s="2" t="s">
        <v>658</v>
      </c>
      <c r="B583" s="2" t="s">
        <v>43</v>
      </c>
      <c r="C583" s="2" t="s">
        <v>60</v>
      </c>
      <c r="D583" s="2" t="s">
        <v>58</v>
      </c>
      <c r="E583" s="3">
        <v>45508</v>
      </c>
      <c r="F583" s="2" t="str">
        <f t="shared" si="9"/>
        <v>Aug</v>
      </c>
      <c r="G583" s="2">
        <v>78</v>
      </c>
      <c r="H583" s="2" t="s">
        <v>31</v>
      </c>
      <c r="I583" s="2">
        <v>72</v>
      </c>
      <c r="J583" s="2">
        <v>49</v>
      </c>
      <c r="K583" s="2">
        <v>288316</v>
      </c>
      <c r="L583" s="2">
        <v>92610</v>
      </c>
      <c r="M583" s="2">
        <v>195706</v>
      </c>
    </row>
    <row r="584" spans="1:13">
      <c r="A584" s="2" t="s">
        <v>659</v>
      </c>
      <c r="B584" s="2" t="s">
        <v>40</v>
      </c>
      <c r="C584" s="2" t="s">
        <v>59</v>
      </c>
      <c r="D584" s="2" t="s">
        <v>62</v>
      </c>
      <c r="E584" s="3">
        <v>45509</v>
      </c>
      <c r="F584" s="2" t="str">
        <f t="shared" si="9"/>
        <v>Aug</v>
      </c>
      <c r="G584" s="2">
        <v>109</v>
      </c>
      <c r="H584" s="2" t="s">
        <v>28</v>
      </c>
      <c r="I584" s="2">
        <v>180</v>
      </c>
      <c r="J584" s="2">
        <v>154</v>
      </c>
      <c r="K584" s="2">
        <v>933244</v>
      </c>
      <c r="L584" s="2">
        <v>629860</v>
      </c>
      <c r="M584" s="2">
        <v>303384</v>
      </c>
    </row>
    <row r="585" spans="1:13">
      <c r="A585" s="2" t="s">
        <v>660</v>
      </c>
      <c r="B585" s="2" t="s">
        <v>51</v>
      </c>
      <c r="C585" s="2" t="s">
        <v>62</v>
      </c>
      <c r="D585" s="2" t="s">
        <v>59</v>
      </c>
      <c r="E585" s="3">
        <v>45510</v>
      </c>
      <c r="F585" s="2" t="str">
        <f t="shared" si="9"/>
        <v>Aug</v>
      </c>
      <c r="G585" s="2">
        <v>226</v>
      </c>
      <c r="H585" s="2" t="s">
        <v>32</v>
      </c>
      <c r="I585" s="2">
        <v>190</v>
      </c>
      <c r="J585" s="2">
        <v>158</v>
      </c>
      <c r="K585" s="2">
        <v>1869463</v>
      </c>
      <c r="L585" s="2">
        <v>831080</v>
      </c>
      <c r="M585" s="2">
        <v>1038383</v>
      </c>
    </row>
    <row r="586" spans="1:13">
      <c r="A586" s="2" t="s">
        <v>661</v>
      </c>
      <c r="B586" s="2" t="s">
        <v>47</v>
      </c>
      <c r="C586" s="2" t="s">
        <v>61</v>
      </c>
      <c r="D586" s="2" t="s">
        <v>62</v>
      </c>
      <c r="E586" s="3">
        <v>45511</v>
      </c>
      <c r="F586" s="2" t="str">
        <f t="shared" si="9"/>
        <v>Aug</v>
      </c>
      <c r="G586" s="2">
        <v>243</v>
      </c>
      <c r="H586" s="2" t="s">
        <v>29</v>
      </c>
      <c r="I586" s="2">
        <v>200</v>
      </c>
      <c r="J586" s="2">
        <v>130</v>
      </c>
      <c r="K586" s="2">
        <v>2273385</v>
      </c>
      <c r="L586" s="2">
        <v>352950</v>
      </c>
      <c r="M586" s="2">
        <v>1920435</v>
      </c>
    </row>
    <row r="587" spans="1:13">
      <c r="A587" s="2" t="s">
        <v>662</v>
      </c>
      <c r="B587" s="2" t="s">
        <v>8</v>
      </c>
      <c r="C587" s="2" t="s">
        <v>62</v>
      </c>
      <c r="D587" s="2" t="s">
        <v>61</v>
      </c>
      <c r="E587" s="3">
        <v>45512</v>
      </c>
      <c r="F587" s="2" t="str">
        <f t="shared" si="9"/>
        <v>Aug</v>
      </c>
      <c r="G587" s="2">
        <v>248</v>
      </c>
      <c r="H587" s="2" t="s">
        <v>33</v>
      </c>
      <c r="I587" s="2">
        <v>260</v>
      </c>
      <c r="J587" s="2">
        <v>171</v>
      </c>
      <c r="K587" s="2">
        <v>3896234</v>
      </c>
      <c r="L587" s="2">
        <v>468540</v>
      </c>
      <c r="M587" s="2">
        <v>3427694</v>
      </c>
    </row>
    <row r="588" spans="1:13">
      <c r="A588" s="2" t="s">
        <v>663</v>
      </c>
      <c r="B588" s="2" t="s">
        <v>4</v>
      </c>
      <c r="C588" s="2" t="s">
        <v>58</v>
      </c>
      <c r="D588" s="2" t="s">
        <v>66</v>
      </c>
      <c r="E588" s="3">
        <v>45513</v>
      </c>
      <c r="F588" s="2" t="str">
        <f t="shared" si="9"/>
        <v>Aug</v>
      </c>
      <c r="G588" s="2">
        <v>405</v>
      </c>
      <c r="H588" s="2" t="s">
        <v>30</v>
      </c>
      <c r="I588" s="2">
        <v>500</v>
      </c>
      <c r="J588" s="2">
        <v>382</v>
      </c>
      <c r="K588" s="2">
        <v>8157280</v>
      </c>
      <c r="L588" s="2">
        <v>2693100</v>
      </c>
      <c r="M588" s="2">
        <v>5464180</v>
      </c>
    </row>
    <row r="589" spans="1:13">
      <c r="A589" s="2" t="s">
        <v>664</v>
      </c>
      <c r="B589" s="2" t="s">
        <v>54</v>
      </c>
      <c r="C589" s="2" t="s">
        <v>66</v>
      </c>
      <c r="D589" s="2" t="s">
        <v>58</v>
      </c>
      <c r="E589" s="3">
        <v>45514</v>
      </c>
      <c r="F589" s="2" t="str">
        <f t="shared" si="9"/>
        <v>Aug</v>
      </c>
      <c r="G589" s="2">
        <v>51</v>
      </c>
      <c r="H589" s="2" t="s">
        <v>31</v>
      </c>
      <c r="I589" s="2">
        <v>72</v>
      </c>
      <c r="J589" s="2">
        <v>43</v>
      </c>
      <c r="K589" s="2">
        <v>183568</v>
      </c>
      <c r="L589" s="2">
        <v>150930</v>
      </c>
      <c r="M589" s="2">
        <v>32638</v>
      </c>
    </row>
    <row r="590" spans="1:13">
      <c r="A590" s="2" t="s">
        <v>665</v>
      </c>
      <c r="B590" s="2" t="s">
        <v>42</v>
      </c>
      <c r="C590" s="2" t="s">
        <v>59</v>
      </c>
      <c r="D590" s="2" t="s">
        <v>66</v>
      </c>
      <c r="E590" s="3">
        <v>45515</v>
      </c>
      <c r="F590" s="2" t="str">
        <f t="shared" si="9"/>
        <v>Aug</v>
      </c>
      <c r="G590" s="2">
        <v>279</v>
      </c>
      <c r="H590" s="2" t="s">
        <v>28</v>
      </c>
      <c r="I590" s="2">
        <v>180</v>
      </c>
      <c r="J590" s="2">
        <v>120</v>
      </c>
      <c r="K590" s="2">
        <v>2293585</v>
      </c>
      <c r="L590" s="2">
        <v>694800</v>
      </c>
      <c r="M590" s="2">
        <v>1598785</v>
      </c>
    </row>
    <row r="591" spans="1:13">
      <c r="A591" s="2" t="s">
        <v>666</v>
      </c>
      <c r="B591" s="2" t="s">
        <v>55</v>
      </c>
      <c r="C591" s="2" t="s">
        <v>66</v>
      </c>
      <c r="D591" s="2" t="s">
        <v>59</v>
      </c>
      <c r="E591" s="3">
        <v>45516</v>
      </c>
      <c r="F591" s="2" t="str">
        <f t="shared" si="9"/>
        <v>Aug</v>
      </c>
      <c r="G591" s="2">
        <v>137</v>
      </c>
      <c r="H591" s="2" t="s">
        <v>32</v>
      </c>
      <c r="I591" s="2">
        <v>190</v>
      </c>
      <c r="J591" s="2">
        <v>156</v>
      </c>
      <c r="K591" s="2">
        <v>1124114</v>
      </c>
      <c r="L591" s="2">
        <v>681720</v>
      </c>
      <c r="M591" s="2">
        <v>442394</v>
      </c>
    </row>
    <row r="592" spans="1:13">
      <c r="A592" s="2" t="s">
        <v>667</v>
      </c>
      <c r="B592" s="2" t="s">
        <v>50</v>
      </c>
      <c r="C592" s="2" t="s">
        <v>61</v>
      </c>
      <c r="D592" s="2" t="s">
        <v>65</v>
      </c>
      <c r="E592" s="3">
        <v>45517</v>
      </c>
      <c r="F592" s="2" t="str">
        <f t="shared" si="9"/>
        <v>Aug</v>
      </c>
      <c r="G592" s="2">
        <v>337</v>
      </c>
      <c r="H592" s="2" t="s">
        <v>29</v>
      </c>
      <c r="I592" s="2">
        <v>200</v>
      </c>
      <c r="J592" s="2">
        <v>139</v>
      </c>
      <c r="K592" s="2">
        <v>3263639</v>
      </c>
      <c r="L592" s="2">
        <v>885430</v>
      </c>
      <c r="M592" s="2">
        <v>2378209</v>
      </c>
    </row>
    <row r="593" spans="1:13">
      <c r="A593" s="2" t="s">
        <v>668</v>
      </c>
      <c r="B593" s="2" t="s">
        <v>11</v>
      </c>
      <c r="C593" s="2" t="s">
        <v>65</v>
      </c>
      <c r="D593" s="2" t="s">
        <v>61</v>
      </c>
      <c r="E593" s="3">
        <v>45518</v>
      </c>
      <c r="F593" s="2" t="str">
        <f t="shared" si="9"/>
        <v>Aug</v>
      </c>
      <c r="G593" s="2">
        <v>325</v>
      </c>
      <c r="H593" s="2" t="s">
        <v>33</v>
      </c>
      <c r="I593" s="2">
        <v>260</v>
      </c>
      <c r="J593" s="2">
        <v>192</v>
      </c>
      <c r="K593" s="2">
        <v>4804994</v>
      </c>
      <c r="L593" s="2">
        <v>1200000</v>
      </c>
      <c r="M593" s="2">
        <v>3604994</v>
      </c>
    </row>
    <row r="594" spans="1:13">
      <c r="A594" s="2" t="s">
        <v>669</v>
      </c>
      <c r="B594" s="2" t="s">
        <v>6</v>
      </c>
      <c r="C594" s="2" t="s">
        <v>59</v>
      </c>
      <c r="D594" s="2" t="s">
        <v>65</v>
      </c>
      <c r="E594" s="3">
        <v>45519</v>
      </c>
      <c r="F594" s="2" t="str">
        <f t="shared" si="9"/>
        <v>Aug</v>
      </c>
      <c r="G594" s="2">
        <v>346</v>
      </c>
      <c r="H594" s="2" t="s">
        <v>30</v>
      </c>
      <c r="I594" s="2">
        <v>500</v>
      </c>
      <c r="J594" s="2">
        <v>426</v>
      </c>
      <c r="K594" s="2">
        <v>6249896</v>
      </c>
      <c r="L594" s="2">
        <v>2751960</v>
      </c>
      <c r="M594" s="2">
        <v>3497936</v>
      </c>
    </row>
    <row r="595" spans="1:13">
      <c r="A595" s="2" t="s">
        <v>670</v>
      </c>
      <c r="B595" s="2" t="s">
        <v>53</v>
      </c>
      <c r="C595" s="2" t="s">
        <v>65</v>
      </c>
      <c r="D595" s="2" t="s">
        <v>59</v>
      </c>
      <c r="E595" s="3">
        <v>45520</v>
      </c>
      <c r="F595" s="2" t="str">
        <f t="shared" si="9"/>
        <v>Aug</v>
      </c>
      <c r="G595" s="2">
        <v>53</v>
      </c>
      <c r="H595" s="2" t="s">
        <v>31</v>
      </c>
      <c r="I595" s="2">
        <v>72</v>
      </c>
      <c r="J595" s="2">
        <v>46</v>
      </c>
      <c r="K595" s="2">
        <v>170812</v>
      </c>
      <c r="L595" s="2">
        <v>162380</v>
      </c>
      <c r="M595" s="2">
        <v>8432</v>
      </c>
    </row>
    <row r="596" spans="1:13">
      <c r="A596" s="2" t="s">
        <v>671</v>
      </c>
      <c r="B596" s="2" t="s">
        <v>49</v>
      </c>
      <c r="C596" s="2" t="s">
        <v>61</v>
      </c>
      <c r="D596" s="2" t="s">
        <v>64</v>
      </c>
      <c r="E596" s="3">
        <v>45521</v>
      </c>
      <c r="F596" s="2" t="str">
        <f t="shared" si="9"/>
        <v>Aug</v>
      </c>
      <c r="G596" s="2">
        <v>277</v>
      </c>
      <c r="H596" s="2" t="s">
        <v>28</v>
      </c>
      <c r="I596" s="2">
        <v>180</v>
      </c>
      <c r="J596" s="2">
        <v>129</v>
      </c>
      <c r="K596" s="2">
        <v>2395728</v>
      </c>
      <c r="L596" s="2">
        <v>744330</v>
      </c>
      <c r="M596" s="2">
        <v>1651398</v>
      </c>
    </row>
    <row r="597" spans="1:13">
      <c r="A597" s="2" t="s">
        <v>672</v>
      </c>
      <c r="B597" s="2" t="s">
        <v>52</v>
      </c>
      <c r="C597" s="2" t="s">
        <v>64</v>
      </c>
      <c r="D597" s="2" t="s">
        <v>61</v>
      </c>
      <c r="E597" s="3">
        <v>45522</v>
      </c>
      <c r="F597" s="2" t="str">
        <f t="shared" si="9"/>
        <v>Aug</v>
      </c>
      <c r="G597" s="2">
        <v>168</v>
      </c>
      <c r="H597" s="2" t="s">
        <v>32</v>
      </c>
      <c r="I597" s="2">
        <v>190</v>
      </c>
      <c r="J597" s="2">
        <v>119</v>
      </c>
      <c r="K597" s="2">
        <v>1386703</v>
      </c>
      <c r="L597" s="2">
        <v>556920</v>
      </c>
      <c r="M597" s="2">
        <v>829783</v>
      </c>
    </row>
    <row r="598" spans="1:13">
      <c r="A598" s="2" t="s">
        <v>673</v>
      </c>
      <c r="B598" s="2" t="s">
        <v>37</v>
      </c>
      <c r="C598" s="2" t="s">
        <v>58</v>
      </c>
      <c r="D598" s="2" t="s">
        <v>62</v>
      </c>
      <c r="E598" s="3">
        <v>45523</v>
      </c>
      <c r="F598" s="2" t="str">
        <f t="shared" si="9"/>
        <v>Aug</v>
      </c>
      <c r="G598" s="2">
        <v>243</v>
      </c>
      <c r="H598" s="2" t="s">
        <v>29</v>
      </c>
      <c r="I598" s="2">
        <v>200</v>
      </c>
      <c r="J598" s="2">
        <v>133</v>
      </c>
      <c r="K598" s="2">
        <v>2226950</v>
      </c>
      <c r="L598" s="2">
        <v>722190</v>
      </c>
      <c r="M598" s="2">
        <v>1504760</v>
      </c>
    </row>
    <row r="599" spans="1:13">
      <c r="A599" s="2" t="s">
        <v>674</v>
      </c>
      <c r="B599" s="2" t="s">
        <v>7</v>
      </c>
      <c r="C599" s="2" t="s">
        <v>62</v>
      </c>
      <c r="D599" s="2" t="s">
        <v>58</v>
      </c>
      <c r="E599" s="3">
        <v>45524</v>
      </c>
      <c r="F599" s="2" t="str">
        <f t="shared" si="9"/>
        <v>Aug</v>
      </c>
      <c r="G599" s="2">
        <v>249</v>
      </c>
      <c r="H599" s="2" t="s">
        <v>33</v>
      </c>
      <c r="I599" s="2">
        <v>260</v>
      </c>
      <c r="J599" s="2">
        <v>188</v>
      </c>
      <c r="K599" s="2">
        <v>3413359</v>
      </c>
      <c r="L599" s="2">
        <v>1032120</v>
      </c>
      <c r="M599" s="2">
        <v>2381239</v>
      </c>
    </row>
    <row r="600" spans="1:13">
      <c r="A600" s="2" t="s">
        <v>675</v>
      </c>
      <c r="B600" s="2" t="s">
        <v>9</v>
      </c>
      <c r="C600" s="2" t="s">
        <v>63</v>
      </c>
      <c r="D600" s="2" t="s">
        <v>59</v>
      </c>
      <c r="E600" s="3">
        <v>45525</v>
      </c>
      <c r="F600" s="2" t="str">
        <f t="shared" si="9"/>
        <v>Aug</v>
      </c>
      <c r="G600" s="2">
        <v>228</v>
      </c>
      <c r="H600" s="2" t="s">
        <v>30</v>
      </c>
      <c r="I600" s="2">
        <v>500</v>
      </c>
      <c r="J600" s="2">
        <v>445</v>
      </c>
      <c r="K600" s="2">
        <v>4714677</v>
      </c>
      <c r="L600" s="2">
        <v>1174800</v>
      </c>
      <c r="M600" s="2">
        <v>3539877</v>
      </c>
    </row>
    <row r="601" spans="1:13">
      <c r="A601" s="2" t="s">
        <v>676</v>
      </c>
      <c r="B601" s="2" t="s">
        <v>41</v>
      </c>
      <c r="C601" s="2" t="s">
        <v>59</v>
      </c>
      <c r="D601" s="2" t="s">
        <v>63</v>
      </c>
      <c r="E601" s="3">
        <v>45526</v>
      </c>
      <c r="F601" s="2" t="str">
        <f t="shared" si="9"/>
        <v>Aug</v>
      </c>
      <c r="G601" s="2">
        <v>73</v>
      </c>
      <c r="H601" s="2" t="s">
        <v>31</v>
      </c>
      <c r="I601" s="2">
        <v>72</v>
      </c>
      <c r="J601" s="2">
        <v>49</v>
      </c>
      <c r="K601" s="2">
        <v>257544</v>
      </c>
      <c r="L601" s="2">
        <v>91385</v>
      </c>
      <c r="M601" s="2">
        <v>166159</v>
      </c>
    </row>
    <row r="602" spans="1:13">
      <c r="A602" s="2" t="s">
        <v>677</v>
      </c>
      <c r="B602" s="2" t="s">
        <v>39</v>
      </c>
      <c r="C602" s="2" t="s">
        <v>59</v>
      </c>
      <c r="D602" s="2" t="s">
        <v>61</v>
      </c>
      <c r="E602" s="3">
        <v>45527</v>
      </c>
      <c r="F602" s="2" t="str">
        <f t="shared" si="9"/>
        <v>Aug</v>
      </c>
      <c r="G602" s="2">
        <v>289</v>
      </c>
      <c r="H602" s="2" t="s">
        <v>28</v>
      </c>
      <c r="I602" s="2">
        <v>180</v>
      </c>
      <c r="J602" s="2">
        <v>145</v>
      </c>
      <c r="K602" s="2">
        <v>2395293</v>
      </c>
      <c r="L602" s="2">
        <v>427025</v>
      </c>
      <c r="M602" s="2">
        <v>1968268</v>
      </c>
    </row>
    <row r="603" spans="1:13">
      <c r="A603" s="2" t="s">
        <v>678</v>
      </c>
      <c r="B603" s="2" t="s">
        <v>46</v>
      </c>
      <c r="C603" s="2" t="s">
        <v>61</v>
      </c>
      <c r="D603" s="2" t="s">
        <v>59</v>
      </c>
      <c r="E603" s="3">
        <v>45528</v>
      </c>
      <c r="F603" s="2" t="str">
        <f t="shared" si="9"/>
        <v>Aug</v>
      </c>
      <c r="G603" s="2">
        <v>117</v>
      </c>
      <c r="H603" s="2" t="s">
        <v>32</v>
      </c>
      <c r="I603" s="2">
        <v>190</v>
      </c>
      <c r="J603" s="2">
        <v>136</v>
      </c>
      <c r="K603" s="2">
        <v>1088693</v>
      </c>
      <c r="L603" s="2">
        <v>283560</v>
      </c>
      <c r="M603" s="2">
        <v>805133</v>
      </c>
    </row>
    <row r="604" spans="1:13">
      <c r="A604" s="2" t="s">
        <v>679</v>
      </c>
      <c r="B604" s="2" t="s">
        <v>45</v>
      </c>
      <c r="C604" s="2" t="s">
        <v>61</v>
      </c>
      <c r="D604" s="2" t="s">
        <v>58</v>
      </c>
      <c r="E604" s="3">
        <v>45529</v>
      </c>
      <c r="F604" s="2" t="str">
        <f t="shared" si="9"/>
        <v>Aug</v>
      </c>
      <c r="G604" s="2">
        <v>294</v>
      </c>
      <c r="H604" s="2" t="s">
        <v>29</v>
      </c>
      <c r="I604" s="2">
        <v>200</v>
      </c>
      <c r="J604" s="2">
        <v>146</v>
      </c>
      <c r="K604" s="2">
        <v>2716440</v>
      </c>
      <c r="L604" s="2">
        <v>433620</v>
      </c>
      <c r="M604" s="2">
        <v>2282820</v>
      </c>
    </row>
    <row r="605" spans="1:13">
      <c r="A605" s="2" t="s">
        <v>680</v>
      </c>
      <c r="B605" s="2" t="s">
        <v>3</v>
      </c>
      <c r="C605" s="2" t="s">
        <v>58</v>
      </c>
      <c r="D605" s="2" t="s">
        <v>61</v>
      </c>
      <c r="E605" s="3">
        <v>45530</v>
      </c>
      <c r="F605" s="2" t="str">
        <f t="shared" si="9"/>
        <v>Aug</v>
      </c>
      <c r="G605" s="2">
        <v>470</v>
      </c>
      <c r="H605" s="2" t="s">
        <v>33</v>
      </c>
      <c r="I605" s="2">
        <v>260</v>
      </c>
      <c r="J605" s="2">
        <v>222</v>
      </c>
      <c r="K605" s="2">
        <v>7000939</v>
      </c>
      <c r="L605" s="2">
        <v>854700</v>
      </c>
      <c r="M605" s="2">
        <v>6146239</v>
      </c>
    </row>
    <row r="606" spans="1:13">
      <c r="A606" s="2" t="s">
        <v>681</v>
      </c>
      <c r="B606" s="2" t="s">
        <v>5</v>
      </c>
      <c r="C606" s="2" t="s">
        <v>59</v>
      </c>
      <c r="D606" s="2" t="s">
        <v>58</v>
      </c>
      <c r="E606" s="3">
        <v>45531</v>
      </c>
      <c r="F606" s="2" t="str">
        <f t="shared" si="9"/>
        <v>Aug</v>
      </c>
      <c r="G606" s="2">
        <v>443</v>
      </c>
      <c r="H606" s="2" t="s">
        <v>30</v>
      </c>
      <c r="I606" s="2">
        <v>500</v>
      </c>
      <c r="J606" s="2">
        <v>401</v>
      </c>
      <c r="K606" s="2">
        <v>8131295</v>
      </c>
      <c r="L606" s="2">
        <v>1489715</v>
      </c>
      <c r="M606" s="2">
        <v>6641580</v>
      </c>
    </row>
    <row r="607" spans="1:13">
      <c r="A607" s="2" t="s">
        <v>682</v>
      </c>
      <c r="B607" s="2" t="s">
        <v>36</v>
      </c>
      <c r="C607" s="2" t="s">
        <v>58</v>
      </c>
      <c r="D607" s="2" t="s">
        <v>59</v>
      </c>
      <c r="E607" s="3">
        <v>45532</v>
      </c>
      <c r="F607" s="2" t="str">
        <f t="shared" si="9"/>
        <v>Aug</v>
      </c>
      <c r="G607" s="2">
        <v>98</v>
      </c>
      <c r="H607" s="2" t="s">
        <v>31</v>
      </c>
      <c r="I607" s="2">
        <v>72</v>
      </c>
      <c r="J607" s="2">
        <v>47</v>
      </c>
      <c r="K607" s="2">
        <v>356034</v>
      </c>
      <c r="L607" s="2">
        <v>93530</v>
      </c>
      <c r="M607" s="2">
        <v>262504</v>
      </c>
    </row>
    <row r="608" spans="1:13">
      <c r="A608" s="2" t="s">
        <v>683</v>
      </c>
      <c r="B608" s="2" t="s">
        <v>38</v>
      </c>
      <c r="C608" s="2" t="s">
        <v>59</v>
      </c>
      <c r="D608" s="2" t="s">
        <v>60</v>
      </c>
      <c r="E608" s="3">
        <v>45533</v>
      </c>
      <c r="F608" s="2" t="str">
        <f t="shared" si="9"/>
        <v>Aug</v>
      </c>
      <c r="G608" s="2">
        <v>114</v>
      </c>
      <c r="H608" s="2" t="s">
        <v>28</v>
      </c>
      <c r="I608" s="2">
        <v>180</v>
      </c>
      <c r="J608" s="2">
        <v>141</v>
      </c>
      <c r="K608" s="2">
        <v>838433</v>
      </c>
      <c r="L608" s="2">
        <v>291870</v>
      </c>
      <c r="M608" s="2">
        <v>546563</v>
      </c>
    </row>
    <row r="609" spans="1:13">
      <c r="A609" s="2" t="s">
        <v>684</v>
      </c>
      <c r="B609" s="2" t="s">
        <v>44</v>
      </c>
      <c r="C609" s="2" t="s">
        <v>60</v>
      </c>
      <c r="D609" s="2" t="s">
        <v>59</v>
      </c>
      <c r="E609" s="3">
        <v>45534</v>
      </c>
      <c r="F609" s="2" t="str">
        <f t="shared" si="9"/>
        <v>Aug</v>
      </c>
      <c r="G609" s="2">
        <v>180</v>
      </c>
      <c r="H609" s="2" t="s">
        <v>32</v>
      </c>
      <c r="I609" s="2">
        <v>190</v>
      </c>
      <c r="J609" s="2">
        <v>168</v>
      </c>
      <c r="K609" s="2">
        <v>1458400</v>
      </c>
      <c r="L609" s="2">
        <v>403200</v>
      </c>
      <c r="M609" s="2">
        <v>1055200</v>
      </c>
    </row>
    <row r="610" spans="1:13">
      <c r="A610" s="2" t="s">
        <v>685</v>
      </c>
      <c r="B610" s="2" t="s">
        <v>48</v>
      </c>
      <c r="C610" s="2" t="s">
        <v>61</v>
      </c>
      <c r="D610" s="2" t="s">
        <v>63</v>
      </c>
      <c r="E610" s="3">
        <v>45535</v>
      </c>
      <c r="F610" s="2" t="str">
        <f t="shared" si="9"/>
        <v>Aug</v>
      </c>
      <c r="G610" s="2">
        <v>215</v>
      </c>
      <c r="H610" s="2" t="s">
        <v>29</v>
      </c>
      <c r="I610" s="2">
        <v>200</v>
      </c>
      <c r="J610" s="2">
        <v>175</v>
      </c>
      <c r="K610" s="2">
        <v>2217002</v>
      </c>
      <c r="L610" s="2">
        <v>450625</v>
      </c>
      <c r="M610" s="2">
        <v>1766377</v>
      </c>
    </row>
    <row r="611" spans="1:13">
      <c r="A611" s="2" t="s">
        <v>686</v>
      </c>
      <c r="B611" s="2" t="s">
        <v>10</v>
      </c>
      <c r="C611" s="2" t="s">
        <v>63</v>
      </c>
      <c r="D611" s="2" t="s">
        <v>61</v>
      </c>
      <c r="E611" s="3">
        <v>45536</v>
      </c>
      <c r="F611" s="2" t="str">
        <f t="shared" si="9"/>
        <v>Sep</v>
      </c>
      <c r="G611" s="2">
        <v>416</v>
      </c>
      <c r="H611" s="2" t="s">
        <v>33</v>
      </c>
      <c r="I611" s="2">
        <v>260</v>
      </c>
      <c r="J611" s="2">
        <v>166</v>
      </c>
      <c r="K611" s="2">
        <v>6831757</v>
      </c>
      <c r="L611" s="2">
        <v>594280</v>
      </c>
      <c r="M611" s="2">
        <v>6237477</v>
      </c>
    </row>
    <row r="612" spans="1:13">
      <c r="A612" s="2" t="s">
        <v>687</v>
      </c>
      <c r="B612" s="2" t="s">
        <v>2</v>
      </c>
      <c r="C612" s="2" t="s">
        <v>58</v>
      </c>
      <c r="D612" s="2" t="s">
        <v>60</v>
      </c>
      <c r="E612" s="3">
        <v>45537</v>
      </c>
      <c r="F612" s="2" t="str">
        <f t="shared" si="9"/>
        <v>Sep</v>
      </c>
      <c r="G612" s="2">
        <v>297</v>
      </c>
      <c r="H612" s="2" t="s">
        <v>30</v>
      </c>
      <c r="I612" s="2">
        <v>500</v>
      </c>
      <c r="J612" s="2">
        <v>473</v>
      </c>
      <c r="K612" s="2">
        <v>6447277</v>
      </c>
      <c r="L612" s="2">
        <v>1411905</v>
      </c>
      <c r="M612" s="2">
        <v>5035372</v>
      </c>
    </row>
    <row r="613" spans="1:13">
      <c r="A613" s="2" t="s">
        <v>688</v>
      </c>
      <c r="B613" s="2" t="s">
        <v>43</v>
      </c>
      <c r="C613" s="2" t="s">
        <v>60</v>
      </c>
      <c r="D613" s="2" t="s">
        <v>58</v>
      </c>
      <c r="E613" s="3">
        <v>45538</v>
      </c>
      <c r="F613" s="2" t="str">
        <f t="shared" si="9"/>
        <v>Sep</v>
      </c>
      <c r="G613" s="2">
        <v>137</v>
      </c>
      <c r="H613" s="2" t="s">
        <v>31</v>
      </c>
      <c r="I613" s="2">
        <v>72</v>
      </c>
      <c r="J613" s="2">
        <v>49</v>
      </c>
      <c r="K613" s="2">
        <v>495952</v>
      </c>
      <c r="L613" s="2">
        <v>107065</v>
      </c>
      <c r="M613" s="2">
        <v>388887</v>
      </c>
    </row>
    <row r="614" spans="1:13">
      <c r="A614" s="2" t="s">
        <v>689</v>
      </c>
      <c r="B614" s="2" t="s">
        <v>40</v>
      </c>
      <c r="C614" s="2" t="s">
        <v>59</v>
      </c>
      <c r="D614" s="2" t="s">
        <v>62</v>
      </c>
      <c r="E614" s="3">
        <v>45539</v>
      </c>
      <c r="F614" s="2" t="str">
        <f t="shared" si="9"/>
        <v>Sep</v>
      </c>
      <c r="G614" s="2">
        <v>143</v>
      </c>
      <c r="H614" s="2" t="s">
        <v>28</v>
      </c>
      <c r="I614" s="2">
        <v>180</v>
      </c>
      <c r="J614" s="2">
        <v>147</v>
      </c>
      <c r="K614" s="2">
        <v>1049991</v>
      </c>
      <c r="L614" s="2">
        <v>651210</v>
      </c>
      <c r="M614" s="2">
        <v>398781</v>
      </c>
    </row>
    <row r="615" spans="1:13">
      <c r="A615" s="2" t="s">
        <v>690</v>
      </c>
      <c r="B615" s="2" t="s">
        <v>51</v>
      </c>
      <c r="C615" s="2" t="s">
        <v>62</v>
      </c>
      <c r="D615" s="2" t="s">
        <v>59</v>
      </c>
      <c r="E615" s="3">
        <v>45540</v>
      </c>
      <c r="F615" s="2" t="str">
        <f t="shared" si="9"/>
        <v>Sep</v>
      </c>
      <c r="G615" s="2">
        <v>290</v>
      </c>
      <c r="H615" s="2" t="s">
        <v>32</v>
      </c>
      <c r="I615" s="2">
        <v>190</v>
      </c>
      <c r="J615" s="2">
        <v>171</v>
      </c>
      <c r="K615" s="2">
        <v>2666629</v>
      </c>
      <c r="L615" s="2">
        <v>1008900</v>
      </c>
      <c r="M615" s="2">
        <v>1657729</v>
      </c>
    </row>
    <row r="616" spans="1:13">
      <c r="A616" s="2" t="s">
        <v>691</v>
      </c>
      <c r="B616" s="2" t="s">
        <v>47</v>
      </c>
      <c r="C616" s="2" t="s">
        <v>61</v>
      </c>
      <c r="D616" s="2" t="s">
        <v>62</v>
      </c>
      <c r="E616" s="3">
        <v>45541</v>
      </c>
      <c r="F616" s="2" t="str">
        <f t="shared" si="9"/>
        <v>Sep</v>
      </c>
      <c r="G616" s="2">
        <v>117</v>
      </c>
      <c r="H616" s="2" t="s">
        <v>29</v>
      </c>
      <c r="I616" s="2">
        <v>200</v>
      </c>
      <c r="J616" s="2">
        <v>131</v>
      </c>
      <c r="K616" s="2">
        <v>1014379</v>
      </c>
      <c r="L616" s="2">
        <v>273135</v>
      </c>
      <c r="M616" s="2">
        <v>741244</v>
      </c>
    </row>
    <row r="617" spans="1:13">
      <c r="A617" s="2" t="s">
        <v>692</v>
      </c>
      <c r="B617" s="2" t="s">
        <v>8</v>
      </c>
      <c r="C617" s="2" t="s">
        <v>62</v>
      </c>
      <c r="D617" s="2" t="s">
        <v>61</v>
      </c>
      <c r="E617" s="3">
        <v>45542</v>
      </c>
      <c r="F617" s="2" t="str">
        <f t="shared" si="9"/>
        <v>Sep</v>
      </c>
      <c r="G617" s="2">
        <v>471</v>
      </c>
      <c r="H617" s="2" t="s">
        <v>33</v>
      </c>
      <c r="I617" s="2">
        <v>260</v>
      </c>
      <c r="J617" s="2">
        <v>183</v>
      </c>
      <c r="K617" s="2">
        <v>6730278</v>
      </c>
      <c r="L617" s="2">
        <v>705465</v>
      </c>
      <c r="M617" s="2">
        <v>6024813</v>
      </c>
    </row>
    <row r="618" spans="1:13">
      <c r="A618" s="2" t="s">
        <v>693</v>
      </c>
      <c r="B618" s="2" t="s">
        <v>4</v>
      </c>
      <c r="C618" s="2" t="s">
        <v>58</v>
      </c>
      <c r="D618" s="2" t="s">
        <v>66</v>
      </c>
      <c r="E618" s="3">
        <v>45543</v>
      </c>
      <c r="F618" s="2" t="str">
        <f t="shared" si="9"/>
        <v>Sep</v>
      </c>
      <c r="G618" s="2">
        <v>245</v>
      </c>
      <c r="H618" s="2" t="s">
        <v>30</v>
      </c>
      <c r="I618" s="2">
        <v>500</v>
      </c>
      <c r="J618" s="2">
        <v>366</v>
      </c>
      <c r="K618" s="2">
        <v>4749395</v>
      </c>
      <c r="L618" s="2">
        <v>1994700</v>
      </c>
      <c r="M618" s="2">
        <v>2754695</v>
      </c>
    </row>
    <row r="619" spans="1:13">
      <c r="A619" s="2" t="s">
        <v>694</v>
      </c>
      <c r="B619" s="2" t="s">
        <v>54</v>
      </c>
      <c r="C619" s="2" t="s">
        <v>66</v>
      </c>
      <c r="D619" s="2" t="s">
        <v>58</v>
      </c>
      <c r="E619" s="3">
        <v>45544</v>
      </c>
      <c r="F619" s="2" t="str">
        <f t="shared" si="9"/>
        <v>Sep</v>
      </c>
      <c r="G619" s="2">
        <v>102</v>
      </c>
      <c r="H619" s="2" t="s">
        <v>31</v>
      </c>
      <c r="I619" s="2">
        <v>72</v>
      </c>
      <c r="J619" s="2">
        <v>56</v>
      </c>
      <c r="K619" s="2">
        <v>380225</v>
      </c>
      <c r="L619" s="2">
        <v>225120</v>
      </c>
      <c r="M619" s="2">
        <v>155105</v>
      </c>
    </row>
    <row r="620" spans="1:13">
      <c r="A620" s="2" t="s">
        <v>695</v>
      </c>
      <c r="B620" s="2" t="s">
        <v>42</v>
      </c>
      <c r="C620" s="2" t="s">
        <v>59</v>
      </c>
      <c r="D620" s="2" t="s">
        <v>66</v>
      </c>
      <c r="E620" s="3">
        <v>45545</v>
      </c>
      <c r="F620" s="2" t="str">
        <f t="shared" si="9"/>
        <v>Sep</v>
      </c>
      <c r="G620" s="2">
        <v>249</v>
      </c>
      <c r="H620" s="2" t="s">
        <v>28</v>
      </c>
      <c r="I620" s="2">
        <v>180</v>
      </c>
      <c r="J620" s="2">
        <v>136</v>
      </c>
      <c r="K620" s="2">
        <v>2032076</v>
      </c>
      <c r="L620" s="2">
        <v>746640</v>
      </c>
      <c r="M620" s="2">
        <v>1285436</v>
      </c>
    </row>
    <row r="621" spans="1:13">
      <c r="A621" s="2" t="s">
        <v>696</v>
      </c>
      <c r="B621" s="2" t="s">
        <v>55</v>
      </c>
      <c r="C621" s="2" t="s">
        <v>66</v>
      </c>
      <c r="D621" s="2" t="s">
        <v>59</v>
      </c>
      <c r="E621" s="3">
        <v>45546</v>
      </c>
      <c r="F621" s="2" t="str">
        <f t="shared" si="9"/>
        <v>Sep</v>
      </c>
      <c r="G621" s="2">
        <v>321</v>
      </c>
      <c r="H621" s="2" t="s">
        <v>32</v>
      </c>
      <c r="I621" s="2">
        <v>190</v>
      </c>
      <c r="J621" s="2">
        <v>175</v>
      </c>
      <c r="K621" s="2">
        <v>2887245</v>
      </c>
      <c r="L621" s="2">
        <v>1086750</v>
      </c>
      <c r="M621" s="2">
        <v>1800495</v>
      </c>
    </row>
    <row r="622" spans="1:13">
      <c r="A622" s="2" t="s">
        <v>697</v>
      </c>
      <c r="B622" s="2" t="s">
        <v>50</v>
      </c>
      <c r="C622" s="2" t="s">
        <v>61</v>
      </c>
      <c r="D622" s="2" t="s">
        <v>65</v>
      </c>
      <c r="E622" s="3">
        <v>45547</v>
      </c>
      <c r="F622" s="2" t="str">
        <f t="shared" si="9"/>
        <v>Sep</v>
      </c>
      <c r="G622" s="2">
        <v>395</v>
      </c>
      <c r="H622" s="2" t="s">
        <v>29</v>
      </c>
      <c r="I622" s="2">
        <v>200</v>
      </c>
      <c r="J622" s="2">
        <v>179</v>
      </c>
      <c r="K622" s="2">
        <v>3533737</v>
      </c>
      <c r="L622" s="2">
        <v>1244050</v>
      </c>
      <c r="M622" s="2">
        <v>2289687</v>
      </c>
    </row>
    <row r="623" spans="1:13">
      <c r="A623" s="2" t="s">
        <v>698</v>
      </c>
      <c r="B623" s="2" t="s">
        <v>11</v>
      </c>
      <c r="C623" s="2" t="s">
        <v>65</v>
      </c>
      <c r="D623" s="2" t="s">
        <v>61</v>
      </c>
      <c r="E623" s="3">
        <v>45548</v>
      </c>
      <c r="F623" s="2" t="str">
        <f t="shared" si="9"/>
        <v>Sep</v>
      </c>
      <c r="G623" s="2">
        <v>418</v>
      </c>
      <c r="H623" s="2" t="s">
        <v>33</v>
      </c>
      <c r="I623" s="2">
        <v>260</v>
      </c>
      <c r="J623" s="2">
        <v>192</v>
      </c>
      <c r="K623" s="2">
        <v>6319824</v>
      </c>
      <c r="L623" s="2">
        <v>1378560</v>
      </c>
      <c r="M623" s="2">
        <v>4941264</v>
      </c>
    </row>
    <row r="624" spans="1:13">
      <c r="A624" s="2" t="s">
        <v>699</v>
      </c>
      <c r="B624" s="2" t="s">
        <v>6</v>
      </c>
      <c r="C624" s="2" t="s">
        <v>59</v>
      </c>
      <c r="D624" s="2" t="s">
        <v>65</v>
      </c>
      <c r="E624" s="3">
        <v>45549</v>
      </c>
      <c r="F624" s="2" t="str">
        <f t="shared" si="9"/>
        <v>Sep</v>
      </c>
      <c r="G624" s="2">
        <v>470</v>
      </c>
      <c r="H624" s="2" t="s">
        <v>30</v>
      </c>
      <c r="I624" s="2">
        <v>500</v>
      </c>
      <c r="J624" s="2">
        <v>418</v>
      </c>
      <c r="K624" s="2">
        <v>9461064</v>
      </c>
      <c r="L624" s="2">
        <v>3218600</v>
      </c>
      <c r="M624" s="2">
        <v>6242464</v>
      </c>
    </row>
    <row r="625" spans="1:13">
      <c r="A625" s="2" t="s">
        <v>700</v>
      </c>
      <c r="B625" s="2" t="s">
        <v>53</v>
      </c>
      <c r="C625" s="2" t="s">
        <v>65</v>
      </c>
      <c r="D625" s="2" t="s">
        <v>59</v>
      </c>
      <c r="E625" s="3">
        <v>45550</v>
      </c>
      <c r="F625" s="2" t="str">
        <f t="shared" si="9"/>
        <v>Sep</v>
      </c>
      <c r="G625" s="2">
        <v>107</v>
      </c>
      <c r="H625" s="2" t="s">
        <v>31</v>
      </c>
      <c r="I625" s="2">
        <v>72</v>
      </c>
      <c r="J625" s="2">
        <v>63</v>
      </c>
      <c r="K625" s="2">
        <v>396223</v>
      </c>
      <c r="L625" s="2">
        <v>256410</v>
      </c>
      <c r="M625" s="2">
        <v>139813</v>
      </c>
    </row>
    <row r="626" spans="1:13">
      <c r="A626" s="2" t="s">
        <v>701</v>
      </c>
      <c r="B626" s="2" t="s">
        <v>49</v>
      </c>
      <c r="C626" s="2" t="s">
        <v>61</v>
      </c>
      <c r="D626" s="2" t="s">
        <v>64</v>
      </c>
      <c r="E626" s="3">
        <v>45551</v>
      </c>
      <c r="F626" s="2" t="str">
        <f t="shared" si="9"/>
        <v>Sep</v>
      </c>
      <c r="G626" s="2">
        <v>239</v>
      </c>
      <c r="H626" s="2" t="s">
        <v>28</v>
      </c>
      <c r="I626" s="2">
        <v>180</v>
      </c>
      <c r="J626" s="2">
        <v>159</v>
      </c>
      <c r="K626" s="2">
        <v>1844134</v>
      </c>
      <c r="L626" s="2">
        <v>857010</v>
      </c>
      <c r="M626" s="2">
        <v>987124</v>
      </c>
    </row>
    <row r="627" spans="1:13">
      <c r="A627" s="2" t="s">
        <v>702</v>
      </c>
      <c r="B627" s="2" t="s">
        <v>52</v>
      </c>
      <c r="C627" s="2" t="s">
        <v>64</v>
      </c>
      <c r="D627" s="2" t="s">
        <v>61</v>
      </c>
      <c r="E627" s="3">
        <v>45552</v>
      </c>
      <c r="F627" s="2" t="str">
        <f t="shared" si="9"/>
        <v>Sep</v>
      </c>
      <c r="G627" s="2">
        <v>222</v>
      </c>
      <c r="H627" s="2" t="s">
        <v>32</v>
      </c>
      <c r="I627" s="2">
        <v>190</v>
      </c>
      <c r="J627" s="2">
        <v>125</v>
      </c>
      <c r="K627" s="2">
        <v>2075902</v>
      </c>
      <c r="L627" s="2">
        <v>652500</v>
      </c>
      <c r="M627" s="2">
        <v>1423402</v>
      </c>
    </row>
    <row r="628" spans="1:13">
      <c r="A628" s="2" t="s">
        <v>703</v>
      </c>
      <c r="B628" s="2" t="s">
        <v>37</v>
      </c>
      <c r="C628" s="2" t="s">
        <v>58</v>
      </c>
      <c r="D628" s="2" t="s">
        <v>62</v>
      </c>
      <c r="E628" s="3">
        <v>45553</v>
      </c>
      <c r="F628" s="2" t="str">
        <f t="shared" si="9"/>
        <v>Sep</v>
      </c>
      <c r="G628" s="2">
        <v>285</v>
      </c>
      <c r="H628" s="2" t="s">
        <v>29</v>
      </c>
      <c r="I628" s="2">
        <v>200</v>
      </c>
      <c r="J628" s="2">
        <v>188</v>
      </c>
      <c r="K628" s="2">
        <v>2783836</v>
      </c>
      <c r="L628" s="2">
        <v>1099800</v>
      </c>
      <c r="M628" s="2">
        <v>1684036</v>
      </c>
    </row>
    <row r="629" spans="1:13">
      <c r="A629" s="2" t="s">
        <v>704</v>
      </c>
      <c r="B629" s="2" t="s">
        <v>7</v>
      </c>
      <c r="C629" s="2" t="s">
        <v>62</v>
      </c>
      <c r="D629" s="2" t="s">
        <v>58</v>
      </c>
      <c r="E629" s="3">
        <v>45554</v>
      </c>
      <c r="F629" s="2" t="str">
        <f t="shared" si="9"/>
        <v>Sep</v>
      </c>
      <c r="G629" s="2">
        <v>204</v>
      </c>
      <c r="H629" s="2" t="s">
        <v>33</v>
      </c>
      <c r="I629" s="2">
        <v>260</v>
      </c>
      <c r="J629" s="2">
        <v>208</v>
      </c>
      <c r="K629" s="2">
        <v>3047364</v>
      </c>
      <c r="L629" s="2">
        <v>1048320</v>
      </c>
      <c r="M629" s="2">
        <v>1999044</v>
      </c>
    </row>
    <row r="630" spans="1:13">
      <c r="A630" s="2" t="s">
        <v>705</v>
      </c>
      <c r="B630" s="2" t="s">
        <v>9</v>
      </c>
      <c r="C630" s="2" t="s">
        <v>63</v>
      </c>
      <c r="D630" s="2" t="s">
        <v>59</v>
      </c>
      <c r="E630" s="3">
        <v>45555</v>
      </c>
      <c r="F630" s="2" t="str">
        <f t="shared" si="9"/>
        <v>Sep</v>
      </c>
      <c r="G630" s="2">
        <v>468</v>
      </c>
      <c r="H630" s="2" t="s">
        <v>30</v>
      </c>
      <c r="I630" s="2">
        <v>500</v>
      </c>
      <c r="J630" s="2">
        <v>461</v>
      </c>
      <c r="K630" s="2">
        <v>9335779</v>
      </c>
      <c r="L630" s="2">
        <v>1770240</v>
      </c>
      <c r="M630" s="2">
        <v>7565539</v>
      </c>
    </row>
    <row r="631" spans="1:13">
      <c r="A631" s="2" t="s">
        <v>706</v>
      </c>
      <c r="B631" s="2" t="s">
        <v>41</v>
      </c>
      <c r="C631" s="2" t="s">
        <v>59</v>
      </c>
      <c r="D631" s="2" t="s">
        <v>63</v>
      </c>
      <c r="E631" s="3">
        <v>45556</v>
      </c>
      <c r="F631" s="2" t="str">
        <f t="shared" si="9"/>
        <v>Sep</v>
      </c>
      <c r="G631" s="2">
        <v>139</v>
      </c>
      <c r="H631" s="2" t="s">
        <v>31</v>
      </c>
      <c r="I631" s="2">
        <v>72</v>
      </c>
      <c r="J631" s="2">
        <v>65</v>
      </c>
      <c r="K631" s="2">
        <v>518544</v>
      </c>
      <c r="L631" s="2">
        <v>142675</v>
      </c>
      <c r="M631" s="2">
        <v>375869</v>
      </c>
    </row>
    <row r="632" spans="1:13">
      <c r="A632" s="2" t="s">
        <v>707</v>
      </c>
      <c r="B632" s="2" t="s">
        <v>39</v>
      </c>
      <c r="C632" s="2" t="s">
        <v>59</v>
      </c>
      <c r="D632" s="2" t="s">
        <v>61</v>
      </c>
      <c r="E632" s="3">
        <v>45557</v>
      </c>
      <c r="F632" s="2" t="str">
        <f t="shared" si="9"/>
        <v>Sep</v>
      </c>
      <c r="G632" s="2">
        <v>239</v>
      </c>
      <c r="H632" s="2" t="s">
        <v>28</v>
      </c>
      <c r="I632" s="2">
        <v>180</v>
      </c>
      <c r="J632" s="2">
        <v>139</v>
      </c>
      <c r="K632" s="2">
        <v>1873248</v>
      </c>
      <c r="L632" s="2">
        <v>374605</v>
      </c>
      <c r="M632" s="2">
        <v>1498643</v>
      </c>
    </row>
    <row r="633" spans="1:13">
      <c r="A633" s="2" t="s">
        <v>708</v>
      </c>
      <c r="B633" s="2" t="s">
        <v>46</v>
      </c>
      <c r="C633" s="2" t="s">
        <v>61</v>
      </c>
      <c r="D633" s="2" t="s">
        <v>59</v>
      </c>
      <c r="E633" s="3">
        <v>45558</v>
      </c>
      <c r="F633" s="2" t="str">
        <f t="shared" si="9"/>
        <v>Sep</v>
      </c>
      <c r="G633" s="2">
        <v>84</v>
      </c>
      <c r="H633" s="2" t="s">
        <v>32</v>
      </c>
      <c r="I633" s="2">
        <v>190</v>
      </c>
      <c r="J633" s="2">
        <v>158</v>
      </c>
      <c r="K633" s="2">
        <v>698810</v>
      </c>
      <c r="L633" s="2">
        <v>303360</v>
      </c>
      <c r="M633" s="2">
        <v>395450</v>
      </c>
    </row>
    <row r="634" spans="1:13">
      <c r="A634" s="2" t="s">
        <v>709</v>
      </c>
      <c r="B634" s="2" t="s">
        <v>45</v>
      </c>
      <c r="C634" s="2" t="s">
        <v>61</v>
      </c>
      <c r="D634" s="2" t="s">
        <v>58</v>
      </c>
      <c r="E634" s="3">
        <v>45559</v>
      </c>
      <c r="F634" s="2" t="str">
        <f t="shared" si="9"/>
        <v>Sep</v>
      </c>
      <c r="G634" s="2">
        <v>104</v>
      </c>
      <c r="H634" s="2" t="s">
        <v>29</v>
      </c>
      <c r="I634" s="2">
        <v>200</v>
      </c>
      <c r="J634" s="2">
        <v>136</v>
      </c>
      <c r="K634" s="2">
        <v>905001</v>
      </c>
      <c r="L634" s="2">
        <v>274720</v>
      </c>
      <c r="M634" s="2">
        <v>630281</v>
      </c>
    </row>
    <row r="635" spans="1:13">
      <c r="A635" s="2" t="s">
        <v>710</v>
      </c>
      <c r="B635" s="2" t="s">
        <v>3</v>
      </c>
      <c r="C635" s="2" t="s">
        <v>58</v>
      </c>
      <c r="D635" s="2" t="s">
        <v>61</v>
      </c>
      <c r="E635" s="3">
        <v>45560</v>
      </c>
      <c r="F635" s="2" t="str">
        <f t="shared" si="9"/>
        <v>Sep</v>
      </c>
      <c r="G635" s="2">
        <v>191</v>
      </c>
      <c r="H635" s="2" t="s">
        <v>33</v>
      </c>
      <c r="I635" s="2">
        <v>260</v>
      </c>
      <c r="J635" s="2">
        <v>243</v>
      </c>
      <c r="K635" s="2">
        <v>2826321</v>
      </c>
      <c r="L635" s="2">
        <v>596565</v>
      </c>
      <c r="M635" s="2">
        <v>2229756</v>
      </c>
    </row>
    <row r="636" spans="1:13">
      <c r="A636" s="2" t="s">
        <v>711</v>
      </c>
      <c r="B636" s="2" t="s">
        <v>5</v>
      </c>
      <c r="C636" s="2" t="s">
        <v>59</v>
      </c>
      <c r="D636" s="2" t="s">
        <v>58</v>
      </c>
      <c r="E636" s="3">
        <v>45561</v>
      </c>
      <c r="F636" s="2" t="str">
        <f t="shared" si="9"/>
        <v>Sep</v>
      </c>
      <c r="G636" s="2">
        <v>320</v>
      </c>
      <c r="H636" s="2" t="s">
        <v>30</v>
      </c>
      <c r="I636" s="2">
        <v>500</v>
      </c>
      <c r="J636" s="2">
        <v>463</v>
      </c>
      <c r="K636" s="2">
        <v>6881414</v>
      </c>
      <c r="L636" s="2">
        <v>1435300</v>
      </c>
      <c r="M636" s="2">
        <v>5446114</v>
      </c>
    </row>
    <row r="637" spans="1:13">
      <c r="A637" s="2" t="s">
        <v>712</v>
      </c>
      <c r="B637" s="2" t="s">
        <v>36</v>
      </c>
      <c r="C637" s="2" t="s">
        <v>58</v>
      </c>
      <c r="D637" s="2" t="s">
        <v>59</v>
      </c>
      <c r="E637" s="3">
        <v>45562</v>
      </c>
      <c r="F637" s="2" t="str">
        <f t="shared" si="9"/>
        <v>Sep</v>
      </c>
      <c r="G637" s="2">
        <v>122</v>
      </c>
      <c r="H637" s="2" t="s">
        <v>31</v>
      </c>
      <c r="I637" s="2">
        <v>72</v>
      </c>
      <c r="J637" s="2">
        <v>45</v>
      </c>
      <c r="K637" s="2">
        <v>439026</v>
      </c>
      <c r="L637" s="2">
        <v>94950</v>
      </c>
      <c r="M637" s="2">
        <v>344076</v>
      </c>
    </row>
    <row r="638" spans="1:13">
      <c r="A638" s="2" t="s">
        <v>713</v>
      </c>
      <c r="B638" s="2" t="s">
        <v>38</v>
      </c>
      <c r="C638" s="2" t="s">
        <v>59</v>
      </c>
      <c r="D638" s="2" t="s">
        <v>60</v>
      </c>
      <c r="E638" s="3">
        <v>45563</v>
      </c>
      <c r="F638" s="2" t="str">
        <f t="shared" si="9"/>
        <v>Sep</v>
      </c>
      <c r="G638" s="2">
        <v>152</v>
      </c>
      <c r="H638" s="2" t="s">
        <v>28</v>
      </c>
      <c r="I638" s="2">
        <v>180</v>
      </c>
      <c r="J638" s="2">
        <v>109</v>
      </c>
      <c r="K638" s="2">
        <v>1240940</v>
      </c>
      <c r="L638" s="2">
        <v>246340</v>
      </c>
      <c r="M638" s="2">
        <v>994600</v>
      </c>
    </row>
    <row r="639" spans="1:13">
      <c r="A639" s="2" t="s">
        <v>714</v>
      </c>
      <c r="B639" s="2" t="s">
        <v>44</v>
      </c>
      <c r="C639" s="2" t="s">
        <v>60</v>
      </c>
      <c r="D639" s="2" t="s">
        <v>59</v>
      </c>
      <c r="E639" s="3">
        <v>45564</v>
      </c>
      <c r="F639" s="2" t="str">
        <f t="shared" si="9"/>
        <v>Sep</v>
      </c>
      <c r="G639" s="2">
        <v>210</v>
      </c>
      <c r="H639" s="2" t="s">
        <v>32</v>
      </c>
      <c r="I639" s="2">
        <v>190</v>
      </c>
      <c r="J639" s="2">
        <v>124</v>
      </c>
      <c r="K639" s="2">
        <v>1724190</v>
      </c>
      <c r="L639" s="2">
        <v>316200</v>
      </c>
      <c r="M639" s="2">
        <v>1407990</v>
      </c>
    </row>
    <row r="640" spans="1:13">
      <c r="A640" s="2" t="s">
        <v>715</v>
      </c>
      <c r="B640" s="2" t="s">
        <v>48</v>
      </c>
      <c r="C640" s="2" t="s">
        <v>61</v>
      </c>
      <c r="D640" s="2" t="s">
        <v>63</v>
      </c>
      <c r="E640" s="3">
        <v>45565</v>
      </c>
      <c r="F640" s="2" t="str">
        <f t="shared" si="9"/>
        <v>Sep</v>
      </c>
      <c r="G640" s="2">
        <v>345</v>
      </c>
      <c r="H640" s="2" t="s">
        <v>29</v>
      </c>
      <c r="I640" s="2">
        <v>200</v>
      </c>
      <c r="J640" s="2">
        <v>134</v>
      </c>
      <c r="K640" s="2">
        <v>3267406</v>
      </c>
      <c r="L640" s="2">
        <v>432150</v>
      </c>
      <c r="M640" s="2">
        <v>2835256</v>
      </c>
    </row>
    <row r="641" spans="1:13">
      <c r="A641" s="2" t="s">
        <v>716</v>
      </c>
      <c r="B641" s="2" t="s">
        <v>10</v>
      </c>
      <c r="C641" s="2" t="s">
        <v>63</v>
      </c>
      <c r="D641" s="2" t="s">
        <v>61</v>
      </c>
      <c r="E641" s="3">
        <v>45566</v>
      </c>
      <c r="F641" s="2" t="str">
        <f t="shared" si="9"/>
        <v>Oct</v>
      </c>
      <c r="G641" s="2">
        <v>357</v>
      </c>
      <c r="H641" s="2" t="s">
        <v>33</v>
      </c>
      <c r="I641" s="2">
        <v>260</v>
      </c>
      <c r="J641" s="2">
        <v>161</v>
      </c>
      <c r="K641" s="2">
        <v>5563882</v>
      </c>
      <c r="L641" s="2">
        <v>528885</v>
      </c>
      <c r="M641" s="2">
        <v>5034997</v>
      </c>
    </row>
    <row r="642" spans="1:13">
      <c r="A642" s="2" t="s">
        <v>717</v>
      </c>
      <c r="B642" s="2" t="s">
        <v>2</v>
      </c>
      <c r="C642" s="2" t="s">
        <v>58</v>
      </c>
      <c r="D642" s="2" t="s">
        <v>60</v>
      </c>
      <c r="E642" s="3">
        <v>45567</v>
      </c>
      <c r="F642" s="2" t="str">
        <f t="shared" si="9"/>
        <v>Oct</v>
      </c>
      <c r="G642" s="2">
        <v>262</v>
      </c>
      <c r="H642" s="2" t="s">
        <v>30</v>
      </c>
      <c r="I642" s="2">
        <v>500</v>
      </c>
      <c r="J642" s="2">
        <v>329</v>
      </c>
      <c r="K642" s="2">
        <v>4794212</v>
      </c>
      <c r="L642" s="2">
        <v>924490</v>
      </c>
      <c r="M642" s="2">
        <v>3869722</v>
      </c>
    </row>
    <row r="643" spans="1:13">
      <c r="A643" s="2" t="s">
        <v>718</v>
      </c>
      <c r="B643" s="2" t="s">
        <v>43</v>
      </c>
      <c r="C643" s="2" t="s">
        <v>60</v>
      </c>
      <c r="D643" s="2" t="s">
        <v>58</v>
      </c>
      <c r="E643" s="3">
        <v>45568</v>
      </c>
      <c r="F643" s="2" t="str">
        <f t="shared" ref="F643:F706" si="10">TEXT(E643,"mmm")</f>
        <v>Oct</v>
      </c>
      <c r="G643" s="2">
        <v>57</v>
      </c>
      <c r="H643" s="2" t="s">
        <v>31</v>
      </c>
      <c r="I643" s="2">
        <v>72</v>
      </c>
      <c r="J643" s="2">
        <v>50</v>
      </c>
      <c r="K643" s="2">
        <v>183581</v>
      </c>
      <c r="L643" s="2">
        <v>89250</v>
      </c>
      <c r="M643" s="2">
        <v>94331</v>
      </c>
    </row>
    <row r="644" spans="1:13">
      <c r="A644" s="2" t="s">
        <v>719</v>
      </c>
      <c r="B644" s="2" t="s">
        <v>40</v>
      </c>
      <c r="C644" s="2" t="s">
        <v>59</v>
      </c>
      <c r="D644" s="2" t="s">
        <v>62</v>
      </c>
      <c r="E644" s="3">
        <v>45569</v>
      </c>
      <c r="F644" s="2" t="str">
        <f t="shared" si="10"/>
        <v>Oct</v>
      </c>
      <c r="G644" s="2">
        <v>139</v>
      </c>
      <c r="H644" s="2" t="s">
        <v>28</v>
      </c>
      <c r="I644" s="2">
        <v>180</v>
      </c>
      <c r="J644" s="2">
        <v>151</v>
      </c>
      <c r="K644" s="2">
        <v>1138254</v>
      </c>
      <c r="L644" s="2">
        <v>662890</v>
      </c>
      <c r="M644" s="2">
        <v>475364</v>
      </c>
    </row>
    <row r="645" spans="1:13">
      <c r="A645" s="2" t="s">
        <v>720</v>
      </c>
      <c r="B645" s="2" t="s">
        <v>51</v>
      </c>
      <c r="C645" s="2" t="s">
        <v>62</v>
      </c>
      <c r="D645" s="2" t="s">
        <v>59</v>
      </c>
      <c r="E645" s="3">
        <v>45570</v>
      </c>
      <c r="F645" s="2" t="str">
        <f t="shared" si="10"/>
        <v>Oct</v>
      </c>
      <c r="G645" s="2">
        <v>319</v>
      </c>
      <c r="H645" s="2" t="s">
        <v>32</v>
      </c>
      <c r="I645" s="2">
        <v>190</v>
      </c>
      <c r="J645" s="2">
        <v>180</v>
      </c>
      <c r="K645" s="2">
        <v>3051281</v>
      </c>
      <c r="L645" s="2">
        <v>1114200</v>
      </c>
      <c r="M645" s="2">
        <v>1937081</v>
      </c>
    </row>
    <row r="646" spans="1:13">
      <c r="A646" s="2" t="s">
        <v>721</v>
      </c>
      <c r="B646" s="2" t="s">
        <v>47</v>
      </c>
      <c r="C646" s="2" t="s">
        <v>61</v>
      </c>
      <c r="D646" s="2" t="s">
        <v>62</v>
      </c>
      <c r="E646" s="3">
        <v>45571</v>
      </c>
      <c r="F646" s="2" t="str">
        <f t="shared" si="10"/>
        <v>Oct</v>
      </c>
      <c r="G646" s="2">
        <v>387</v>
      </c>
      <c r="H646" s="2" t="s">
        <v>29</v>
      </c>
      <c r="I646" s="2">
        <v>200</v>
      </c>
      <c r="J646" s="2">
        <v>132</v>
      </c>
      <c r="K646" s="2">
        <v>3791003</v>
      </c>
      <c r="L646" s="2">
        <v>453420</v>
      </c>
      <c r="M646" s="2">
        <v>3337583</v>
      </c>
    </row>
    <row r="647" spans="1:13">
      <c r="A647" s="2" t="s">
        <v>722</v>
      </c>
      <c r="B647" s="2" t="s">
        <v>8</v>
      </c>
      <c r="C647" s="2" t="s">
        <v>62</v>
      </c>
      <c r="D647" s="2" t="s">
        <v>61</v>
      </c>
      <c r="E647" s="3">
        <v>45572</v>
      </c>
      <c r="F647" s="2" t="str">
        <f t="shared" si="10"/>
        <v>Oct</v>
      </c>
      <c r="G647" s="2">
        <v>410</v>
      </c>
      <c r="H647" s="2" t="s">
        <v>33</v>
      </c>
      <c r="I647" s="2">
        <v>260</v>
      </c>
      <c r="J647" s="2">
        <v>221</v>
      </c>
      <c r="K647" s="2">
        <v>6509275</v>
      </c>
      <c r="L647" s="2">
        <v>784550</v>
      </c>
      <c r="M647" s="2">
        <v>5724725</v>
      </c>
    </row>
    <row r="648" spans="1:13">
      <c r="A648" s="2" t="s">
        <v>723</v>
      </c>
      <c r="B648" s="2" t="s">
        <v>4</v>
      </c>
      <c r="C648" s="2" t="s">
        <v>58</v>
      </c>
      <c r="D648" s="2" t="s">
        <v>66</v>
      </c>
      <c r="E648" s="3">
        <v>45573</v>
      </c>
      <c r="F648" s="2" t="str">
        <f t="shared" si="10"/>
        <v>Oct</v>
      </c>
      <c r="G648" s="2">
        <v>370</v>
      </c>
      <c r="H648" s="2" t="s">
        <v>30</v>
      </c>
      <c r="I648" s="2">
        <v>500</v>
      </c>
      <c r="J648" s="2">
        <v>378</v>
      </c>
      <c r="K648" s="2">
        <v>6948041</v>
      </c>
      <c r="L648" s="2">
        <v>2532600</v>
      </c>
      <c r="M648" s="2">
        <v>4415441</v>
      </c>
    </row>
    <row r="649" spans="1:13">
      <c r="A649" s="2" t="s">
        <v>724</v>
      </c>
      <c r="B649" s="2" t="s">
        <v>54</v>
      </c>
      <c r="C649" s="2" t="s">
        <v>66</v>
      </c>
      <c r="D649" s="2" t="s">
        <v>58</v>
      </c>
      <c r="E649" s="3">
        <v>45574</v>
      </c>
      <c r="F649" s="2" t="str">
        <f t="shared" si="10"/>
        <v>Oct</v>
      </c>
      <c r="G649" s="2">
        <v>36</v>
      </c>
      <c r="H649" s="2" t="s">
        <v>31</v>
      </c>
      <c r="I649" s="2">
        <v>72</v>
      </c>
      <c r="J649" s="2">
        <v>56</v>
      </c>
      <c r="K649" s="2">
        <v>125537</v>
      </c>
      <c r="L649" s="2">
        <v>188160</v>
      </c>
      <c r="M649" s="2">
        <v>-62623</v>
      </c>
    </row>
    <row r="650" spans="1:13">
      <c r="A650" s="2" t="s">
        <v>725</v>
      </c>
      <c r="B650" s="2" t="s">
        <v>42</v>
      </c>
      <c r="C650" s="2" t="s">
        <v>59</v>
      </c>
      <c r="D650" s="2" t="s">
        <v>66</v>
      </c>
      <c r="E650" s="3">
        <v>45575</v>
      </c>
      <c r="F650" s="2" t="str">
        <f t="shared" si="10"/>
        <v>Oct</v>
      </c>
      <c r="G650" s="2">
        <v>258</v>
      </c>
      <c r="H650" s="2" t="s">
        <v>28</v>
      </c>
      <c r="I650" s="2">
        <v>180</v>
      </c>
      <c r="J650" s="2">
        <v>154</v>
      </c>
      <c r="K650" s="2">
        <v>2175169</v>
      </c>
      <c r="L650" s="2">
        <v>859320</v>
      </c>
      <c r="M650" s="2">
        <v>1315849</v>
      </c>
    </row>
    <row r="651" spans="1:13">
      <c r="A651" s="2" t="s">
        <v>726</v>
      </c>
      <c r="B651" s="2" t="s">
        <v>55</v>
      </c>
      <c r="C651" s="2" t="s">
        <v>66</v>
      </c>
      <c r="D651" s="2" t="s">
        <v>59</v>
      </c>
      <c r="E651" s="3">
        <v>45576</v>
      </c>
      <c r="F651" s="2" t="str">
        <f t="shared" si="10"/>
        <v>Oct</v>
      </c>
      <c r="G651" s="2">
        <v>242</v>
      </c>
      <c r="H651" s="2" t="s">
        <v>32</v>
      </c>
      <c r="I651" s="2">
        <v>190</v>
      </c>
      <c r="J651" s="2">
        <v>141</v>
      </c>
      <c r="K651" s="2">
        <v>2169873</v>
      </c>
      <c r="L651" s="2">
        <v>764220</v>
      </c>
      <c r="M651" s="2">
        <v>1405653</v>
      </c>
    </row>
    <row r="652" spans="1:13">
      <c r="A652" s="2" t="s">
        <v>727</v>
      </c>
      <c r="B652" s="2" t="s">
        <v>50</v>
      </c>
      <c r="C652" s="2" t="s">
        <v>61</v>
      </c>
      <c r="D652" s="2" t="s">
        <v>65</v>
      </c>
      <c r="E652" s="3">
        <v>45577</v>
      </c>
      <c r="F652" s="2" t="str">
        <f t="shared" si="10"/>
        <v>Oct</v>
      </c>
      <c r="G652" s="2">
        <v>325</v>
      </c>
      <c r="H652" s="2" t="s">
        <v>29</v>
      </c>
      <c r="I652" s="2">
        <v>200</v>
      </c>
      <c r="J652" s="2">
        <v>175</v>
      </c>
      <c r="K652" s="2">
        <v>3138226</v>
      </c>
      <c r="L652" s="2">
        <v>1093750</v>
      </c>
      <c r="M652" s="2">
        <v>2044476</v>
      </c>
    </row>
    <row r="653" spans="1:13">
      <c r="A653" s="2" t="s">
        <v>728</v>
      </c>
      <c r="B653" s="2" t="s">
        <v>11</v>
      </c>
      <c r="C653" s="2" t="s">
        <v>65</v>
      </c>
      <c r="D653" s="2" t="s">
        <v>61</v>
      </c>
      <c r="E653" s="3">
        <v>45578</v>
      </c>
      <c r="F653" s="2" t="str">
        <f t="shared" si="10"/>
        <v>Oct</v>
      </c>
      <c r="G653" s="2">
        <v>493</v>
      </c>
      <c r="H653" s="2" t="s">
        <v>33</v>
      </c>
      <c r="I653" s="2">
        <v>260</v>
      </c>
      <c r="J653" s="2">
        <v>173</v>
      </c>
      <c r="K653" s="2">
        <v>7570924</v>
      </c>
      <c r="L653" s="2">
        <v>1371890</v>
      </c>
      <c r="M653" s="2">
        <v>6199034</v>
      </c>
    </row>
    <row r="654" spans="1:13">
      <c r="A654" s="2" t="s">
        <v>729</v>
      </c>
      <c r="B654" s="2" t="s">
        <v>6</v>
      </c>
      <c r="C654" s="2" t="s">
        <v>59</v>
      </c>
      <c r="D654" s="2" t="s">
        <v>65</v>
      </c>
      <c r="E654" s="3">
        <v>45579</v>
      </c>
      <c r="F654" s="2" t="str">
        <f t="shared" si="10"/>
        <v>Oct</v>
      </c>
      <c r="G654" s="2">
        <v>192</v>
      </c>
      <c r="H654" s="2" t="s">
        <v>30</v>
      </c>
      <c r="I654" s="2">
        <v>500</v>
      </c>
      <c r="J654" s="2">
        <v>302</v>
      </c>
      <c r="K654" s="2">
        <v>3641242</v>
      </c>
      <c r="L654" s="2">
        <v>1485840</v>
      </c>
      <c r="M654" s="2">
        <v>2155402</v>
      </c>
    </row>
    <row r="655" spans="1:13">
      <c r="A655" s="2" t="s">
        <v>730</v>
      </c>
      <c r="B655" s="2" t="s">
        <v>53</v>
      </c>
      <c r="C655" s="2" t="s">
        <v>65</v>
      </c>
      <c r="D655" s="2" t="s">
        <v>59</v>
      </c>
      <c r="E655" s="3">
        <v>45580</v>
      </c>
      <c r="F655" s="2" t="str">
        <f t="shared" si="10"/>
        <v>Oct</v>
      </c>
      <c r="G655" s="2">
        <v>114</v>
      </c>
      <c r="H655" s="2" t="s">
        <v>31</v>
      </c>
      <c r="I655" s="2">
        <v>72</v>
      </c>
      <c r="J655" s="2">
        <v>48</v>
      </c>
      <c r="K655" s="2">
        <v>364256</v>
      </c>
      <c r="L655" s="2">
        <v>198720</v>
      </c>
      <c r="M655" s="2">
        <v>165536</v>
      </c>
    </row>
    <row r="656" spans="1:13">
      <c r="A656" s="2" t="s">
        <v>731</v>
      </c>
      <c r="B656" s="2" t="s">
        <v>49</v>
      </c>
      <c r="C656" s="2" t="s">
        <v>61</v>
      </c>
      <c r="D656" s="2" t="s">
        <v>64</v>
      </c>
      <c r="E656" s="3">
        <v>45581</v>
      </c>
      <c r="F656" s="2" t="str">
        <f t="shared" si="10"/>
        <v>Oct</v>
      </c>
      <c r="G656" s="2">
        <v>219</v>
      </c>
      <c r="H656" s="2" t="s">
        <v>28</v>
      </c>
      <c r="I656" s="2">
        <v>180</v>
      </c>
      <c r="J656" s="2">
        <v>138</v>
      </c>
      <c r="K656" s="2">
        <v>1615251</v>
      </c>
      <c r="L656" s="2">
        <v>716220</v>
      </c>
      <c r="M656" s="2">
        <v>899031</v>
      </c>
    </row>
    <row r="657" spans="1:13">
      <c r="A657" s="2" t="s">
        <v>732</v>
      </c>
      <c r="B657" s="2" t="s">
        <v>52</v>
      </c>
      <c r="C657" s="2" t="s">
        <v>64</v>
      </c>
      <c r="D657" s="2" t="s">
        <v>61</v>
      </c>
      <c r="E657" s="3">
        <v>45582</v>
      </c>
      <c r="F657" s="2" t="str">
        <f t="shared" si="10"/>
        <v>Oct</v>
      </c>
      <c r="G657" s="2">
        <v>247</v>
      </c>
      <c r="H657" s="2" t="s">
        <v>32</v>
      </c>
      <c r="I657" s="2">
        <v>190</v>
      </c>
      <c r="J657" s="2">
        <v>156</v>
      </c>
      <c r="K657" s="2">
        <v>2222703</v>
      </c>
      <c r="L657" s="2">
        <v>853320</v>
      </c>
      <c r="M657" s="2">
        <v>1369383</v>
      </c>
    </row>
    <row r="658" spans="1:13">
      <c r="A658" s="2" t="s">
        <v>733</v>
      </c>
      <c r="B658" s="2" t="s">
        <v>37</v>
      </c>
      <c r="C658" s="2" t="s">
        <v>58</v>
      </c>
      <c r="D658" s="2" t="s">
        <v>62</v>
      </c>
      <c r="E658" s="3">
        <v>45583</v>
      </c>
      <c r="F658" s="2" t="str">
        <f t="shared" si="10"/>
        <v>Oct</v>
      </c>
      <c r="G658" s="2">
        <v>335</v>
      </c>
      <c r="H658" s="2" t="s">
        <v>29</v>
      </c>
      <c r="I658" s="2">
        <v>200</v>
      </c>
      <c r="J658" s="2">
        <v>126</v>
      </c>
      <c r="K658" s="2">
        <v>3175015</v>
      </c>
      <c r="L658" s="2">
        <v>800100</v>
      </c>
      <c r="M658" s="2">
        <v>2374915</v>
      </c>
    </row>
    <row r="659" spans="1:13">
      <c r="A659" s="2" t="s">
        <v>734</v>
      </c>
      <c r="B659" s="2" t="s">
        <v>7</v>
      </c>
      <c r="C659" s="2" t="s">
        <v>62</v>
      </c>
      <c r="D659" s="2" t="s">
        <v>58</v>
      </c>
      <c r="E659" s="3">
        <v>45584</v>
      </c>
      <c r="F659" s="2" t="str">
        <f t="shared" si="10"/>
        <v>Oct</v>
      </c>
      <c r="G659" s="2">
        <v>375</v>
      </c>
      <c r="H659" s="2" t="s">
        <v>33</v>
      </c>
      <c r="I659" s="2">
        <v>260</v>
      </c>
      <c r="J659" s="2">
        <v>234</v>
      </c>
      <c r="K659" s="2">
        <v>5336412</v>
      </c>
      <c r="L659" s="2">
        <v>1579500</v>
      </c>
      <c r="M659" s="2">
        <v>3756912</v>
      </c>
    </row>
    <row r="660" spans="1:13">
      <c r="A660" s="2" t="s">
        <v>735</v>
      </c>
      <c r="B660" s="2" t="s">
        <v>9</v>
      </c>
      <c r="C660" s="2" t="s">
        <v>63</v>
      </c>
      <c r="D660" s="2" t="s">
        <v>59</v>
      </c>
      <c r="E660" s="3">
        <v>45585</v>
      </c>
      <c r="F660" s="2" t="str">
        <f t="shared" si="10"/>
        <v>Oct</v>
      </c>
      <c r="G660" s="2">
        <v>261</v>
      </c>
      <c r="H660" s="2" t="s">
        <v>30</v>
      </c>
      <c r="I660" s="2">
        <v>500</v>
      </c>
      <c r="J660" s="2">
        <v>383</v>
      </c>
      <c r="K660" s="2">
        <v>5090427</v>
      </c>
      <c r="L660" s="2">
        <v>1074315</v>
      </c>
      <c r="M660" s="2">
        <v>4016112</v>
      </c>
    </row>
    <row r="661" spans="1:13">
      <c r="A661" s="2" t="s">
        <v>736</v>
      </c>
      <c r="B661" s="2" t="s">
        <v>41</v>
      </c>
      <c r="C661" s="2" t="s">
        <v>59</v>
      </c>
      <c r="D661" s="2" t="s">
        <v>63</v>
      </c>
      <c r="E661" s="3">
        <v>45586</v>
      </c>
      <c r="F661" s="2" t="str">
        <f t="shared" si="10"/>
        <v>Oct</v>
      </c>
      <c r="G661" s="2">
        <v>81</v>
      </c>
      <c r="H661" s="2" t="s">
        <v>31</v>
      </c>
      <c r="I661" s="2">
        <v>72</v>
      </c>
      <c r="J661" s="2">
        <v>64</v>
      </c>
      <c r="K661" s="2">
        <v>277398</v>
      </c>
      <c r="L661" s="2">
        <v>121920</v>
      </c>
      <c r="M661" s="2">
        <v>155478</v>
      </c>
    </row>
    <row r="662" spans="1:13">
      <c r="A662" s="2" t="s">
        <v>737</v>
      </c>
      <c r="B662" s="2" t="s">
        <v>39</v>
      </c>
      <c r="C662" s="2" t="s">
        <v>59</v>
      </c>
      <c r="D662" s="2" t="s">
        <v>61</v>
      </c>
      <c r="E662" s="3">
        <v>45587</v>
      </c>
      <c r="F662" s="2" t="str">
        <f t="shared" si="10"/>
        <v>Oct</v>
      </c>
      <c r="G662" s="2">
        <v>101</v>
      </c>
      <c r="H662" s="2" t="s">
        <v>28</v>
      </c>
      <c r="I662" s="2">
        <v>180</v>
      </c>
      <c r="J662" s="2">
        <v>164</v>
      </c>
      <c r="K662" s="2">
        <v>881582</v>
      </c>
      <c r="L662" s="2">
        <v>328820</v>
      </c>
      <c r="M662" s="2">
        <v>552762</v>
      </c>
    </row>
    <row r="663" spans="1:13">
      <c r="A663" s="2" t="s">
        <v>738</v>
      </c>
      <c r="B663" s="2" t="s">
        <v>46</v>
      </c>
      <c r="C663" s="2" t="s">
        <v>61</v>
      </c>
      <c r="D663" s="2" t="s">
        <v>59</v>
      </c>
      <c r="E663" s="3">
        <v>45588</v>
      </c>
      <c r="F663" s="2" t="str">
        <f t="shared" si="10"/>
        <v>Oct</v>
      </c>
      <c r="G663" s="2">
        <v>76</v>
      </c>
      <c r="H663" s="2" t="s">
        <v>32</v>
      </c>
      <c r="I663" s="2">
        <v>190</v>
      </c>
      <c r="J663" s="2">
        <v>157</v>
      </c>
      <c r="K663" s="2">
        <v>744579</v>
      </c>
      <c r="L663" s="2">
        <v>295160</v>
      </c>
      <c r="M663" s="2">
        <v>449419</v>
      </c>
    </row>
    <row r="664" spans="1:13">
      <c r="A664" s="2" t="s">
        <v>739</v>
      </c>
      <c r="B664" s="2" t="s">
        <v>45</v>
      </c>
      <c r="C664" s="2" t="s">
        <v>61</v>
      </c>
      <c r="D664" s="2" t="s">
        <v>58</v>
      </c>
      <c r="E664" s="3">
        <v>45589</v>
      </c>
      <c r="F664" s="2" t="str">
        <f t="shared" si="10"/>
        <v>Oct</v>
      </c>
      <c r="G664" s="2">
        <v>209</v>
      </c>
      <c r="H664" s="2" t="s">
        <v>29</v>
      </c>
      <c r="I664" s="2">
        <v>200</v>
      </c>
      <c r="J664" s="2">
        <v>150</v>
      </c>
      <c r="K664" s="2">
        <v>1888079</v>
      </c>
      <c r="L664" s="2">
        <v>381750</v>
      </c>
      <c r="M664" s="2">
        <v>1506329</v>
      </c>
    </row>
    <row r="665" spans="1:13">
      <c r="A665" s="2" t="s">
        <v>740</v>
      </c>
      <c r="B665" s="2" t="s">
        <v>3</v>
      </c>
      <c r="C665" s="2" t="s">
        <v>58</v>
      </c>
      <c r="D665" s="2" t="s">
        <v>61</v>
      </c>
      <c r="E665" s="3">
        <v>45590</v>
      </c>
      <c r="F665" s="2" t="str">
        <f t="shared" si="10"/>
        <v>Oct</v>
      </c>
      <c r="G665" s="2">
        <v>189</v>
      </c>
      <c r="H665" s="2" t="s">
        <v>33</v>
      </c>
      <c r="I665" s="2">
        <v>260</v>
      </c>
      <c r="J665" s="2">
        <v>240</v>
      </c>
      <c r="K665" s="2">
        <v>2694984</v>
      </c>
      <c r="L665" s="2">
        <v>586800</v>
      </c>
      <c r="M665" s="2">
        <v>2108184</v>
      </c>
    </row>
    <row r="666" spans="1:13">
      <c r="A666" s="2" t="s">
        <v>741</v>
      </c>
      <c r="B666" s="2" t="s">
        <v>5</v>
      </c>
      <c r="C666" s="2" t="s">
        <v>59</v>
      </c>
      <c r="D666" s="2" t="s">
        <v>58</v>
      </c>
      <c r="E666" s="3">
        <v>45591</v>
      </c>
      <c r="F666" s="2" t="str">
        <f t="shared" si="10"/>
        <v>Oct</v>
      </c>
      <c r="G666" s="2">
        <v>411</v>
      </c>
      <c r="H666" s="2" t="s">
        <v>30</v>
      </c>
      <c r="I666" s="2">
        <v>500</v>
      </c>
      <c r="J666" s="2">
        <v>380</v>
      </c>
      <c r="K666" s="2">
        <v>8445559</v>
      </c>
      <c r="L666" s="2">
        <v>1350900</v>
      </c>
      <c r="M666" s="2">
        <v>7094659</v>
      </c>
    </row>
    <row r="667" spans="1:13">
      <c r="A667" s="2" t="s">
        <v>742</v>
      </c>
      <c r="B667" s="2" t="s">
        <v>36</v>
      </c>
      <c r="C667" s="2" t="s">
        <v>58</v>
      </c>
      <c r="D667" s="2" t="s">
        <v>59</v>
      </c>
      <c r="E667" s="3">
        <v>45592</v>
      </c>
      <c r="F667" s="2" t="str">
        <f t="shared" si="10"/>
        <v>Oct</v>
      </c>
      <c r="G667" s="2">
        <v>63</v>
      </c>
      <c r="H667" s="2" t="s">
        <v>31</v>
      </c>
      <c r="I667" s="2">
        <v>72</v>
      </c>
      <c r="J667" s="2">
        <v>52</v>
      </c>
      <c r="K667" s="2">
        <v>218300</v>
      </c>
      <c r="L667" s="2">
        <v>94380</v>
      </c>
      <c r="M667" s="2">
        <v>123920</v>
      </c>
    </row>
    <row r="668" spans="1:13">
      <c r="A668" s="2" t="s">
        <v>743</v>
      </c>
      <c r="B668" s="2" t="s">
        <v>38</v>
      </c>
      <c r="C668" s="2" t="s">
        <v>59</v>
      </c>
      <c r="D668" s="2" t="s">
        <v>60</v>
      </c>
      <c r="E668" s="3">
        <v>45593</v>
      </c>
      <c r="F668" s="2" t="str">
        <f t="shared" si="10"/>
        <v>Oct</v>
      </c>
      <c r="G668" s="2">
        <v>236</v>
      </c>
      <c r="H668" s="2" t="s">
        <v>28</v>
      </c>
      <c r="I668" s="2">
        <v>180</v>
      </c>
      <c r="J668" s="2">
        <v>146</v>
      </c>
      <c r="K668" s="2">
        <v>1724367</v>
      </c>
      <c r="L668" s="2">
        <v>391280</v>
      </c>
      <c r="M668" s="2">
        <v>1333087</v>
      </c>
    </row>
    <row r="669" spans="1:13">
      <c r="A669" s="2" t="s">
        <v>744</v>
      </c>
      <c r="B669" s="2" t="s">
        <v>44</v>
      </c>
      <c r="C669" s="2" t="s">
        <v>60</v>
      </c>
      <c r="D669" s="2" t="s">
        <v>59</v>
      </c>
      <c r="E669" s="3">
        <v>45594</v>
      </c>
      <c r="F669" s="2" t="str">
        <f t="shared" si="10"/>
        <v>Oct</v>
      </c>
      <c r="G669" s="2">
        <v>232</v>
      </c>
      <c r="H669" s="2" t="s">
        <v>32</v>
      </c>
      <c r="I669" s="2">
        <v>190</v>
      </c>
      <c r="J669" s="2">
        <v>123</v>
      </c>
      <c r="K669" s="2">
        <v>2187152</v>
      </c>
      <c r="L669" s="2">
        <v>327180</v>
      </c>
      <c r="M669" s="2">
        <v>1859972</v>
      </c>
    </row>
    <row r="670" spans="1:13">
      <c r="A670" s="2" t="s">
        <v>745</v>
      </c>
      <c r="B670" s="2" t="s">
        <v>48</v>
      </c>
      <c r="C670" s="2" t="s">
        <v>61</v>
      </c>
      <c r="D670" s="2" t="s">
        <v>63</v>
      </c>
      <c r="E670" s="3">
        <v>45595</v>
      </c>
      <c r="F670" s="2" t="str">
        <f t="shared" si="10"/>
        <v>Oct</v>
      </c>
      <c r="G670" s="2">
        <v>166</v>
      </c>
      <c r="H670" s="2" t="s">
        <v>29</v>
      </c>
      <c r="I670" s="2">
        <v>200</v>
      </c>
      <c r="J670" s="2">
        <v>167</v>
      </c>
      <c r="K670" s="2">
        <v>1432443</v>
      </c>
      <c r="L670" s="2">
        <v>389110</v>
      </c>
      <c r="M670" s="2">
        <v>1043333</v>
      </c>
    </row>
    <row r="671" spans="1:13">
      <c r="A671" s="2" t="s">
        <v>746</v>
      </c>
      <c r="B671" s="2" t="s">
        <v>10</v>
      </c>
      <c r="C671" s="2" t="s">
        <v>63</v>
      </c>
      <c r="D671" s="2" t="s">
        <v>61</v>
      </c>
      <c r="E671" s="3">
        <v>45596</v>
      </c>
      <c r="F671" s="2" t="str">
        <f t="shared" si="10"/>
        <v>Oct</v>
      </c>
      <c r="G671" s="2">
        <v>266</v>
      </c>
      <c r="H671" s="2" t="s">
        <v>33</v>
      </c>
      <c r="I671" s="2">
        <v>260</v>
      </c>
      <c r="J671" s="2">
        <v>221</v>
      </c>
      <c r="K671" s="2">
        <v>3648523</v>
      </c>
      <c r="L671" s="2">
        <v>625430</v>
      </c>
      <c r="M671" s="2">
        <v>3023093</v>
      </c>
    </row>
    <row r="672" spans="1:13">
      <c r="A672" s="2" t="s">
        <v>747</v>
      </c>
      <c r="B672" s="2" t="s">
        <v>2</v>
      </c>
      <c r="C672" s="2" t="s">
        <v>58</v>
      </c>
      <c r="D672" s="2" t="s">
        <v>60</v>
      </c>
      <c r="E672" s="3">
        <v>45597</v>
      </c>
      <c r="F672" s="2" t="str">
        <f t="shared" si="10"/>
        <v>Nov</v>
      </c>
      <c r="G672" s="2">
        <v>331</v>
      </c>
      <c r="H672" s="2" t="s">
        <v>30</v>
      </c>
      <c r="I672" s="2">
        <v>500</v>
      </c>
      <c r="J672" s="2">
        <v>306</v>
      </c>
      <c r="K672" s="2">
        <v>6631358</v>
      </c>
      <c r="L672" s="2">
        <v>965430</v>
      </c>
      <c r="M672" s="2">
        <v>5665928</v>
      </c>
    </row>
    <row r="673" spans="1:13">
      <c r="A673" s="2" t="s">
        <v>748</v>
      </c>
      <c r="B673" s="2" t="s">
        <v>43</v>
      </c>
      <c r="C673" s="2" t="s">
        <v>60</v>
      </c>
      <c r="D673" s="2" t="s">
        <v>58</v>
      </c>
      <c r="E673" s="3">
        <v>45598</v>
      </c>
      <c r="F673" s="2" t="str">
        <f t="shared" si="10"/>
        <v>Nov</v>
      </c>
      <c r="G673" s="2">
        <v>133</v>
      </c>
      <c r="H673" s="2" t="s">
        <v>31</v>
      </c>
      <c r="I673" s="2">
        <v>72</v>
      </c>
      <c r="J673" s="2">
        <v>52</v>
      </c>
      <c r="K673" s="2">
        <v>446557</v>
      </c>
      <c r="L673" s="2">
        <v>112580</v>
      </c>
      <c r="M673" s="2">
        <v>333977</v>
      </c>
    </row>
    <row r="674" spans="1:13">
      <c r="A674" s="2" t="s">
        <v>749</v>
      </c>
      <c r="B674" s="2" t="s">
        <v>40</v>
      </c>
      <c r="C674" s="2" t="s">
        <v>59</v>
      </c>
      <c r="D674" s="2" t="s">
        <v>62</v>
      </c>
      <c r="E674" s="3">
        <v>45599</v>
      </c>
      <c r="F674" s="2" t="str">
        <f t="shared" si="10"/>
        <v>Nov</v>
      </c>
      <c r="G674" s="2">
        <v>198</v>
      </c>
      <c r="H674" s="2" t="s">
        <v>28</v>
      </c>
      <c r="I674" s="2">
        <v>180</v>
      </c>
      <c r="J674" s="2">
        <v>169</v>
      </c>
      <c r="K674" s="2">
        <v>1724125</v>
      </c>
      <c r="L674" s="2">
        <v>841620</v>
      </c>
      <c r="M674" s="2">
        <v>882505</v>
      </c>
    </row>
    <row r="675" spans="1:13">
      <c r="A675" s="2" t="s">
        <v>750</v>
      </c>
      <c r="B675" s="2" t="s">
        <v>51</v>
      </c>
      <c r="C675" s="2" t="s">
        <v>62</v>
      </c>
      <c r="D675" s="2" t="s">
        <v>59</v>
      </c>
      <c r="E675" s="3">
        <v>45600</v>
      </c>
      <c r="F675" s="2" t="str">
        <f t="shared" si="10"/>
        <v>Nov</v>
      </c>
      <c r="G675" s="2">
        <v>87</v>
      </c>
      <c r="H675" s="2" t="s">
        <v>32</v>
      </c>
      <c r="I675" s="2">
        <v>190</v>
      </c>
      <c r="J675" s="2">
        <v>137</v>
      </c>
      <c r="K675" s="2">
        <v>769239</v>
      </c>
      <c r="L675" s="2">
        <v>530190</v>
      </c>
      <c r="M675" s="2">
        <v>239049</v>
      </c>
    </row>
    <row r="676" spans="1:13">
      <c r="A676" s="2" t="s">
        <v>751</v>
      </c>
      <c r="B676" s="2" t="s">
        <v>47</v>
      </c>
      <c r="C676" s="2" t="s">
        <v>61</v>
      </c>
      <c r="D676" s="2" t="s">
        <v>62</v>
      </c>
      <c r="E676" s="3">
        <v>45601</v>
      </c>
      <c r="F676" s="2" t="str">
        <f t="shared" si="10"/>
        <v>Nov</v>
      </c>
      <c r="G676" s="2">
        <v>340</v>
      </c>
      <c r="H676" s="2" t="s">
        <v>29</v>
      </c>
      <c r="I676" s="2">
        <v>200</v>
      </c>
      <c r="J676" s="2">
        <v>166</v>
      </c>
      <c r="K676" s="2">
        <v>3400784</v>
      </c>
      <c r="L676" s="2">
        <v>531200</v>
      </c>
      <c r="M676" s="2">
        <v>2869584</v>
      </c>
    </row>
    <row r="677" spans="1:13">
      <c r="A677" s="2" t="s">
        <v>752</v>
      </c>
      <c r="B677" s="2" t="s">
        <v>8</v>
      </c>
      <c r="C677" s="2" t="s">
        <v>62</v>
      </c>
      <c r="D677" s="2" t="s">
        <v>61</v>
      </c>
      <c r="E677" s="3">
        <v>45602</v>
      </c>
      <c r="F677" s="2" t="str">
        <f t="shared" si="10"/>
        <v>Nov</v>
      </c>
      <c r="G677" s="2">
        <v>499</v>
      </c>
      <c r="H677" s="2" t="s">
        <v>33</v>
      </c>
      <c r="I677" s="2">
        <v>260</v>
      </c>
      <c r="J677" s="2">
        <v>194</v>
      </c>
      <c r="K677" s="2">
        <v>6860178</v>
      </c>
      <c r="L677" s="2">
        <v>775030</v>
      </c>
      <c r="M677" s="2">
        <v>6085148</v>
      </c>
    </row>
    <row r="678" spans="1:13">
      <c r="A678" s="2" t="s">
        <v>753</v>
      </c>
      <c r="B678" s="2" t="s">
        <v>4</v>
      </c>
      <c r="C678" s="2" t="s">
        <v>58</v>
      </c>
      <c r="D678" s="2" t="s">
        <v>66</v>
      </c>
      <c r="E678" s="3">
        <v>45603</v>
      </c>
      <c r="F678" s="2" t="str">
        <f t="shared" si="10"/>
        <v>Nov</v>
      </c>
      <c r="G678" s="2">
        <v>547</v>
      </c>
      <c r="H678" s="2" t="s">
        <v>30</v>
      </c>
      <c r="I678" s="2">
        <v>500</v>
      </c>
      <c r="J678" s="2">
        <v>469</v>
      </c>
      <c r="K678" s="2">
        <v>10492433</v>
      </c>
      <c r="L678" s="2">
        <v>3972430</v>
      </c>
      <c r="M678" s="2">
        <v>6520003</v>
      </c>
    </row>
    <row r="679" spans="1:13">
      <c r="A679" s="2" t="s">
        <v>754</v>
      </c>
      <c r="B679" s="2" t="s">
        <v>54</v>
      </c>
      <c r="C679" s="2" t="s">
        <v>66</v>
      </c>
      <c r="D679" s="2" t="s">
        <v>58</v>
      </c>
      <c r="E679" s="3">
        <v>45604</v>
      </c>
      <c r="F679" s="2" t="str">
        <f t="shared" si="10"/>
        <v>Nov</v>
      </c>
      <c r="G679" s="2">
        <v>133</v>
      </c>
      <c r="H679" s="2" t="s">
        <v>31</v>
      </c>
      <c r="I679" s="2">
        <v>72</v>
      </c>
      <c r="J679" s="2">
        <v>58</v>
      </c>
      <c r="K679" s="2">
        <v>454508</v>
      </c>
      <c r="L679" s="2">
        <v>251140</v>
      </c>
      <c r="M679" s="2">
        <v>203368</v>
      </c>
    </row>
    <row r="680" spans="1:13">
      <c r="A680" s="2" t="s">
        <v>755</v>
      </c>
      <c r="B680" s="2" t="s">
        <v>42</v>
      </c>
      <c r="C680" s="2" t="s">
        <v>59</v>
      </c>
      <c r="D680" s="2" t="s">
        <v>66</v>
      </c>
      <c r="E680" s="3">
        <v>45605</v>
      </c>
      <c r="F680" s="2" t="str">
        <f t="shared" si="10"/>
        <v>Nov</v>
      </c>
      <c r="G680" s="2">
        <v>237</v>
      </c>
      <c r="H680" s="2" t="s">
        <v>28</v>
      </c>
      <c r="I680" s="2">
        <v>180</v>
      </c>
      <c r="J680" s="2">
        <v>108</v>
      </c>
      <c r="K680" s="2">
        <v>1803252</v>
      </c>
      <c r="L680" s="2">
        <v>579960</v>
      </c>
      <c r="M680" s="2">
        <v>1223292</v>
      </c>
    </row>
    <row r="681" spans="1:13">
      <c r="A681" s="2" t="s">
        <v>756</v>
      </c>
      <c r="B681" s="2" t="s">
        <v>55</v>
      </c>
      <c r="C681" s="2" t="s">
        <v>66</v>
      </c>
      <c r="D681" s="2" t="s">
        <v>59</v>
      </c>
      <c r="E681" s="3">
        <v>45606</v>
      </c>
      <c r="F681" s="2" t="str">
        <f t="shared" si="10"/>
        <v>Nov</v>
      </c>
      <c r="G681" s="2">
        <v>137</v>
      </c>
      <c r="H681" s="2" t="s">
        <v>32</v>
      </c>
      <c r="I681" s="2">
        <v>190</v>
      </c>
      <c r="J681" s="2">
        <v>118</v>
      </c>
      <c r="K681" s="2">
        <v>1346393</v>
      </c>
      <c r="L681" s="2">
        <v>515660</v>
      </c>
      <c r="M681" s="2">
        <v>830733</v>
      </c>
    </row>
    <row r="682" spans="1:13">
      <c r="A682" s="2" t="s">
        <v>757</v>
      </c>
      <c r="B682" s="2" t="s">
        <v>50</v>
      </c>
      <c r="C682" s="2" t="s">
        <v>61</v>
      </c>
      <c r="D682" s="2" t="s">
        <v>65</v>
      </c>
      <c r="E682" s="3">
        <v>45607</v>
      </c>
      <c r="F682" s="2" t="str">
        <f t="shared" si="10"/>
        <v>Nov</v>
      </c>
      <c r="G682" s="2">
        <v>198</v>
      </c>
      <c r="H682" s="2" t="s">
        <v>29</v>
      </c>
      <c r="I682" s="2">
        <v>200</v>
      </c>
      <c r="J682" s="2">
        <v>122</v>
      </c>
      <c r="K682" s="2">
        <v>2057245</v>
      </c>
      <c r="L682" s="2">
        <v>607560</v>
      </c>
      <c r="M682" s="2">
        <v>1449685</v>
      </c>
    </row>
    <row r="683" spans="1:13">
      <c r="A683" s="2" t="s">
        <v>758</v>
      </c>
      <c r="B683" s="2" t="s">
        <v>11</v>
      </c>
      <c r="C683" s="2" t="s">
        <v>65</v>
      </c>
      <c r="D683" s="2" t="s">
        <v>61</v>
      </c>
      <c r="E683" s="3">
        <v>45608</v>
      </c>
      <c r="F683" s="2" t="str">
        <f t="shared" si="10"/>
        <v>Nov</v>
      </c>
      <c r="G683" s="2">
        <v>328</v>
      </c>
      <c r="H683" s="2" t="s">
        <v>33</v>
      </c>
      <c r="I683" s="2">
        <v>260</v>
      </c>
      <c r="J683" s="2">
        <v>167</v>
      </c>
      <c r="K683" s="2">
        <v>4894746</v>
      </c>
      <c r="L683" s="2">
        <v>1048760</v>
      </c>
      <c r="M683" s="2">
        <v>3845986</v>
      </c>
    </row>
    <row r="684" spans="1:13">
      <c r="A684" s="2" t="s">
        <v>759</v>
      </c>
      <c r="B684" s="2" t="s">
        <v>6</v>
      </c>
      <c r="C684" s="2" t="s">
        <v>59</v>
      </c>
      <c r="D684" s="2" t="s">
        <v>65</v>
      </c>
      <c r="E684" s="3">
        <v>45609</v>
      </c>
      <c r="F684" s="2" t="str">
        <f t="shared" si="10"/>
        <v>Nov</v>
      </c>
      <c r="G684" s="2">
        <v>437</v>
      </c>
      <c r="H684" s="2" t="s">
        <v>30</v>
      </c>
      <c r="I684" s="2">
        <v>500</v>
      </c>
      <c r="J684" s="2">
        <v>405</v>
      </c>
      <c r="K684" s="2">
        <v>8884074</v>
      </c>
      <c r="L684" s="2">
        <v>2984850</v>
      </c>
      <c r="M684" s="2">
        <v>5899224</v>
      </c>
    </row>
    <row r="685" spans="1:13">
      <c r="A685" s="2" t="s">
        <v>760</v>
      </c>
      <c r="B685" s="2" t="s">
        <v>53</v>
      </c>
      <c r="C685" s="2" t="s">
        <v>65</v>
      </c>
      <c r="D685" s="2" t="s">
        <v>59</v>
      </c>
      <c r="E685" s="3">
        <v>45610</v>
      </c>
      <c r="F685" s="2" t="str">
        <f t="shared" si="10"/>
        <v>Nov</v>
      </c>
      <c r="G685" s="2">
        <v>124</v>
      </c>
      <c r="H685" s="2" t="s">
        <v>31</v>
      </c>
      <c r="I685" s="2">
        <v>72</v>
      </c>
      <c r="J685" s="2">
        <v>56</v>
      </c>
      <c r="K685" s="2">
        <v>444112</v>
      </c>
      <c r="L685" s="2">
        <v>237440</v>
      </c>
      <c r="M685" s="2">
        <v>206672</v>
      </c>
    </row>
    <row r="686" spans="1:13">
      <c r="A686" s="2" t="s">
        <v>761</v>
      </c>
      <c r="B686" s="2" t="s">
        <v>49</v>
      </c>
      <c r="C686" s="2" t="s">
        <v>61</v>
      </c>
      <c r="D686" s="2" t="s">
        <v>64</v>
      </c>
      <c r="E686" s="3">
        <v>45611</v>
      </c>
      <c r="F686" s="2" t="str">
        <f t="shared" si="10"/>
        <v>Nov</v>
      </c>
      <c r="G686" s="2">
        <v>285</v>
      </c>
      <c r="H686" s="2" t="s">
        <v>28</v>
      </c>
      <c r="I686" s="2">
        <v>180</v>
      </c>
      <c r="J686" s="2">
        <v>116</v>
      </c>
      <c r="K686" s="2">
        <v>2206249</v>
      </c>
      <c r="L686" s="2">
        <v>678600</v>
      </c>
      <c r="M686" s="2">
        <v>1527649</v>
      </c>
    </row>
    <row r="687" spans="1:13">
      <c r="A687" s="2" t="s">
        <v>762</v>
      </c>
      <c r="B687" s="2" t="s">
        <v>52</v>
      </c>
      <c r="C687" s="2" t="s">
        <v>64</v>
      </c>
      <c r="D687" s="2" t="s">
        <v>61</v>
      </c>
      <c r="E687" s="3">
        <v>45612</v>
      </c>
      <c r="F687" s="2" t="str">
        <f t="shared" si="10"/>
        <v>Nov</v>
      </c>
      <c r="G687" s="2">
        <v>242</v>
      </c>
      <c r="H687" s="2" t="s">
        <v>32</v>
      </c>
      <c r="I687" s="2">
        <v>190</v>
      </c>
      <c r="J687" s="2">
        <v>120</v>
      </c>
      <c r="K687" s="2">
        <v>2123982</v>
      </c>
      <c r="L687" s="2">
        <v>650400</v>
      </c>
      <c r="M687" s="2">
        <v>1473582</v>
      </c>
    </row>
    <row r="688" spans="1:13">
      <c r="A688" s="2" t="s">
        <v>763</v>
      </c>
      <c r="B688" s="2" t="s">
        <v>37</v>
      </c>
      <c r="C688" s="2" t="s">
        <v>58</v>
      </c>
      <c r="D688" s="2" t="s">
        <v>62</v>
      </c>
      <c r="E688" s="3">
        <v>45613</v>
      </c>
      <c r="F688" s="2" t="str">
        <f t="shared" si="10"/>
        <v>Nov</v>
      </c>
      <c r="G688" s="2">
        <v>203</v>
      </c>
      <c r="H688" s="2" t="s">
        <v>29</v>
      </c>
      <c r="I688" s="2">
        <v>200</v>
      </c>
      <c r="J688" s="2">
        <v>147</v>
      </c>
      <c r="K688" s="2">
        <v>1798782</v>
      </c>
      <c r="L688" s="2">
        <v>739410</v>
      </c>
      <c r="M688" s="2">
        <v>1059372</v>
      </c>
    </row>
    <row r="689" spans="1:13">
      <c r="A689" s="2" t="s">
        <v>764</v>
      </c>
      <c r="B689" s="2" t="s">
        <v>7</v>
      </c>
      <c r="C689" s="2" t="s">
        <v>62</v>
      </c>
      <c r="D689" s="2" t="s">
        <v>58</v>
      </c>
      <c r="E689" s="3">
        <v>45614</v>
      </c>
      <c r="F689" s="2" t="str">
        <f t="shared" si="10"/>
        <v>Nov</v>
      </c>
      <c r="G689" s="2">
        <v>392</v>
      </c>
      <c r="H689" s="2" t="s">
        <v>33</v>
      </c>
      <c r="I689" s="2">
        <v>260</v>
      </c>
      <c r="J689" s="2">
        <v>217</v>
      </c>
      <c r="K689" s="2">
        <v>5875352</v>
      </c>
      <c r="L689" s="2">
        <v>1501640</v>
      </c>
      <c r="M689" s="2">
        <v>4373712</v>
      </c>
    </row>
    <row r="690" spans="1:13">
      <c r="A690" s="2" t="s">
        <v>765</v>
      </c>
      <c r="B690" s="2" t="s">
        <v>9</v>
      </c>
      <c r="C690" s="2" t="s">
        <v>63</v>
      </c>
      <c r="D690" s="2" t="s">
        <v>59</v>
      </c>
      <c r="E690" s="3">
        <v>45615</v>
      </c>
      <c r="F690" s="2" t="str">
        <f t="shared" si="10"/>
        <v>Nov</v>
      </c>
      <c r="G690" s="2">
        <v>292</v>
      </c>
      <c r="H690" s="2" t="s">
        <v>30</v>
      </c>
      <c r="I690" s="2">
        <v>500</v>
      </c>
      <c r="J690" s="2">
        <v>413</v>
      </c>
      <c r="K690" s="2">
        <v>5589939</v>
      </c>
      <c r="L690" s="2">
        <v>1222480</v>
      </c>
      <c r="M690" s="2">
        <v>4367459</v>
      </c>
    </row>
    <row r="691" spans="1:13">
      <c r="A691" s="2" t="s">
        <v>766</v>
      </c>
      <c r="B691" s="2" t="s">
        <v>41</v>
      </c>
      <c r="C691" s="2" t="s">
        <v>59</v>
      </c>
      <c r="D691" s="2" t="s">
        <v>63</v>
      </c>
      <c r="E691" s="3">
        <v>45616</v>
      </c>
      <c r="F691" s="2" t="str">
        <f t="shared" si="10"/>
        <v>Nov</v>
      </c>
      <c r="G691" s="2">
        <v>61</v>
      </c>
      <c r="H691" s="2" t="s">
        <v>31</v>
      </c>
      <c r="I691" s="2">
        <v>72</v>
      </c>
      <c r="J691" s="2">
        <v>51</v>
      </c>
      <c r="K691" s="2">
        <v>229694</v>
      </c>
      <c r="L691" s="2">
        <v>92055</v>
      </c>
      <c r="M691" s="2">
        <v>137639</v>
      </c>
    </row>
    <row r="692" spans="1:13">
      <c r="A692" s="2" t="s">
        <v>767</v>
      </c>
      <c r="B692" s="2" t="s">
        <v>39</v>
      </c>
      <c r="C692" s="2" t="s">
        <v>59</v>
      </c>
      <c r="D692" s="2" t="s">
        <v>61</v>
      </c>
      <c r="E692" s="3">
        <v>45617</v>
      </c>
      <c r="F692" s="2" t="str">
        <f t="shared" si="10"/>
        <v>Nov</v>
      </c>
      <c r="G692" s="2">
        <v>71</v>
      </c>
      <c r="H692" s="2" t="s">
        <v>28</v>
      </c>
      <c r="I692" s="2">
        <v>180</v>
      </c>
      <c r="J692" s="2">
        <v>165</v>
      </c>
      <c r="K692" s="2">
        <v>539854</v>
      </c>
      <c r="L692" s="2">
        <v>306075</v>
      </c>
      <c r="M692" s="2">
        <v>233779</v>
      </c>
    </row>
    <row r="693" spans="1:13">
      <c r="A693" s="2" t="s">
        <v>768</v>
      </c>
      <c r="B693" s="2" t="s">
        <v>46</v>
      </c>
      <c r="C693" s="2" t="s">
        <v>61</v>
      </c>
      <c r="D693" s="2" t="s">
        <v>59</v>
      </c>
      <c r="E693" s="3">
        <v>45618</v>
      </c>
      <c r="F693" s="2" t="str">
        <f t="shared" si="10"/>
        <v>Nov</v>
      </c>
      <c r="G693" s="2">
        <v>208</v>
      </c>
      <c r="H693" s="2" t="s">
        <v>32</v>
      </c>
      <c r="I693" s="2">
        <v>190</v>
      </c>
      <c r="J693" s="2">
        <v>179</v>
      </c>
      <c r="K693" s="2">
        <v>1964923</v>
      </c>
      <c r="L693" s="2">
        <v>454660</v>
      </c>
      <c r="M693" s="2">
        <v>1510263</v>
      </c>
    </row>
    <row r="694" spans="1:13">
      <c r="A694" s="2" t="s">
        <v>769</v>
      </c>
      <c r="B694" s="2" t="s">
        <v>45</v>
      </c>
      <c r="C694" s="2" t="s">
        <v>61</v>
      </c>
      <c r="D694" s="2" t="s">
        <v>58</v>
      </c>
      <c r="E694" s="3">
        <v>45619</v>
      </c>
      <c r="F694" s="2" t="str">
        <f t="shared" si="10"/>
        <v>Nov</v>
      </c>
      <c r="G694" s="2">
        <v>317</v>
      </c>
      <c r="H694" s="2" t="s">
        <v>29</v>
      </c>
      <c r="I694" s="2">
        <v>200</v>
      </c>
      <c r="J694" s="2">
        <v>174</v>
      </c>
      <c r="K694" s="2">
        <v>3105556</v>
      </c>
      <c r="L694" s="2">
        <v>536790</v>
      </c>
      <c r="M694" s="2">
        <v>2568766</v>
      </c>
    </row>
    <row r="695" spans="1:13">
      <c r="A695" s="2" t="s">
        <v>770</v>
      </c>
      <c r="B695" s="2" t="s">
        <v>3</v>
      </c>
      <c r="C695" s="2" t="s">
        <v>58</v>
      </c>
      <c r="D695" s="2" t="s">
        <v>61</v>
      </c>
      <c r="E695" s="3">
        <v>45620</v>
      </c>
      <c r="F695" s="2" t="str">
        <f t="shared" si="10"/>
        <v>Nov</v>
      </c>
      <c r="G695" s="2">
        <v>382</v>
      </c>
      <c r="H695" s="2" t="s">
        <v>33</v>
      </c>
      <c r="I695" s="2">
        <v>260</v>
      </c>
      <c r="J695" s="2">
        <v>185</v>
      </c>
      <c r="K695" s="2">
        <v>6020152</v>
      </c>
      <c r="L695" s="2">
        <v>630850</v>
      </c>
      <c r="M695" s="2">
        <v>5389302</v>
      </c>
    </row>
    <row r="696" spans="1:13">
      <c r="A696" s="2" t="s">
        <v>771</v>
      </c>
      <c r="B696" s="2" t="s">
        <v>5</v>
      </c>
      <c r="C696" s="2" t="s">
        <v>59</v>
      </c>
      <c r="D696" s="2" t="s">
        <v>58</v>
      </c>
      <c r="E696" s="3">
        <v>45621</v>
      </c>
      <c r="F696" s="2" t="str">
        <f t="shared" si="10"/>
        <v>Nov</v>
      </c>
      <c r="G696" s="2">
        <v>524</v>
      </c>
      <c r="H696" s="2" t="s">
        <v>30</v>
      </c>
      <c r="I696" s="2">
        <v>500</v>
      </c>
      <c r="J696" s="2">
        <v>464</v>
      </c>
      <c r="K696" s="2">
        <v>9522492</v>
      </c>
      <c r="L696" s="2">
        <v>1911680</v>
      </c>
      <c r="M696" s="2">
        <v>7610812</v>
      </c>
    </row>
    <row r="697" spans="1:13">
      <c r="A697" s="2" t="s">
        <v>772</v>
      </c>
      <c r="B697" s="2" t="s">
        <v>36</v>
      </c>
      <c r="C697" s="2" t="s">
        <v>58</v>
      </c>
      <c r="D697" s="2" t="s">
        <v>59</v>
      </c>
      <c r="E697" s="3">
        <v>45622</v>
      </c>
      <c r="F697" s="2" t="str">
        <f t="shared" si="10"/>
        <v>Nov</v>
      </c>
      <c r="G697" s="2">
        <v>111</v>
      </c>
      <c r="H697" s="2" t="s">
        <v>31</v>
      </c>
      <c r="I697" s="2">
        <v>72</v>
      </c>
      <c r="J697" s="2">
        <v>45</v>
      </c>
      <c r="K697" s="2">
        <v>402897</v>
      </c>
      <c r="L697" s="2">
        <v>92475</v>
      </c>
      <c r="M697" s="2">
        <v>310422</v>
      </c>
    </row>
    <row r="698" spans="1:13">
      <c r="A698" s="2" t="s">
        <v>773</v>
      </c>
      <c r="B698" s="2" t="s">
        <v>38</v>
      </c>
      <c r="C698" s="2" t="s">
        <v>59</v>
      </c>
      <c r="D698" s="2" t="s">
        <v>60</v>
      </c>
      <c r="E698" s="3">
        <v>45623</v>
      </c>
      <c r="F698" s="2" t="str">
        <f t="shared" si="10"/>
        <v>Nov</v>
      </c>
      <c r="G698" s="2">
        <v>239</v>
      </c>
      <c r="H698" s="2" t="s">
        <v>28</v>
      </c>
      <c r="I698" s="2">
        <v>180</v>
      </c>
      <c r="J698" s="2">
        <v>159</v>
      </c>
      <c r="K698" s="2">
        <v>1802446</v>
      </c>
      <c r="L698" s="2">
        <v>428505</v>
      </c>
      <c r="M698" s="2">
        <v>1373941</v>
      </c>
    </row>
    <row r="699" spans="1:13">
      <c r="A699" s="2" t="s">
        <v>774</v>
      </c>
      <c r="B699" s="2" t="s">
        <v>44</v>
      </c>
      <c r="C699" s="2" t="s">
        <v>60</v>
      </c>
      <c r="D699" s="2" t="s">
        <v>59</v>
      </c>
      <c r="E699" s="3">
        <v>45624</v>
      </c>
      <c r="F699" s="2" t="str">
        <f t="shared" si="10"/>
        <v>Nov</v>
      </c>
      <c r="G699" s="2">
        <v>147</v>
      </c>
      <c r="H699" s="2" t="s">
        <v>32</v>
      </c>
      <c r="I699" s="2">
        <v>190</v>
      </c>
      <c r="J699" s="2">
        <v>136</v>
      </c>
      <c r="K699" s="2">
        <v>1300089</v>
      </c>
      <c r="L699" s="2">
        <v>303960</v>
      </c>
      <c r="M699" s="2">
        <v>996129</v>
      </c>
    </row>
    <row r="700" spans="1:13">
      <c r="A700" s="2" t="s">
        <v>775</v>
      </c>
      <c r="B700" s="2" t="s">
        <v>48</v>
      </c>
      <c r="C700" s="2" t="s">
        <v>61</v>
      </c>
      <c r="D700" s="2" t="s">
        <v>63</v>
      </c>
      <c r="E700" s="3">
        <v>45625</v>
      </c>
      <c r="F700" s="2" t="str">
        <f t="shared" si="10"/>
        <v>Nov</v>
      </c>
      <c r="G700" s="2">
        <v>268</v>
      </c>
      <c r="H700" s="2" t="s">
        <v>29</v>
      </c>
      <c r="I700" s="2">
        <v>200</v>
      </c>
      <c r="J700" s="2">
        <v>172</v>
      </c>
      <c r="K700" s="2">
        <v>2603000</v>
      </c>
      <c r="L700" s="2">
        <v>488480</v>
      </c>
      <c r="M700" s="2">
        <v>2114520</v>
      </c>
    </row>
    <row r="701" spans="1:13">
      <c r="A701" s="2" t="s">
        <v>776</v>
      </c>
      <c r="B701" s="2" t="s">
        <v>10</v>
      </c>
      <c r="C701" s="2" t="s">
        <v>63</v>
      </c>
      <c r="D701" s="2" t="s">
        <v>61</v>
      </c>
      <c r="E701" s="3">
        <v>45626</v>
      </c>
      <c r="F701" s="2" t="str">
        <f t="shared" si="10"/>
        <v>Nov</v>
      </c>
      <c r="G701" s="2">
        <v>297</v>
      </c>
      <c r="H701" s="2" t="s">
        <v>33</v>
      </c>
      <c r="I701" s="2">
        <v>260</v>
      </c>
      <c r="J701" s="2">
        <v>207</v>
      </c>
      <c r="K701" s="2">
        <v>4623296</v>
      </c>
      <c r="L701" s="2">
        <v>617895</v>
      </c>
      <c r="M701" s="2">
        <v>4005401</v>
      </c>
    </row>
    <row r="702" spans="1:13">
      <c r="A702" s="2" t="s">
        <v>777</v>
      </c>
      <c r="B702" s="2" t="s">
        <v>2</v>
      </c>
      <c r="C702" s="2" t="s">
        <v>58</v>
      </c>
      <c r="D702" s="2" t="s">
        <v>60</v>
      </c>
      <c r="E702" s="3">
        <v>45627</v>
      </c>
      <c r="F702" s="2" t="str">
        <f t="shared" si="10"/>
        <v>Dec</v>
      </c>
      <c r="G702" s="2">
        <v>474</v>
      </c>
      <c r="H702" s="2" t="s">
        <v>30</v>
      </c>
      <c r="I702" s="2">
        <v>500</v>
      </c>
      <c r="J702" s="2">
        <v>401</v>
      </c>
      <c r="K702" s="2">
        <v>10195054</v>
      </c>
      <c r="L702" s="2">
        <v>1551870</v>
      </c>
      <c r="M702" s="2">
        <v>8643184</v>
      </c>
    </row>
    <row r="703" spans="1:13">
      <c r="A703" s="2" t="s">
        <v>778</v>
      </c>
      <c r="B703" s="2" t="s">
        <v>43</v>
      </c>
      <c r="C703" s="2" t="s">
        <v>60</v>
      </c>
      <c r="D703" s="2" t="s">
        <v>58</v>
      </c>
      <c r="E703" s="3">
        <v>45628</v>
      </c>
      <c r="F703" s="2" t="str">
        <f t="shared" si="10"/>
        <v>Dec</v>
      </c>
      <c r="G703" s="2">
        <v>130</v>
      </c>
      <c r="H703" s="2" t="s">
        <v>31</v>
      </c>
      <c r="I703" s="2">
        <v>72</v>
      </c>
      <c r="J703" s="2">
        <v>47</v>
      </c>
      <c r="K703" s="2">
        <v>451501</v>
      </c>
      <c r="L703" s="2">
        <v>101050</v>
      </c>
      <c r="M703" s="2">
        <v>350451</v>
      </c>
    </row>
    <row r="704" spans="1:13">
      <c r="A704" s="2" t="s">
        <v>779</v>
      </c>
      <c r="B704" s="2" t="s">
        <v>40</v>
      </c>
      <c r="C704" s="2" t="s">
        <v>59</v>
      </c>
      <c r="D704" s="2" t="s">
        <v>62</v>
      </c>
      <c r="E704" s="3">
        <v>45629</v>
      </c>
      <c r="F704" s="2" t="str">
        <f t="shared" si="10"/>
        <v>Dec</v>
      </c>
      <c r="G704" s="2">
        <v>203</v>
      </c>
      <c r="H704" s="2" t="s">
        <v>28</v>
      </c>
      <c r="I704" s="2">
        <v>180</v>
      </c>
      <c r="J704" s="2">
        <v>159</v>
      </c>
      <c r="K704" s="2">
        <v>1702508</v>
      </c>
      <c r="L704" s="2">
        <v>799770</v>
      </c>
      <c r="M704" s="2">
        <v>902738</v>
      </c>
    </row>
    <row r="705" spans="1:13">
      <c r="A705" s="2" t="s">
        <v>780</v>
      </c>
      <c r="B705" s="2" t="s">
        <v>51</v>
      </c>
      <c r="C705" s="2" t="s">
        <v>62</v>
      </c>
      <c r="D705" s="2" t="s">
        <v>59</v>
      </c>
      <c r="E705" s="3">
        <v>45630</v>
      </c>
      <c r="F705" s="2" t="str">
        <f t="shared" si="10"/>
        <v>Dec</v>
      </c>
      <c r="G705" s="2">
        <v>62</v>
      </c>
      <c r="H705" s="2" t="s">
        <v>32</v>
      </c>
      <c r="I705" s="2">
        <v>190</v>
      </c>
      <c r="J705" s="2">
        <v>179</v>
      </c>
      <c r="K705" s="2">
        <v>513268</v>
      </c>
      <c r="L705" s="2">
        <v>647980</v>
      </c>
      <c r="M705" s="2">
        <v>-134712</v>
      </c>
    </row>
    <row r="706" spans="1:13">
      <c r="A706" s="2" t="s">
        <v>781</v>
      </c>
      <c r="B706" s="2" t="s">
        <v>47</v>
      </c>
      <c r="C706" s="2" t="s">
        <v>61</v>
      </c>
      <c r="D706" s="2" t="s">
        <v>62</v>
      </c>
      <c r="E706" s="3">
        <v>45631</v>
      </c>
      <c r="F706" s="2" t="str">
        <f t="shared" si="10"/>
        <v>Dec</v>
      </c>
      <c r="G706" s="2">
        <v>303</v>
      </c>
      <c r="H706" s="2" t="s">
        <v>29</v>
      </c>
      <c r="I706" s="2">
        <v>200</v>
      </c>
      <c r="J706" s="2">
        <v>181</v>
      </c>
      <c r="K706" s="2">
        <v>2969207</v>
      </c>
      <c r="L706" s="2">
        <v>545715</v>
      </c>
      <c r="M706" s="2">
        <v>2423492</v>
      </c>
    </row>
    <row r="707" spans="1:13">
      <c r="A707" s="2" t="s">
        <v>782</v>
      </c>
      <c r="B707" s="2" t="s">
        <v>8</v>
      </c>
      <c r="C707" s="2" t="s">
        <v>62</v>
      </c>
      <c r="D707" s="2" t="s">
        <v>61</v>
      </c>
      <c r="E707" s="3">
        <v>45632</v>
      </c>
      <c r="F707" s="2" t="str">
        <f t="shared" ref="F707:F770" si="11">TEXT(E707,"mmm")</f>
        <v>Dec</v>
      </c>
      <c r="G707" s="2">
        <v>189</v>
      </c>
      <c r="H707" s="2" t="s">
        <v>33</v>
      </c>
      <c r="I707" s="2">
        <v>260</v>
      </c>
      <c r="J707" s="2">
        <v>223</v>
      </c>
      <c r="K707" s="2">
        <v>3013672</v>
      </c>
      <c r="L707" s="2">
        <v>545235</v>
      </c>
      <c r="M707" s="2">
        <v>2468437</v>
      </c>
    </row>
    <row r="708" spans="1:13">
      <c r="A708" s="2" t="s">
        <v>783</v>
      </c>
      <c r="B708" s="2" t="s">
        <v>4</v>
      </c>
      <c r="C708" s="2" t="s">
        <v>58</v>
      </c>
      <c r="D708" s="2" t="s">
        <v>66</v>
      </c>
      <c r="E708" s="3">
        <v>45633</v>
      </c>
      <c r="F708" s="2" t="str">
        <f t="shared" si="11"/>
        <v>Dec</v>
      </c>
      <c r="G708" s="2">
        <v>398</v>
      </c>
      <c r="H708" s="2" t="s">
        <v>30</v>
      </c>
      <c r="I708" s="2">
        <v>500</v>
      </c>
      <c r="J708" s="2">
        <v>332</v>
      </c>
      <c r="K708" s="2">
        <v>7729772</v>
      </c>
      <c r="L708" s="2">
        <v>2317360</v>
      </c>
      <c r="M708" s="2">
        <v>5412412</v>
      </c>
    </row>
    <row r="709" spans="1:13">
      <c r="A709" s="2" t="s">
        <v>784</v>
      </c>
      <c r="B709" s="2" t="s">
        <v>54</v>
      </c>
      <c r="C709" s="2" t="s">
        <v>66</v>
      </c>
      <c r="D709" s="2" t="s">
        <v>58</v>
      </c>
      <c r="E709" s="3">
        <v>45634</v>
      </c>
      <c r="F709" s="2" t="str">
        <f t="shared" si="11"/>
        <v>Dec</v>
      </c>
      <c r="G709" s="2">
        <v>42</v>
      </c>
      <c r="H709" s="2" t="s">
        <v>31</v>
      </c>
      <c r="I709" s="2">
        <v>72</v>
      </c>
      <c r="J709" s="2">
        <v>56</v>
      </c>
      <c r="K709" s="2">
        <v>147710</v>
      </c>
      <c r="L709" s="2">
        <v>191520</v>
      </c>
      <c r="M709" s="2">
        <v>-43810</v>
      </c>
    </row>
    <row r="710" spans="1:13">
      <c r="A710" s="2" t="s">
        <v>785</v>
      </c>
      <c r="B710" s="2" t="s">
        <v>42</v>
      </c>
      <c r="C710" s="2" t="s">
        <v>59</v>
      </c>
      <c r="D710" s="2" t="s">
        <v>66</v>
      </c>
      <c r="E710" s="3">
        <v>45635</v>
      </c>
      <c r="F710" s="2" t="str">
        <f t="shared" si="11"/>
        <v>Dec</v>
      </c>
      <c r="G710" s="2">
        <v>293</v>
      </c>
      <c r="H710" s="2" t="s">
        <v>28</v>
      </c>
      <c r="I710" s="2">
        <v>180</v>
      </c>
      <c r="J710" s="2">
        <v>155</v>
      </c>
      <c r="K710" s="2">
        <v>2126153</v>
      </c>
      <c r="L710" s="2">
        <v>919150</v>
      </c>
      <c r="M710" s="2">
        <v>1207003</v>
      </c>
    </row>
    <row r="711" spans="1:13">
      <c r="A711" s="2" t="s">
        <v>786</v>
      </c>
      <c r="B711" s="2" t="s">
        <v>55</v>
      </c>
      <c r="C711" s="2" t="s">
        <v>66</v>
      </c>
      <c r="D711" s="2" t="s">
        <v>59</v>
      </c>
      <c r="E711" s="3">
        <v>45636</v>
      </c>
      <c r="F711" s="2" t="str">
        <f t="shared" si="11"/>
        <v>Dec</v>
      </c>
      <c r="G711" s="2">
        <v>268</v>
      </c>
      <c r="H711" s="2" t="s">
        <v>32</v>
      </c>
      <c r="I711" s="2">
        <v>190</v>
      </c>
      <c r="J711" s="2">
        <v>114</v>
      </c>
      <c r="K711" s="2">
        <v>2532380</v>
      </c>
      <c r="L711" s="2">
        <v>647520</v>
      </c>
      <c r="M711" s="2">
        <v>1884860</v>
      </c>
    </row>
    <row r="712" spans="1:13">
      <c r="A712" s="2" t="s">
        <v>787</v>
      </c>
      <c r="B712" s="2" t="s">
        <v>50</v>
      </c>
      <c r="C712" s="2" t="s">
        <v>61</v>
      </c>
      <c r="D712" s="2" t="s">
        <v>65</v>
      </c>
      <c r="E712" s="3">
        <v>45637</v>
      </c>
      <c r="F712" s="2" t="str">
        <f t="shared" si="11"/>
        <v>Dec</v>
      </c>
      <c r="G712" s="2">
        <v>99</v>
      </c>
      <c r="H712" s="2" t="s">
        <v>29</v>
      </c>
      <c r="I712" s="2">
        <v>200</v>
      </c>
      <c r="J712" s="2">
        <v>142</v>
      </c>
      <c r="K712" s="2">
        <v>874455</v>
      </c>
      <c r="L712" s="2">
        <v>566580</v>
      </c>
      <c r="M712" s="2">
        <v>307875</v>
      </c>
    </row>
    <row r="713" spans="1:13">
      <c r="A713" s="2" t="s">
        <v>788</v>
      </c>
      <c r="B713" s="2" t="s">
        <v>11</v>
      </c>
      <c r="C713" s="2" t="s">
        <v>65</v>
      </c>
      <c r="D713" s="2" t="s">
        <v>61</v>
      </c>
      <c r="E713" s="3">
        <v>45638</v>
      </c>
      <c r="F713" s="2" t="str">
        <f t="shared" si="11"/>
        <v>Dec</v>
      </c>
      <c r="G713" s="2">
        <v>249</v>
      </c>
      <c r="H713" s="2" t="s">
        <v>33</v>
      </c>
      <c r="I713" s="2">
        <v>260</v>
      </c>
      <c r="J713" s="2">
        <v>235</v>
      </c>
      <c r="K713" s="2">
        <v>4105761</v>
      </c>
      <c r="L713" s="2">
        <v>1290150</v>
      </c>
      <c r="M713" s="2">
        <v>2815611</v>
      </c>
    </row>
    <row r="714" spans="1:13">
      <c r="A714" s="2" t="s">
        <v>789</v>
      </c>
      <c r="B714" s="2" t="s">
        <v>6</v>
      </c>
      <c r="C714" s="2" t="s">
        <v>59</v>
      </c>
      <c r="D714" s="2" t="s">
        <v>65</v>
      </c>
      <c r="E714" s="3">
        <v>45639</v>
      </c>
      <c r="F714" s="2" t="str">
        <f t="shared" si="11"/>
        <v>Dec</v>
      </c>
      <c r="G714" s="2">
        <v>311</v>
      </c>
      <c r="H714" s="2" t="s">
        <v>30</v>
      </c>
      <c r="I714" s="2">
        <v>500</v>
      </c>
      <c r="J714" s="2">
        <v>367</v>
      </c>
      <c r="K714" s="2">
        <v>6398346</v>
      </c>
      <c r="L714" s="2">
        <v>2242370</v>
      </c>
      <c r="M714" s="2">
        <v>4155976</v>
      </c>
    </row>
    <row r="715" spans="1:13">
      <c r="A715" s="2" t="s">
        <v>790</v>
      </c>
      <c r="B715" s="2" t="s">
        <v>53</v>
      </c>
      <c r="C715" s="2" t="s">
        <v>65</v>
      </c>
      <c r="D715" s="2" t="s">
        <v>59</v>
      </c>
      <c r="E715" s="3">
        <v>45640</v>
      </c>
      <c r="F715" s="2" t="str">
        <f t="shared" si="11"/>
        <v>Dec</v>
      </c>
      <c r="G715" s="2">
        <v>39</v>
      </c>
      <c r="H715" s="2" t="s">
        <v>31</v>
      </c>
      <c r="I715" s="2">
        <v>72</v>
      </c>
      <c r="J715" s="2">
        <v>65</v>
      </c>
      <c r="K715" s="2">
        <v>139040</v>
      </c>
      <c r="L715" s="2">
        <v>220350</v>
      </c>
      <c r="M715" s="2">
        <v>-81310</v>
      </c>
    </row>
    <row r="716" spans="1:13">
      <c r="A716" s="2" t="s">
        <v>791</v>
      </c>
      <c r="B716" s="2" t="s">
        <v>49</v>
      </c>
      <c r="C716" s="2" t="s">
        <v>61</v>
      </c>
      <c r="D716" s="2" t="s">
        <v>64</v>
      </c>
      <c r="E716" s="3">
        <v>45641</v>
      </c>
      <c r="F716" s="2" t="str">
        <f t="shared" si="11"/>
        <v>Dec</v>
      </c>
      <c r="G716" s="2">
        <v>96</v>
      </c>
      <c r="H716" s="2" t="s">
        <v>28</v>
      </c>
      <c r="I716" s="2">
        <v>180</v>
      </c>
      <c r="J716" s="2">
        <v>149</v>
      </c>
      <c r="K716" s="2">
        <v>691488</v>
      </c>
      <c r="L716" s="2">
        <v>590040</v>
      </c>
      <c r="M716" s="2">
        <v>101448</v>
      </c>
    </row>
    <row r="717" spans="1:13">
      <c r="A717" s="2" t="s">
        <v>792</v>
      </c>
      <c r="B717" s="2" t="s">
        <v>52</v>
      </c>
      <c r="C717" s="2" t="s">
        <v>64</v>
      </c>
      <c r="D717" s="2" t="s">
        <v>61</v>
      </c>
      <c r="E717" s="3">
        <v>45642</v>
      </c>
      <c r="F717" s="2" t="str">
        <f t="shared" si="11"/>
        <v>Dec</v>
      </c>
      <c r="G717" s="2">
        <v>261</v>
      </c>
      <c r="H717" s="2" t="s">
        <v>32</v>
      </c>
      <c r="I717" s="2">
        <v>190</v>
      </c>
      <c r="J717" s="2">
        <v>155</v>
      </c>
      <c r="K717" s="2">
        <v>2281110</v>
      </c>
      <c r="L717" s="2">
        <v>869550</v>
      </c>
      <c r="M717" s="2">
        <v>1411560</v>
      </c>
    </row>
    <row r="718" spans="1:13">
      <c r="A718" s="2" t="s">
        <v>793</v>
      </c>
      <c r="B718" s="2" t="s">
        <v>37</v>
      </c>
      <c r="C718" s="2" t="s">
        <v>58</v>
      </c>
      <c r="D718" s="2" t="s">
        <v>62</v>
      </c>
      <c r="E718" s="3">
        <v>45643</v>
      </c>
      <c r="F718" s="2" t="str">
        <f t="shared" si="11"/>
        <v>Dec</v>
      </c>
      <c r="G718" s="2">
        <v>136</v>
      </c>
      <c r="H718" s="2" t="s">
        <v>29</v>
      </c>
      <c r="I718" s="2">
        <v>200</v>
      </c>
      <c r="J718" s="2">
        <v>147</v>
      </c>
      <c r="K718" s="2">
        <v>1266761</v>
      </c>
      <c r="L718" s="2">
        <v>640920</v>
      </c>
      <c r="M718" s="2">
        <v>625841</v>
      </c>
    </row>
    <row r="719" spans="1:13">
      <c r="A719" s="2" t="s">
        <v>794</v>
      </c>
      <c r="B719" s="2" t="s">
        <v>7</v>
      </c>
      <c r="C719" s="2" t="s">
        <v>62</v>
      </c>
      <c r="D719" s="2" t="s">
        <v>58</v>
      </c>
      <c r="E719" s="3">
        <v>45644</v>
      </c>
      <c r="F719" s="2" t="str">
        <f t="shared" si="11"/>
        <v>Dec</v>
      </c>
      <c r="G719" s="2">
        <v>250</v>
      </c>
      <c r="H719" s="2" t="s">
        <v>33</v>
      </c>
      <c r="I719" s="2">
        <v>260</v>
      </c>
      <c r="J719" s="2">
        <v>199</v>
      </c>
      <c r="K719" s="2">
        <v>3856744</v>
      </c>
      <c r="L719" s="2">
        <v>1094500</v>
      </c>
      <c r="M719" s="2">
        <v>2762244</v>
      </c>
    </row>
    <row r="720" spans="1:13">
      <c r="A720" s="2" t="s">
        <v>795</v>
      </c>
      <c r="B720" s="2" t="s">
        <v>9</v>
      </c>
      <c r="C720" s="2" t="s">
        <v>63</v>
      </c>
      <c r="D720" s="2" t="s">
        <v>59</v>
      </c>
      <c r="E720" s="3">
        <v>45645</v>
      </c>
      <c r="F720" s="2" t="str">
        <f t="shared" si="11"/>
        <v>Dec</v>
      </c>
      <c r="G720" s="2">
        <v>395</v>
      </c>
      <c r="H720" s="2" t="s">
        <v>30</v>
      </c>
      <c r="I720" s="2">
        <v>500</v>
      </c>
      <c r="J720" s="2">
        <v>318</v>
      </c>
      <c r="K720" s="2">
        <v>7466193</v>
      </c>
      <c r="L720" s="2">
        <v>1105050</v>
      </c>
      <c r="M720" s="2">
        <v>6361143</v>
      </c>
    </row>
    <row r="721" spans="1:13">
      <c r="A721" s="2" t="s">
        <v>796</v>
      </c>
      <c r="B721" s="2" t="s">
        <v>41</v>
      </c>
      <c r="C721" s="2" t="s">
        <v>59</v>
      </c>
      <c r="D721" s="2" t="s">
        <v>63</v>
      </c>
      <c r="E721" s="3">
        <v>45646</v>
      </c>
      <c r="F721" s="2" t="str">
        <f t="shared" si="11"/>
        <v>Dec</v>
      </c>
      <c r="G721" s="2">
        <v>145</v>
      </c>
      <c r="H721" s="2" t="s">
        <v>31</v>
      </c>
      <c r="I721" s="2">
        <v>72</v>
      </c>
      <c r="J721" s="2">
        <v>57</v>
      </c>
      <c r="K721" s="2">
        <v>518003</v>
      </c>
      <c r="L721" s="2">
        <v>126825</v>
      </c>
      <c r="M721" s="2">
        <v>391178</v>
      </c>
    </row>
    <row r="722" spans="1:13">
      <c r="A722" s="2" t="s">
        <v>797</v>
      </c>
      <c r="B722" s="2" t="s">
        <v>39</v>
      </c>
      <c r="C722" s="2" t="s">
        <v>59</v>
      </c>
      <c r="D722" s="2" t="s">
        <v>61</v>
      </c>
      <c r="E722" s="3">
        <v>45647</v>
      </c>
      <c r="F722" s="2" t="str">
        <f t="shared" si="11"/>
        <v>Dec</v>
      </c>
      <c r="G722" s="2">
        <v>221</v>
      </c>
      <c r="H722" s="2" t="s">
        <v>28</v>
      </c>
      <c r="I722" s="2">
        <v>180</v>
      </c>
      <c r="J722" s="2">
        <v>145</v>
      </c>
      <c r="K722" s="2">
        <v>1804118</v>
      </c>
      <c r="L722" s="2">
        <v>377725</v>
      </c>
      <c r="M722" s="2">
        <v>1426393</v>
      </c>
    </row>
    <row r="723" spans="1:13">
      <c r="A723" s="2" t="s">
        <v>798</v>
      </c>
      <c r="B723" s="2" t="s">
        <v>46</v>
      </c>
      <c r="C723" s="2" t="s">
        <v>61</v>
      </c>
      <c r="D723" s="2" t="s">
        <v>59</v>
      </c>
      <c r="E723" s="3">
        <v>45648</v>
      </c>
      <c r="F723" s="2" t="str">
        <f t="shared" si="11"/>
        <v>Dec</v>
      </c>
      <c r="G723" s="2">
        <v>247</v>
      </c>
      <c r="H723" s="2" t="s">
        <v>32</v>
      </c>
      <c r="I723" s="2">
        <v>190</v>
      </c>
      <c r="J723" s="2">
        <v>168</v>
      </c>
      <c r="K723" s="2">
        <v>2222224</v>
      </c>
      <c r="L723" s="2">
        <v>459480</v>
      </c>
      <c r="M723" s="2">
        <v>1762744</v>
      </c>
    </row>
    <row r="724" spans="1:13">
      <c r="A724" s="2" t="s">
        <v>799</v>
      </c>
      <c r="B724" s="2" t="s">
        <v>45</v>
      </c>
      <c r="C724" s="2" t="s">
        <v>61</v>
      </c>
      <c r="D724" s="2" t="s">
        <v>58</v>
      </c>
      <c r="E724" s="3">
        <v>45649</v>
      </c>
      <c r="F724" s="2" t="str">
        <f t="shared" si="11"/>
        <v>Dec</v>
      </c>
      <c r="G724" s="2">
        <v>290</v>
      </c>
      <c r="H724" s="2" t="s">
        <v>29</v>
      </c>
      <c r="I724" s="2">
        <v>200</v>
      </c>
      <c r="J724" s="2">
        <v>124</v>
      </c>
      <c r="K724" s="2">
        <v>2663665</v>
      </c>
      <c r="L724" s="2">
        <v>365800</v>
      </c>
      <c r="M724" s="2">
        <v>2297865</v>
      </c>
    </row>
    <row r="725" spans="1:13">
      <c r="A725" s="2" t="s">
        <v>800</v>
      </c>
      <c r="B725" s="2" t="s">
        <v>3</v>
      </c>
      <c r="C725" s="2" t="s">
        <v>58</v>
      </c>
      <c r="D725" s="2" t="s">
        <v>61</v>
      </c>
      <c r="E725" s="3">
        <v>45650</v>
      </c>
      <c r="F725" s="2" t="str">
        <f t="shared" si="11"/>
        <v>Dec</v>
      </c>
      <c r="G725" s="2">
        <v>209</v>
      </c>
      <c r="H725" s="2" t="s">
        <v>33</v>
      </c>
      <c r="I725" s="2">
        <v>260</v>
      </c>
      <c r="J725" s="2">
        <v>245</v>
      </c>
      <c r="K725" s="2">
        <v>2953070</v>
      </c>
      <c r="L725" s="2">
        <v>623525</v>
      </c>
      <c r="M725" s="2">
        <v>2329545</v>
      </c>
    </row>
    <row r="726" spans="1:13">
      <c r="A726" s="2" t="s">
        <v>801</v>
      </c>
      <c r="B726" s="2" t="s">
        <v>5</v>
      </c>
      <c r="C726" s="2" t="s">
        <v>59</v>
      </c>
      <c r="D726" s="2" t="s">
        <v>58</v>
      </c>
      <c r="E726" s="3">
        <v>45651</v>
      </c>
      <c r="F726" s="2" t="str">
        <f t="shared" si="11"/>
        <v>Dec</v>
      </c>
      <c r="G726" s="2">
        <v>535</v>
      </c>
      <c r="H726" s="2" t="s">
        <v>30</v>
      </c>
      <c r="I726" s="2">
        <v>500</v>
      </c>
      <c r="J726" s="2">
        <v>390</v>
      </c>
      <c r="K726" s="2">
        <v>10572025</v>
      </c>
      <c r="L726" s="2">
        <v>1628250</v>
      </c>
      <c r="M726" s="2">
        <v>8943775</v>
      </c>
    </row>
    <row r="727" spans="1:13">
      <c r="A727" s="2" t="s">
        <v>802</v>
      </c>
      <c r="B727" s="2" t="s">
        <v>36</v>
      </c>
      <c r="C727" s="2" t="s">
        <v>58</v>
      </c>
      <c r="D727" s="2" t="s">
        <v>59</v>
      </c>
      <c r="E727" s="3">
        <v>45652</v>
      </c>
      <c r="F727" s="2" t="str">
        <f t="shared" si="11"/>
        <v>Dec</v>
      </c>
      <c r="G727" s="2">
        <v>129</v>
      </c>
      <c r="H727" s="2" t="s">
        <v>31</v>
      </c>
      <c r="I727" s="2">
        <v>72</v>
      </c>
      <c r="J727" s="2">
        <v>46</v>
      </c>
      <c r="K727" s="2">
        <v>472766</v>
      </c>
      <c r="L727" s="2">
        <v>98670</v>
      </c>
      <c r="M727" s="2">
        <v>374096</v>
      </c>
    </row>
    <row r="728" spans="1:13">
      <c r="A728" s="2" t="s">
        <v>803</v>
      </c>
      <c r="B728" s="2" t="s">
        <v>38</v>
      </c>
      <c r="C728" s="2" t="s">
        <v>59</v>
      </c>
      <c r="D728" s="2" t="s">
        <v>60</v>
      </c>
      <c r="E728" s="3">
        <v>45653</v>
      </c>
      <c r="F728" s="2" t="str">
        <f t="shared" si="11"/>
        <v>Dec</v>
      </c>
      <c r="G728" s="2">
        <v>284</v>
      </c>
      <c r="H728" s="2" t="s">
        <v>28</v>
      </c>
      <c r="I728" s="2">
        <v>180</v>
      </c>
      <c r="J728" s="2">
        <v>113</v>
      </c>
      <c r="K728" s="2">
        <v>2145046</v>
      </c>
      <c r="L728" s="2">
        <v>329960</v>
      </c>
      <c r="M728" s="2">
        <v>1815086</v>
      </c>
    </row>
    <row r="729" spans="1:13">
      <c r="A729" s="2" t="s">
        <v>804</v>
      </c>
      <c r="B729" s="2" t="s">
        <v>44</v>
      </c>
      <c r="C729" s="2" t="s">
        <v>60</v>
      </c>
      <c r="D729" s="2" t="s">
        <v>59</v>
      </c>
      <c r="E729" s="3">
        <v>45654</v>
      </c>
      <c r="F729" s="2" t="str">
        <f t="shared" si="11"/>
        <v>Dec</v>
      </c>
      <c r="G729" s="2">
        <v>310</v>
      </c>
      <c r="H729" s="2" t="s">
        <v>32</v>
      </c>
      <c r="I729" s="2">
        <v>190</v>
      </c>
      <c r="J729" s="2">
        <v>167</v>
      </c>
      <c r="K729" s="2">
        <v>2938756</v>
      </c>
      <c r="L729" s="2">
        <v>509350</v>
      </c>
      <c r="M729" s="2">
        <v>2429406</v>
      </c>
    </row>
    <row r="730" spans="1:13">
      <c r="A730" s="2" t="s">
        <v>805</v>
      </c>
      <c r="B730" s="2" t="s">
        <v>48</v>
      </c>
      <c r="C730" s="2" t="s">
        <v>61</v>
      </c>
      <c r="D730" s="2" t="s">
        <v>63</v>
      </c>
      <c r="E730" s="3">
        <v>45655</v>
      </c>
      <c r="F730" s="2" t="str">
        <f t="shared" si="11"/>
        <v>Dec</v>
      </c>
      <c r="G730" s="2">
        <v>392</v>
      </c>
      <c r="H730" s="2" t="s">
        <v>29</v>
      </c>
      <c r="I730" s="2">
        <v>200</v>
      </c>
      <c r="J730" s="2">
        <v>185</v>
      </c>
      <c r="K730" s="2">
        <v>3830182</v>
      </c>
      <c r="L730" s="2">
        <v>640100</v>
      </c>
      <c r="M730" s="2">
        <v>3190082</v>
      </c>
    </row>
    <row r="731" spans="1:13">
      <c r="A731" s="2" t="s">
        <v>806</v>
      </c>
      <c r="B731" s="2" t="s">
        <v>10</v>
      </c>
      <c r="C731" s="2" t="s">
        <v>63</v>
      </c>
      <c r="D731" s="2" t="s">
        <v>61</v>
      </c>
      <c r="E731" s="3">
        <v>45656</v>
      </c>
      <c r="F731" s="2" t="str">
        <f t="shared" si="11"/>
        <v>Dec</v>
      </c>
      <c r="G731" s="2">
        <v>377</v>
      </c>
      <c r="H731" s="2" t="s">
        <v>33</v>
      </c>
      <c r="I731" s="2">
        <v>260</v>
      </c>
      <c r="J731" s="2">
        <v>213</v>
      </c>
      <c r="K731" s="2">
        <v>5978071</v>
      </c>
      <c r="L731" s="2">
        <v>721005</v>
      </c>
      <c r="M731" s="2">
        <v>5257066</v>
      </c>
    </row>
    <row r="732" spans="1:13">
      <c r="A732" s="2" t="s">
        <v>807</v>
      </c>
      <c r="B732" s="2" t="s">
        <v>2</v>
      </c>
      <c r="C732" s="2" t="s">
        <v>58</v>
      </c>
      <c r="D732" s="2" t="s">
        <v>60</v>
      </c>
      <c r="E732" s="3">
        <v>45292</v>
      </c>
      <c r="F732" s="2" t="str">
        <f t="shared" si="11"/>
        <v>Jan</v>
      </c>
      <c r="G732" s="2">
        <v>377</v>
      </c>
      <c r="H732" s="2" t="s">
        <v>30</v>
      </c>
      <c r="I732" s="2">
        <v>500</v>
      </c>
      <c r="J732" s="2">
        <v>473</v>
      </c>
      <c r="K732" s="2">
        <v>7912807</v>
      </c>
      <c r="L732" s="2">
        <v>1601105</v>
      </c>
      <c r="M732" s="2">
        <v>6311702</v>
      </c>
    </row>
    <row r="733" spans="1:13">
      <c r="A733" s="2" t="s">
        <v>808</v>
      </c>
      <c r="B733" s="2" t="s">
        <v>43</v>
      </c>
      <c r="C733" s="2" t="s">
        <v>60</v>
      </c>
      <c r="D733" s="2" t="s">
        <v>58</v>
      </c>
      <c r="E733" s="3">
        <v>45293</v>
      </c>
      <c r="F733" s="2" t="str">
        <f t="shared" si="11"/>
        <v>Jan</v>
      </c>
      <c r="G733" s="2">
        <v>132</v>
      </c>
      <c r="H733" s="2" t="s">
        <v>31</v>
      </c>
      <c r="I733" s="2">
        <v>72</v>
      </c>
      <c r="J733" s="2">
        <v>57</v>
      </c>
      <c r="K733" s="2">
        <v>470109</v>
      </c>
      <c r="L733" s="2">
        <v>123120</v>
      </c>
      <c r="M733" s="2">
        <v>346989</v>
      </c>
    </row>
    <row r="734" spans="1:13">
      <c r="A734" s="2" t="s">
        <v>809</v>
      </c>
      <c r="B734" s="2" t="s">
        <v>40</v>
      </c>
      <c r="C734" s="2" t="s">
        <v>59</v>
      </c>
      <c r="D734" s="2" t="s">
        <v>62</v>
      </c>
      <c r="E734" s="3">
        <v>45294</v>
      </c>
      <c r="F734" s="2" t="str">
        <f t="shared" si="11"/>
        <v>Jan</v>
      </c>
      <c r="G734" s="2">
        <v>120</v>
      </c>
      <c r="H734" s="2" t="s">
        <v>28</v>
      </c>
      <c r="I734" s="2">
        <v>180</v>
      </c>
      <c r="J734" s="2">
        <v>169</v>
      </c>
      <c r="K734" s="2">
        <v>895736</v>
      </c>
      <c r="L734" s="2">
        <v>709800</v>
      </c>
      <c r="M734" s="2">
        <v>185936</v>
      </c>
    </row>
    <row r="735" spans="1:13">
      <c r="A735" s="2" t="s">
        <v>810</v>
      </c>
      <c r="B735" s="2" t="s">
        <v>51</v>
      </c>
      <c r="C735" s="2" t="s">
        <v>62</v>
      </c>
      <c r="D735" s="2" t="s">
        <v>59</v>
      </c>
      <c r="E735" s="3">
        <v>45295</v>
      </c>
      <c r="F735" s="2" t="str">
        <f t="shared" si="11"/>
        <v>Jan</v>
      </c>
      <c r="G735" s="2">
        <v>166</v>
      </c>
      <c r="H735" s="2" t="s">
        <v>32</v>
      </c>
      <c r="I735" s="2">
        <v>190</v>
      </c>
      <c r="J735" s="2">
        <v>115</v>
      </c>
      <c r="K735" s="2">
        <v>1593111</v>
      </c>
      <c r="L735" s="2">
        <v>535900</v>
      </c>
      <c r="M735" s="2">
        <v>1057211</v>
      </c>
    </row>
    <row r="736" spans="1:13">
      <c r="A736" s="2" t="s">
        <v>811</v>
      </c>
      <c r="B736" s="2" t="s">
        <v>47</v>
      </c>
      <c r="C736" s="2" t="s">
        <v>61</v>
      </c>
      <c r="D736" s="2" t="s">
        <v>62</v>
      </c>
      <c r="E736" s="3">
        <v>45296</v>
      </c>
      <c r="F736" s="2" t="str">
        <f t="shared" si="11"/>
        <v>Jan</v>
      </c>
      <c r="G736" s="2">
        <v>277</v>
      </c>
      <c r="H736" s="2" t="s">
        <v>29</v>
      </c>
      <c r="I736" s="2">
        <v>200</v>
      </c>
      <c r="J736" s="2">
        <v>156</v>
      </c>
      <c r="K736" s="2">
        <v>2525569</v>
      </c>
      <c r="L736" s="2">
        <v>450060</v>
      </c>
      <c r="M736" s="2">
        <v>2075509</v>
      </c>
    </row>
    <row r="737" spans="1:13">
      <c r="A737" s="2" t="s">
        <v>812</v>
      </c>
      <c r="B737" s="2" t="s">
        <v>8</v>
      </c>
      <c r="C737" s="2" t="s">
        <v>62</v>
      </c>
      <c r="D737" s="2" t="s">
        <v>61</v>
      </c>
      <c r="E737" s="3">
        <v>45297</v>
      </c>
      <c r="F737" s="2" t="str">
        <f t="shared" si="11"/>
        <v>Jan</v>
      </c>
      <c r="G737" s="2">
        <v>424</v>
      </c>
      <c r="H737" s="2" t="s">
        <v>33</v>
      </c>
      <c r="I737" s="2">
        <v>260</v>
      </c>
      <c r="J737" s="2">
        <v>161</v>
      </c>
      <c r="K737" s="2">
        <v>6808670</v>
      </c>
      <c r="L737" s="2">
        <v>582820</v>
      </c>
      <c r="M737" s="2">
        <v>6225850</v>
      </c>
    </row>
    <row r="738" spans="1:13">
      <c r="A738" s="2" t="s">
        <v>813</v>
      </c>
      <c r="B738" s="2" t="s">
        <v>4</v>
      </c>
      <c r="C738" s="2" t="s">
        <v>58</v>
      </c>
      <c r="D738" s="2" t="s">
        <v>66</v>
      </c>
      <c r="E738" s="3">
        <v>45298</v>
      </c>
      <c r="F738" s="2" t="str">
        <f t="shared" si="11"/>
        <v>Jan</v>
      </c>
      <c r="G738" s="2">
        <v>248</v>
      </c>
      <c r="H738" s="2" t="s">
        <v>30</v>
      </c>
      <c r="I738" s="2">
        <v>500</v>
      </c>
      <c r="J738" s="2">
        <v>447</v>
      </c>
      <c r="K738" s="2">
        <v>4648612</v>
      </c>
      <c r="L738" s="2">
        <v>2449560</v>
      </c>
      <c r="M738" s="2">
        <v>2199052</v>
      </c>
    </row>
    <row r="739" spans="1:13">
      <c r="A739" s="2" t="s">
        <v>814</v>
      </c>
      <c r="B739" s="2" t="s">
        <v>54</v>
      </c>
      <c r="C739" s="2" t="s">
        <v>66</v>
      </c>
      <c r="D739" s="2" t="s">
        <v>58</v>
      </c>
      <c r="E739" s="3">
        <v>45299</v>
      </c>
      <c r="F739" s="2" t="str">
        <f t="shared" si="11"/>
        <v>Jan</v>
      </c>
      <c r="G739" s="2">
        <v>78</v>
      </c>
      <c r="H739" s="2" t="s">
        <v>31</v>
      </c>
      <c r="I739" s="2">
        <v>72</v>
      </c>
      <c r="J739" s="2">
        <v>54</v>
      </c>
      <c r="K739" s="2">
        <v>296879</v>
      </c>
      <c r="L739" s="2">
        <v>204120</v>
      </c>
      <c r="M739" s="2">
        <v>92759</v>
      </c>
    </row>
    <row r="740" spans="1:13">
      <c r="A740" s="2" t="s">
        <v>815</v>
      </c>
      <c r="B740" s="2" t="s">
        <v>42</v>
      </c>
      <c r="C740" s="2" t="s">
        <v>59</v>
      </c>
      <c r="D740" s="2" t="s">
        <v>66</v>
      </c>
      <c r="E740" s="3">
        <v>45300</v>
      </c>
      <c r="F740" s="2" t="str">
        <f t="shared" si="11"/>
        <v>Jan</v>
      </c>
      <c r="G740" s="2">
        <v>159</v>
      </c>
      <c r="H740" s="2" t="s">
        <v>28</v>
      </c>
      <c r="I740" s="2">
        <v>180</v>
      </c>
      <c r="J740" s="2">
        <v>116</v>
      </c>
      <c r="K740" s="2">
        <v>1165305</v>
      </c>
      <c r="L740" s="2">
        <v>532440</v>
      </c>
      <c r="M740" s="2">
        <v>632865</v>
      </c>
    </row>
    <row r="741" spans="1:13">
      <c r="A741" s="2" t="s">
        <v>816</v>
      </c>
      <c r="B741" s="2" t="s">
        <v>55</v>
      </c>
      <c r="C741" s="2" t="s">
        <v>66</v>
      </c>
      <c r="D741" s="2" t="s">
        <v>59</v>
      </c>
      <c r="E741" s="3">
        <v>45301</v>
      </c>
      <c r="F741" s="2" t="str">
        <f t="shared" si="11"/>
        <v>Jan</v>
      </c>
      <c r="G741" s="2">
        <v>290</v>
      </c>
      <c r="H741" s="2" t="s">
        <v>32</v>
      </c>
      <c r="I741" s="2">
        <v>190</v>
      </c>
      <c r="J741" s="2">
        <v>174</v>
      </c>
      <c r="K741" s="2">
        <v>2823701</v>
      </c>
      <c r="L741" s="2">
        <v>1026600</v>
      </c>
      <c r="M741" s="2">
        <v>1797101</v>
      </c>
    </row>
    <row r="742" spans="1:13">
      <c r="A742" s="2" t="s">
        <v>817</v>
      </c>
      <c r="B742" s="2" t="s">
        <v>50</v>
      </c>
      <c r="C742" s="2" t="s">
        <v>61</v>
      </c>
      <c r="D742" s="2" t="s">
        <v>65</v>
      </c>
      <c r="E742" s="3">
        <v>45302</v>
      </c>
      <c r="F742" s="2" t="str">
        <f t="shared" si="11"/>
        <v>Jan</v>
      </c>
      <c r="G742" s="2">
        <v>359</v>
      </c>
      <c r="H742" s="2" t="s">
        <v>29</v>
      </c>
      <c r="I742" s="2">
        <v>200</v>
      </c>
      <c r="J742" s="2">
        <v>171</v>
      </c>
      <c r="K742" s="2">
        <v>3591606</v>
      </c>
      <c r="L742" s="2">
        <v>1126890</v>
      </c>
      <c r="M742" s="2">
        <v>2464716</v>
      </c>
    </row>
    <row r="743" spans="1:13">
      <c r="A743" s="2" t="s">
        <v>818</v>
      </c>
      <c r="B743" s="2" t="s">
        <v>11</v>
      </c>
      <c r="C743" s="2" t="s">
        <v>65</v>
      </c>
      <c r="D743" s="2" t="s">
        <v>61</v>
      </c>
      <c r="E743" s="3">
        <v>45303</v>
      </c>
      <c r="F743" s="2" t="str">
        <f t="shared" si="11"/>
        <v>Jan</v>
      </c>
      <c r="G743" s="2">
        <v>361</v>
      </c>
      <c r="H743" s="2" t="s">
        <v>33</v>
      </c>
      <c r="I743" s="2">
        <v>260</v>
      </c>
      <c r="J743" s="2">
        <v>176</v>
      </c>
      <c r="K743" s="2">
        <v>5015751</v>
      </c>
      <c r="L743" s="2">
        <v>1163360</v>
      </c>
      <c r="M743" s="2">
        <v>3852391</v>
      </c>
    </row>
    <row r="744" spans="1:13">
      <c r="A744" s="2" t="s">
        <v>819</v>
      </c>
      <c r="B744" s="2" t="s">
        <v>6</v>
      </c>
      <c r="C744" s="2" t="s">
        <v>59</v>
      </c>
      <c r="D744" s="2" t="s">
        <v>65</v>
      </c>
      <c r="E744" s="3">
        <v>45304</v>
      </c>
      <c r="F744" s="2" t="str">
        <f t="shared" si="11"/>
        <v>Jan</v>
      </c>
      <c r="G744" s="2">
        <v>236</v>
      </c>
      <c r="H744" s="2" t="s">
        <v>30</v>
      </c>
      <c r="I744" s="2">
        <v>500</v>
      </c>
      <c r="J744" s="2">
        <v>431</v>
      </c>
      <c r="K744" s="2">
        <v>4868165</v>
      </c>
      <c r="L744" s="2">
        <v>2310160</v>
      </c>
      <c r="M744" s="2">
        <v>2558005</v>
      </c>
    </row>
    <row r="745" spans="1:13">
      <c r="A745" s="2" t="s">
        <v>820</v>
      </c>
      <c r="B745" s="2" t="s">
        <v>53</v>
      </c>
      <c r="C745" s="2" t="s">
        <v>65</v>
      </c>
      <c r="D745" s="2" t="s">
        <v>59</v>
      </c>
      <c r="E745" s="3">
        <v>45305</v>
      </c>
      <c r="F745" s="2" t="str">
        <f t="shared" si="11"/>
        <v>Jan</v>
      </c>
      <c r="G745" s="2">
        <v>65</v>
      </c>
      <c r="H745" s="2" t="s">
        <v>31</v>
      </c>
      <c r="I745" s="2">
        <v>72</v>
      </c>
      <c r="J745" s="2">
        <v>43</v>
      </c>
      <c r="K745" s="2">
        <v>217614</v>
      </c>
      <c r="L745" s="2">
        <v>156950</v>
      </c>
      <c r="M745" s="2">
        <v>60664</v>
      </c>
    </row>
    <row r="746" spans="1:13">
      <c r="A746" s="2" t="s">
        <v>821</v>
      </c>
      <c r="B746" s="2" t="s">
        <v>49</v>
      </c>
      <c r="C746" s="2" t="s">
        <v>61</v>
      </c>
      <c r="D746" s="2" t="s">
        <v>64</v>
      </c>
      <c r="E746" s="3">
        <v>45306</v>
      </c>
      <c r="F746" s="2" t="str">
        <f t="shared" si="11"/>
        <v>Jan</v>
      </c>
      <c r="G746" s="2">
        <v>165</v>
      </c>
      <c r="H746" s="2" t="s">
        <v>28</v>
      </c>
      <c r="I746" s="2">
        <v>180</v>
      </c>
      <c r="J746" s="2">
        <v>125</v>
      </c>
      <c r="K746" s="2">
        <v>1257090</v>
      </c>
      <c r="L746" s="2">
        <v>581250</v>
      </c>
      <c r="M746" s="2">
        <v>675840</v>
      </c>
    </row>
    <row r="747" spans="1:13">
      <c r="A747" s="2" t="s">
        <v>822</v>
      </c>
      <c r="B747" s="2" t="s">
        <v>52</v>
      </c>
      <c r="C747" s="2" t="s">
        <v>64</v>
      </c>
      <c r="D747" s="2" t="s">
        <v>61</v>
      </c>
      <c r="E747" s="3">
        <v>45307</v>
      </c>
      <c r="F747" s="2" t="str">
        <f t="shared" si="11"/>
        <v>Jan</v>
      </c>
      <c r="G747" s="2">
        <v>222</v>
      </c>
      <c r="H747" s="2" t="s">
        <v>32</v>
      </c>
      <c r="I747" s="2">
        <v>190</v>
      </c>
      <c r="J747" s="2">
        <v>132</v>
      </c>
      <c r="K747" s="2">
        <v>2112735</v>
      </c>
      <c r="L747" s="2">
        <v>689040</v>
      </c>
      <c r="M747" s="2">
        <v>1423695</v>
      </c>
    </row>
    <row r="748" spans="1:13">
      <c r="A748" s="2" t="s">
        <v>823</v>
      </c>
      <c r="B748" s="2" t="s">
        <v>37</v>
      </c>
      <c r="C748" s="2" t="s">
        <v>58</v>
      </c>
      <c r="D748" s="2" t="s">
        <v>62</v>
      </c>
      <c r="E748" s="3">
        <v>45308</v>
      </c>
      <c r="F748" s="2" t="str">
        <f t="shared" si="11"/>
        <v>Jan</v>
      </c>
      <c r="G748" s="2">
        <v>261</v>
      </c>
      <c r="H748" s="2" t="s">
        <v>29</v>
      </c>
      <c r="I748" s="2">
        <v>200</v>
      </c>
      <c r="J748" s="2">
        <v>150</v>
      </c>
      <c r="K748" s="2">
        <v>2650481</v>
      </c>
      <c r="L748" s="2">
        <v>841500</v>
      </c>
      <c r="M748" s="2">
        <v>1808981</v>
      </c>
    </row>
    <row r="749" spans="1:13">
      <c r="A749" s="2" t="s">
        <v>824</v>
      </c>
      <c r="B749" s="2" t="s">
        <v>7</v>
      </c>
      <c r="C749" s="2" t="s">
        <v>62</v>
      </c>
      <c r="D749" s="2" t="s">
        <v>58</v>
      </c>
      <c r="E749" s="3">
        <v>45309</v>
      </c>
      <c r="F749" s="2" t="str">
        <f t="shared" si="11"/>
        <v>Jan</v>
      </c>
      <c r="G749" s="2">
        <v>249</v>
      </c>
      <c r="H749" s="2" t="s">
        <v>33</v>
      </c>
      <c r="I749" s="2">
        <v>260</v>
      </c>
      <c r="J749" s="2">
        <v>161</v>
      </c>
      <c r="K749" s="2">
        <v>3725715</v>
      </c>
      <c r="L749" s="2">
        <v>883890</v>
      </c>
      <c r="M749" s="2">
        <v>2841825</v>
      </c>
    </row>
    <row r="750" spans="1:13">
      <c r="A750" s="2" t="s">
        <v>825</v>
      </c>
      <c r="B750" s="2" t="s">
        <v>9</v>
      </c>
      <c r="C750" s="2" t="s">
        <v>63</v>
      </c>
      <c r="D750" s="2" t="s">
        <v>59</v>
      </c>
      <c r="E750" s="3">
        <v>45310</v>
      </c>
      <c r="F750" s="2" t="str">
        <f t="shared" si="11"/>
        <v>Jan</v>
      </c>
      <c r="G750" s="2">
        <v>363</v>
      </c>
      <c r="H750" s="2" t="s">
        <v>30</v>
      </c>
      <c r="I750" s="2">
        <v>500</v>
      </c>
      <c r="J750" s="2">
        <v>308</v>
      </c>
      <c r="K750" s="2">
        <v>7433803</v>
      </c>
      <c r="L750" s="2">
        <v>1021020</v>
      </c>
      <c r="M750" s="2">
        <v>6412783</v>
      </c>
    </row>
    <row r="751" spans="1:13">
      <c r="A751" s="2" t="s">
        <v>826</v>
      </c>
      <c r="B751" s="2" t="s">
        <v>41</v>
      </c>
      <c r="C751" s="2" t="s">
        <v>59</v>
      </c>
      <c r="D751" s="2" t="s">
        <v>63</v>
      </c>
      <c r="E751" s="3">
        <v>45311</v>
      </c>
      <c r="F751" s="2" t="str">
        <f t="shared" si="11"/>
        <v>Jan</v>
      </c>
      <c r="G751" s="2">
        <v>136</v>
      </c>
      <c r="H751" s="2" t="s">
        <v>31</v>
      </c>
      <c r="I751" s="2">
        <v>72</v>
      </c>
      <c r="J751" s="2">
        <v>46</v>
      </c>
      <c r="K751" s="2">
        <v>479086</v>
      </c>
      <c r="L751" s="2">
        <v>100280</v>
      </c>
      <c r="M751" s="2">
        <v>378806</v>
      </c>
    </row>
    <row r="752" spans="1:13">
      <c r="A752" s="2" t="s">
        <v>827</v>
      </c>
      <c r="B752" s="2" t="s">
        <v>39</v>
      </c>
      <c r="C752" s="2" t="s">
        <v>59</v>
      </c>
      <c r="D752" s="2" t="s">
        <v>61</v>
      </c>
      <c r="E752" s="3">
        <v>45312</v>
      </c>
      <c r="F752" s="2" t="str">
        <f t="shared" si="11"/>
        <v>Jan</v>
      </c>
      <c r="G752" s="2">
        <v>220</v>
      </c>
      <c r="H752" s="2" t="s">
        <v>28</v>
      </c>
      <c r="I752" s="2">
        <v>180</v>
      </c>
      <c r="J752" s="2">
        <v>156</v>
      </c>
      <c r="K752" s="2">
        <v>1614421</v>
      </c>
      <c r="L752" s="2">
        <v>405600</v>
      </c>
      <c r="M752" s="2">
        <v>1208821</v>
      </c>
    </row>
    <row r="753" spans="1:13">
      <c r="A753" s="2" t="s">
        <v>828</v>
      </c>
      <c r="B753" s="2" t="s">
        <v>46</v>
      </c>
      <c r="C753" s="2" t="s">
        <v>61</v>
      </c>
      <c r="D753" s="2" t="s">
        <v>59</v>
      </c>
      <c r="E753" s="3">
        <v>45313</v>
      </c>
      <c r="F753" s="2" t="str">
        <f t="shared" si="11"/>
        <v>Jan</v>
      </c>
      <c r="G753" s="2">
        <v>219</v>
      </c>
      <c r="H753" s="2" t="s">
        <v>32</v>
      </c>
      <c r="I753" s="2">
        <v>190</v>
      </c>
      <c r="J753" s="2">
        <v>158</v>
      </c>
      <c r="K753" s="2">
        <v>2153670</v>
      </c>
      <c r="L753" s="2">
        <v>410010</v>
      </c>
      <c r="M753" s="2">
        <v>1743660</v>
      </c>
    </row>
    <row r="754" spans="1:13">
      <c r="A754" s="2" t="s">
        <v>829</v>
      </c>
      <c r="B754" s="2" t="s">
        <v>45</v>
      </c>
      <c r="C754" s="2" t="s">
        <v>61</v>
      </c>
      <c r="D754" s="2" t="s">
        <v>58</v>
      </c>
      <c r="E754" s="3">
        <v>45314</v>
      </c>
      <c r="F754" s="2" t="str">
        <f t="shared" si="11"/>
        <v>Jan</v>
      </c>
      <c r="G754" s="2">
        <v>222</v>
      </c>
      <c r="H754" s="2" t="s">
        <v>29</v>
      </c>
      <c r="I754" s="2">
        <v>200</v>
      </c>
      <c r="J754" s="2">
        <v>181</v>
      </c>
      <c r="K754" s="2">
        <v>2064056</v>
      </c>
      <c r="L754" s="2">
        <v>472410</v>
      </c>
      <c r="M754" s="2">
        <v>1591646</v>
      </c>
    </row>
    <row r="755" spans="1:13">
      <c r="A755" s="2" t="s">
        <v>830</v>
      </c>
      <c r="B755" s="2" t="s">
        <v>3</v>
      </c>
      <c r="C755" s="2" t="s">
        <v>58</v>
      </c>
      <c r="D755" s="2" t="s">
        <v>61</v>
      </c>
      <c r="E755" s="3">
        <v>45315</v>
      </c>
      <c r="F755" s="2" t="str">
        <f t="shared" si="11"/>
        <v>Jan</v>
      </c>
      <c r="G755" s="2">
        <v>333</v>
      </c>
      <c r="H755" s="2" t="s">
        <v>33</v>
      </c>
      <c r="I755" s="2">
        <v>260</v>
      </c>
      <c r="J755" s="2">
        <v>194</v>
      </c>
      <c r="K755" s="2">
        <v>4755397</v>
      </c>
      <c r="L755" s="2">
        <v>614010</v>
      </c>
      <c r="M755" s="2">
        <v>4141387</v>
      </c>
    </row>
    <row r="756" spans="1:13">
      <c r="A756" s="2" t="s">
        <v>831</v>
      </c>
      <c r="B756" s="2" t="s">
        <v>5</v>
      </c>
      <c r="C756" s="2" t="s">
        <v>59</v>
      </c>
      <c r="D756" s="2" t="s">
        <v>58</v>
      </c>
      <c r="E756" s="3">
        <v>45316</v>
      </c>
      <c r="F756" s="2" t="str">
        <f t="shared" si="11"/>
        <v>Jan</v>
      </c>
      <c r="G756" s="2">
        <v>492</v>
      </c>
      <c r="H756" s="2" t="s">
        <v>30</v>
      </c>
      <c r="I756" s="2">
        <v>500</v>
      </c>
      <c r="J756" s="2">
        <v>386</v>
      </c>
      <c r="K756" s="2">
        <v>10783756</v>
      </c>
      <c r="L756" s="2">
        <v>1528560</v>
      </c>
      <c r="M756" s="2">
        <v>9255196</v>
      </c>
    </row>
    <row r="757" spans="1:13">
      <c r="A757" s="2" t="s">
        <v>832</v>
      </c>
      <c r="B757" s="2" t="s">
        <v>36</v>
      </c>
      <c r="C757" s="2" t="s">
        <v>58</v>
      </c>
      <c r="D757" s="2" t="s">
        <v>59</v>
      </c>
      <c r="E757" s="3">
        <v>45317</v>
      </c>
      <c r="F757" s="2" t="str">
        <f t="shared" si="11"/>
        <v>Jan</v>
      </c>
      <c r="G757" s="2">
        <v>98</v>
      </c>
      <c r="H757" s="2" t="s">
        <v>31</v>
      </c>
      <c r="I757" s="2">
        <v>72</v>
      </c>
      <c r="J757" s="2">
        <v>59</v>
      </c>
      <c r="K757" s="2">
        <v>322289</v>
      </c>
      <c r="L757" s="2">
        <v>117410</v>
      </c>
      <c r="M757" s="2">
        <v>204879</v>
      </c>
    </row>
    <row r="758" spans="1:13">
      <c r="A758" s="2" t="s">
        <v>833</v>
      </c>
      <c r="B758" s="2" t="s">
        <v>38</v>
      </c>
      <c r="C758" s="2" t="s">
        <v>59</v>
      </c>
      <c r="D758" s="2" t="s">
        <v>60</v>
      </c>
      <c r="E758" s="3">
        <v>45318</v>
      </c>
      <c r="F758" s="2" t="str">
        <f t="shared" si="11"/>
        <v>Jan</v>
      </c>
      <c r="G758" s="2">
        <v>275</v>
      </c>
      <c r="H758" s="2" t="s">
        <v>28</v>
      </c>
      <c r="I758" s="2">
        <v>180</v>
      </c>
      <c r="J758" s="2">
        <v>129</v>
      </c>
      <c r="K758" s="2">
        <v>2115827</v>
      </c>
      <c r="L758" s="2">
        <v>370875</v>
      </c>
      <c r="M758" s="2">
        <v>1744952</v>
      </c>
    </row>
    <row r="759" spans="1:13">
      <c r="A759" s="2" t="s">
        <v>834</v>
      </c>
      <c r="B759" s="2" t="s">
        <v>44</v>
      </c>
      <c r="C759" s="2" t="s">
        <v>60</v>
      </c>
      <c r="D759" s="2" t="s">
        <v>59</v>
      </c>
      <c r="E759" s="3">
        <v>45319</v>
      </c>
      <c r="F759" s="2" t="str">
        <f t="shared" si="11"/>
        <v>Jan</v>
      </c>
      <c r="G759" s="2">
        <v>220</v>
      </c>
      <c r="H759" s="2" t="s">
        <v>32</v>
      </c>
      <c r="I759" s="2">
        <v>190</v>
      </c>
      <c r="J759" s="2">
        <v>124</v>
      </c>
      <c r="K759" s="2">
        <v>1871225</v>
      </c>
      <c r="L759" s="2">
        <v>322400</v>
      </c>
      <c r="M759" s="2">
        <v>1548825</v>
      </c>
    </row>
    <row r="760" spans="1:13">
      <c r="A760" s="2" t="s">
        <v>835</v>
      </c>
      <c r="B760" s="2" t="s">
        <v>48</v>
      </c>
      <c r="C760" s="2" t="s">
        <v>61</v>
      </c>
      <c r="D760" s="2" t="s">
        <v>63</v>
      </c>
      <c r="E760" s="3">
        <v>45320</v>
      </c>
      <c r="F760" s="2" t="str">
        <f t="shared" si="11"/>
        <v>Jan</v>
      </c>
      <c r="G760" s="2">
        <v>165</v>
      </c>
      <c r="H760" s="2" t="s">
        <v>29</v>
      </c>
      <c r="I760" s="2">
        <v>200</v>
      </c>
      <c r="J760" s="2">
        <v>159</v>
      </c>
      <c r="K760" s="2">
        <v>1574833</v>
      </c>
      <c r="L760" s="2">
        <v>369675</v>
      </c>
      <c r="M760" s="2">
        <v>1205158</v>
      </c>
    </row>
    <row r="761" spans="1:13">
      <c r="A761" s="2" t="s">
        <v>836</v>
      </c>
      <c r="B761" s="2" t="s">
        <v>10</v>
      </c>
      <c r="C761" s="2" t="s">
        <v>63</v>
      </c>
      <c r="D761" s="2" t="s">
        <v>61</v>
      </c>
      <c r="E761" s="3">
        <v>45321</v>
      </c>
      <c r="F761" s="2" t="str">
        <f t="shared" si="11"/>
        <v>Jan</v>
      </c>
      <c r="G761" s="2">
        <v>240</v>
      </c>
      <c r="H761" s="2" t="s">
        <v>33</v>
      </c>
      <c r="I761" s="2">
        <v>260</v>
      </c>
      <c r="J761" s="2">
        <v>176</v>
      </c>
      <c r="K761" s="2">
        <v>3530864</v>
      </c>
      <c r="L761" s="2">
        <v>475200</v>
      </c>
      <c r="M761" s="2">
        <v>3055664</v>
      </c>
    </row>
    <row r="762" spans="1:13">
      <c r="A762" s="2" t="s">
        <v>837</v>
      </c>
      <c r="B762" s="2" t="s">
        <v>2</v>
      </c>
      <c r="C762" s="2" t="s">
        <v>58</v>
      </c>
      <c r="D762" s="2" t="s">
        <v>60</v>
      </c>
      <c r="E762" s="3">
        <v>45322</v>
      </c>
      <c r="F762" s="2" t="str">
        <f t="shared" si="11"/>
        <v>Jan</v>
      </c>
      <c r="G762" s="2">
        <v>222</v>
      </c>
      <c r="H762" s="2" t="s">
        <v>30</v>
      </c>
      <c r="I762" s="2">
        <v>500</v>
      </c>
      <c r="J762" s="2">
        <v>311</v>
      </c>
      <c r="K762" s="2">
        <v>4624557</v>
      </c>
      <c r="L762" s="2">
        <v>811710</v>
      </c>
      <c r="M762" s="2">
        <v>3812847</v>
      </c>
    </row>
    <row r="763" spans="1:13">
      <c r="A763" s="2" t="s">
        <v>838</v>
      </c>
      <c r="B763" s="2" t="s">
        <v>43</v>
      </c>
      <c r="C763" s="2" t="s">
        <v>60</v>
      </c>
      <c r="D763" s="2" t="s">
        <v>58</v>
      </c>
      <c r="E763" s="3">
        <v>45323</v>
      </c>
      <c r="F763" s="2" t="str">
        <f t="shared" si="11"/>
        <v>Feb</v>
      </c>
      <c r="G763" s="2">
        <v>46</v>
      </c>
      <c r="H763" s="2" t="s">
        <v>31</v>
      </c>
      <c r="I763" s="2">
        <v>72</v>
      </c>
      <c r="J763" s="2">
        <v>58</v>
      </c>
      <c r="K763" s="2">
        <v>152181</v>
      </c>
      <c r="L763" s="2">
        <v>100340</v>
      </c>
      <c r="M763" s="2">
        <v>51841</v>
      </c>
    </row>
    <row r="764" spans="1:13">
      <c r="A764" s="2" t="s">
        <v>839</v>
      </c>
      <c r="B764" s="2" t="s">
        <v>40</v>
      </c>
      <c r="C764" s="2" t="s">
        <v>59</v>
      </c>
      <c r="D764" s="2" t="s">
        <v>62</v>
      </c>
      <c r="E764" s="3">
        <v>45324</v>
      </c>
      <c r="F764" s="2" t="str">
        <f t="shared" si="11"/>
        <v>Feb</v>
      </c>
      <c r="G764" s="2">
        <v>157</v>
      </c>
      <c r="H764" s="2" t="s">
        <v>28</v>
      </c>
      <c r="I764" s="2">
        <v>180</v>
      </c>
      <c r="J764" s="2">
        <v>138</v>
      </c>
      <c r="K764" s="2">
        <v>1172042</v>
      </c>
      <c r="L764" s="2">
        <v>630660</v>
      </c>
      <c r="M764" s="2">
        <v>541382</v>
      </c>
    </row>
    <row r="765" spans="1:13">
      <c r="A765" s="2" t="s">
        <v>840</v>
      </c>
      <c r="B765" s="2" t="s">
        <v>51</v>
      </c>
      <c r="C765" s="2" t="s">
        <v>62</v>
      </c>
      <c r="D765" s="2" t="s">
        <v>59</v>
      </c>
      <c r="E765" s="3">
        <v>45325</v>
      </c>
      <c r="F765" s="2" t="str">
        <f t="shared" si="11"/>
        <v>Feb</v>
      </c>
      <c r="G765" s="2">
        <v>61</v>
      </c>
      <c r="H765" s="2" t="s">
        <v>32</v>
      </c>
      <c r="I765" s="2">
        <v>190</v>
      </c>
      <c r="J765" s="2">
        <v>158</v>
      </c>
      <c r="K765" s="2">
        <v>517826</v>
      </c>
      <c r="L765" s="2">
        <v>570380</v>
      </c>
      <c r="M765" s="2">
        <v>-52554</v>
      </c>
    </row>
    <row r="766" spans="1:13">
      <c r="A766" s="2" t="s">
        <v>841</v>
      </c>
      <c r="B766" s="2" t="s">
        <v>47</v>
      </c>
      <c r="C766" s="2" t="s">
        <v>61</v>
      </c>
      <c r="D766" s="2" t="s">
        <v>62</v>
      </c>
      <c r="E766" s="3">
        <v>45326</v>
      </c>
      <c r="F766" s="2" t="str">
        <f t="shared" si="11"/>
        <v>Feb</v>
      </c>
      <c r="G766" s="2">
        <v>177</v>
      </c>
      <c r="H766" s="2" t="s">
        <v>29</v>
      </c>
      <c r="I766" s="2">
        <v>200</v>
      </c>
      <c r="J766" s="2">
        <v>180</v>
      </c>
      <c r="K766" s="2">
        <v>1668102</v>
      </c>
      <c r="L766" s="2">
        <v>429300</v>
      </c>
      <c r="M766" s="2">
        <v>1238802</v>
      </c>
    </row>
    <row r="767" spans="1:13">
      <c r="A767" s="2" t="s">
        <v>842</v>
      </c>
      <c r="B767" s="2" t="s">
        <v>8</v>
      </c>
      <c r="C767" s="2" t="s">
        <v>62</v>
      </c>
      <c r="D767" s="2" t="s">
        <v>61</v>
      </c>
      <c r="E767" s="3">
        <v>45327</v>
      </c>
      <c r="F767" s="2" t="str">
        <f t="shared" si="11"/>
        <v>Feb</v>
      </c>
      <c r="G767" s="2">
        <v>346</v>
      </c>
      <c r="H767" s="2" t="s">
        <v>33</v>
      </c>
      <c r="I767" s="2">
        <v>260</v>
      </c>
      <c r="J767" s="2">
        <v>205</v>
      </c>
      <c r="K767" s="2">
        <v>4735639</v>
      </c>
      <c r="L767" s="2">
        <v>662150</v>
      </c>
      <c r="M767" s="2">
        <v>4073489</v>
      </c>
    </row>
    <row r="768" spans="1:13">
      <c r="A768" s="2" t="s">
        <v>843</v>
      </c>
      <c r="B768" s="2" t="s">
        <v>4</v>
      </c>
      <c r="C768" s="2" t="s">
        <v>58</v>
      </c>
      <c r="D768" s="2" t="s">
        <v>66</v>
      </c>
      <c r="E768" s="3">
        <v>45328</v>
      </c>
      <c r="F768" s="2" t="str">
        <f t="shared" si="11"/>
        <v>Feb</v>
      </c>
      <c r="G768" s="2">
        <v>473</v>
      </c>
      <c r="H768" s="2" t="s">
        <v>30</v>
      </c>
      <c r="I768" s="2">
        <v>500</v>
      </c>
      <c r="J768" s="2">
        <v>441</v>
      </c>
      <c r="K768" s="2">
        <v>9382881</v>
      </c>
      <c r="L768" s="2">
        <v>3408930</v>
      </c>
      <c r="M768" s="2">
        <v>5973951</v>
      </c>
    </row>
    <row r="769" spans="1:13">
      <c r="A769" s="2" t="s">
        <v>844</v>
      </c>
      <c r="B769" s="2" t="s">
        <v>54</v>
      </c>
      <c r="C769" s="2" t="s">
        <v>66</v>
      </c>
      <c r="D769" s="2" t="s">
        <v>58</v>
      </c>
      <c r="E769" s="3">
        <v>45329</v>
      </c>
      <c r="F769" s="2" t="str">
        <f t="shared" si="11"/>
        <v>Feb</v>
      </c>
      <c r="G769" s="2">
        <v>93</v>
      </c>
      <c r="H769" s="2" t="s">
        <v>31</v>
      </c>
      <c r="I769" s="2">
        <v>72</v>
      </c>
      <c r="J769" s="2">
        <v>63</v>
      </c>
      <c r="K769" s="2">
        <v>325321</v>
      </c>
      <c r="L769" s="2">
        <v>247590</v>
      </c>
      <c r="M769" s="2">
        <v>77731</v>
      </c>
    </row>
    <row r="770" spans="1:13">
      <c r="A770" s="2" t="s">
        <v>845</v>
      </c>
      <c r="B770" s="2" t="s">
        <v>42</v>
      </c>
      <c r="C770" s="2" t="s">
        <v>59</v>
      </c>
      <c r="D770" s="2" t="s">
        <v>66</v>
      </c>
      <c r="E770" s="3">
        <v>45330</v>
      </c>
      <c r="F770" s="2" t="str">
        <f t="shared" si="11"/>
        <v>Feb</v>
      </c>
      <c r="G770" s="2">
        <v>91</v>
      </c>
      <c r="H770" s="2" t="s">
        <v>28</v>
      </c>
      <c r="I770" s="2">
        <v>180</v>
      </c>
      <c r="J770" s="2">
        <v>124</v>
      </c>
      <c r="K770" s="2">
        <v>679181</v>
      </c>
      <c r="L770" s="2">
        <v>484840</v>
      </c>
      <c r="M770" s="2">
        <v>194341</v>
      </c>
    </row>
    <row r="771" spans="1:13">
      <c r="A771" s="2" t="s">
        <v>846</v>
      </c>
      <c r="B771" s="2" t="s">
        <v>55</v>
      </c>
      <c r="C771" s="2" t="s">
        <v>66</v>
      </c>
      <c r="D771" s="2" t="s">
        <v>59</v>
      </c>
      <c r="E771" s="3">
        <v>45331</v>
      </c>
      <c r="F771" s="2" t="str">
        <f t="shared" ref="F771:F834" si="12">TEXT(E771,"mmm")</f>
        <v>Feb</v>
      </c>
      <c r="G771" s="2">
        <v>127</v>
      </c>
      <c r="H771" s="2" t="s">
        <v>32</v>
      </c>
      <c r="I771" s="2">
        <v>190</v>
      </c>
      <c r="J771" s="2">
        <v>164</v>
      </c>
      <c r="K771" s="2">
        <v>1147431</v>
      </c>
      <c r="L771" s="2">
        <v>700280</v>
      </c>
      <c r="M771" s="2">
        <v>447151</v>
      </c>
    </row>
    <row r="772" spans="1:13">
      <c r="A772" s="2" t="s">
        <v>847</v>
      </c>
      <c r="B772" s="2" t="s">
        <v>50</v>
      </c>
      <c r="C772" s="2" t="s">
        <v>61</v>
      </c>
      <c r="D772" s="2" t="s">
        <v>65</v>
      </c>
      <c r="E772" s="3">
        <v>45332</v>
      </c>
      <c r="F772" s="2" t="str">
        <f t="shared" si="12"/>
        <v>Feb</v>
      </c>
      <c r="G772" s="2">
        <v>311</v>
      </c>
      <c r="H772" s="2" t="s">
        <v>29</v>
      </c>
      <c r="I772" s="2">
        <v>200</v>
      </c>
      <c r="J772" s="2">
        <v>181</v>
      </c>
      <c r="K772" s="2">
        <v>3178794</v>
      </c>
      <c r="L772" s="2">
        <v>1105910</v>
      </c>
      <c r="M772" s="2">
        <v>2072884</v>
      </c>
    </row>
    <row r="773" spans="1:13">
      <c r="A773" s="2" t="s">
        <v>848</v>
      </c>
      <c r="B773" s="2" t="s">
        <v>11</v>
      </c>
      <c r="C773" s="2" t="s">
        <v>65</v>
      </c>
      <c r="D773" s="2" t="s">
        <v>61</v>
      </c>
      <c r="E773" s="3">
        <v>45333</v>
      </c>
      <c r="F773" s="2" t="str">
        <f t="shared" si="12"/>
        <v>Feb</v>
      </c>
      <c r="G773" s="2">
        <v>271</v>
      </c>
      <c r="H773" s="2" t="s">
        <v>33</v>
      </c>
      <c r="I773" s="2">
        <v>260</v>
      </c>
      <c r="J773" s="2">
        <v>179</v>
      </c>
      <c r="K773" s="2">
        <v>4428116</v>
      </c>
      <c r="L773" s="2">
        <v>1022090</v>
      </c>
      <c r="M773" s="2">
        <v>3406026</v>
      </c>
    </row>
    <row r="774" spans="1:13">
      <c r="A774" s="2" t="s">
        <v>849</v>
      </c>
      <c r="B774" s="2" t="s">
        <v>6</v>
      </c>
      <c r="C774" s="2" t="s">
        <v>59</v>
      </c>
      <c r="D774" s="2" t="s">
        <v>65</v>
      </c>
      <c r="E774" s="3">
        <v>45334</v>
      </c>
      <c r="F774" s="2" t="str">
        <f t="shared" si="12"/>
        <v>Feb</v>
      </c>
      <c r="G774" s="2">
        <v>347</v>
      </c>
      <c r="H774" s="2" t="s">
        <v>30</v>
      </c>
      <c r="I774" s="2">
        <v>500</v>
      </c>
      <c r="J774" s="2">
        <v>472</v>
      </c>
      <c r="K774" s="2">
        <v>7317553</v>
      </c>
      <c r="L774" s="2">
        <v>3053840</v>
      </c>
      <c r="M774" s="2">
        <v>4263713</v>
      </c>
    </row>
    <row r="775" spans="1:13">
      <c r="A775" s="2" t="s">
        <v>850</v>
      </c>
      <c r="B775" s="2" t="s">
        <v>53</v>
      </c>
      <c r="C775" s="2" t="s">
        <v>65</v>
      </c>
      <c r="D775" s="2" t="s">
        <v>59</v>
      </c>
      <c r="E775" s="3">
        <v>45335</v>
      </c>
      <c r="F775" s="2" t="str">
        <f t="shared" si="12"/>
        <v>Feb</v>
      </c>
      <c r="G775" s="2">
        <v>92</v>
      </c>
      <c r="H775" s="2" t="s">
        <v>31</v>
      </c>
      <c r="I775" s="2">
        <v>72</v>
      </c>
      <c r="J775" s="2">
        <v>57</v>
      </c>
      <c r="K775" s="2">
        <v>295863</v>
      </c>
      <c r="L775" s="2">
        <v>223440</v>
      </c>
      <c r="M775" s="2">
        <v>72423</v>
      </c>
    </row>
    <row r="776" spans="1:13">
      <c r="A776" s="2" t="s">
        <v>851</v>
      </c>
      <c r="B776" s="2" t="s">
        <v>49</v>
      </c>
      <c r="C776" s="2" t="s">
        <v>61</v>
      </c>
      <c r="D776" s="2" t="s">
        <v>64</v>
      </c>
      <c r="E776" s="3">
        <v>45336</v>
      </c>
      <c r="F776" s="2" t="str">
        <f t="shared" si="12"/>
        <v>Feb</v>
      </c>
      <c r="G776" s="2">
        <v>190</v>
      </c>
      <c r="H776" s="2" t="s">
        <v>28</v>
      </c>
      <c r="I776" s="2">
        <v>180</v>
      </c>
      <c r="J776" s="2">
        <v>165</v>
      </c>
      <c r="K776" s="2">
        <v>1531765</v>
      </c>
      <c r="L776" s="2">
        <v>808500</v>
      </c>
      <c r="M776" s="2">
        <v>723265</v>
      </c>
    </row>
    <row r="777" spans="1:13">
      <c r="A777" s="2" t="s">
        <v>852</v>
      </c>
      <c r="B777" s="2" t="s">
        <v>52</v>
      </c>
      <c r="C777" s="2" t="s">
        <v>64</v>
      </c>
      <c r="D777" s="2" t="s">
        <v>61</v>
      </c>
      <c r="E777" s="3">
        <v>45337</v>
      </c>
      <c r="F777" s="2" t="str">
        <f t="shared" si="12"/>
        <v>Feb</v>
      </c>
      <c r="G777" s="2">
        <v>286</v>
      </c>
      <c r="H777" s="2" t="s">
        <v>32</v>
      </c>
      <c r="I777" s="2">
        <v>190</v>
      </c>
      <c r="J777" s="2">
        <v>121</v>
      </c>
      <c r="K777" s="2">
        <v>2654710</v>
      </c>
      <c r="L777" s="2">
        <v>709060</v>
      </c>
      <c r="M777" s="2">
        <v>1945650</v>
      </c>
    </row>
    <row r="778" spans="1:13">
      <c r="A778" s="2" t="s">
        <v>853</v>
      </c>
      <c r="B778" s="2" t="s">
        <v>37</v>
      </c>
      <c r="C778" s="2" t="s">
        <v>58</v>
      </c>
      <c r="D778" s="2" t="s">
        <v>62</v>
      </c>
      <c r="E778" s="3">
        <v>45338</v>
      </c>
      <c r="F778" s="2" t="str">
        <f t="shared" si="12"/>
        <v>Feb</v>
      </c>
      <c r="G778" s="2">
        <v>168</v>
      </c>
      <c r="H778" s="2" t="s">
        <v>29</v>
      </c>
      <c r="I778" s="2">
        <v>200</v>
      </c>
      <c r="J778" s="2">
        <v>147</v>
      </c>
      <c r="K778" s="2">
        <v>1466215</v>
      </c>
      <c r="L778" s="2">
        <v>687960</v>
      </c>
      <c r="M778" s="2">
        <v>778255</v>
      </c>
    </row>
    <row r="779" spans="1:13">
      <c r="A779" s="2" t="s">
        <v>854</v>
      </c>
      <c r="B779" s="2" t="s">
        <v>7</v>
      </c>
      <c r="C779" s="2" t="s">
        <v>62</v>
      </c>
      <c r="D779" s="2" t="s">
        <v>58</v>
      </c>
      <c r="E779" s="3">
        <v>45339</v>
      </c>
      <c r="F779" s="2" t="str">
        <f t="shared" si="12"/>
        <v>Feb</v>
      </c>
      <c r="G779" s="2">
        <v>376</v>
      </c>
      <c r="H779" s="2" t="s">
        <v>33</v>
      </c>
      <c r="I779" s="2">
        <v>260</v>
      </c>
      <c r="J779" s="2">
        <v>243</v>
      </c>
      <c r="K779" s="2">
        <v>5305848</v>
      </c>
      <c r="L779" s="2">
        <v>1642680</v>
      </c>
      <c r="M779" s="2">
        <v>3663168</v>
      </c>
    </row>
    <row r="780" spans="1:13">
      <c r="A780" s="2" t="s">
        <v>855</v>
      </c>
      <c r="B780" s="2" t="s">
        <v>9</v>
      </c>
      <c r="C780" s="2" t="s">
        <v>63</v>
      </c>
      <c r="D780" s="2" t="s">
        <v>59</v>
      </c>
      <c r="E780" s="3">
        <v>45340</v>
      </c>
      <c r="F780" s="2" t="str">
        <f t="shared" si="12"/>
        <v>Feb</v>
      </c>
      <c r="G780" s="2">
        <v>253</v>
      </c>
      <c r="H780" s="2" t="s">
        <v>30</v>
      </c>
      <c r="I780" s="2">
        <v>500</v>
      </c>
      <c r="J780" s="2">
        <v>316</v>
      </c>
      <c r="K780" s="2">
        <v>4914951</v>
      </c>
      <c r="L780" s="2">
        <v>873740</v>
      </c>
      <c r="M780" s="2">
        <v>4041211</v>
      </c>
    </row>
    <row r="781" spans="1:13">
      <c r="A781" s="2" t="s">
        <v>856</v>
      </c>
      <c r="B781" s="2" t="s">
        <v>41</v>
      </c>
      <c r="C781" s="2" t="s">
        <v>59</v>
      </c>
      <c r="D781" s="2" t="s">
        <v>63</v>
      </c>
      <c r="E781" s="3">
        <v>45341</v>
      </c>
      <c r="F781" s="2" t="str">
        <f t="shared" si="12"/>
        <v>Feb</v>
      </c>
      <c r="G781" s="2">
        <v>70</v>
      </c>
      <c r="H781" s="2" t="s">
        <v>31</v>
      </c>
      <c r="I781" s="2">
        <v>72</v>
      </c>
      <c r="J781" s="2">
        <v>57</v>
      </c>
      <c r="K781" s="2">
        <v>251594</v>
      </c>
      <c r="L781" s="2">
        <v>105450</v>
      </c>
      <c r="M781" s="2">
        <v>146144</v>
      </c>
    </row>
    <row r="782" spans="1:13">
      <c r="A782" s="2" t="s">
        <v>857</v>
      </c>
      <c r="B782" s="2" t="s">
        <v>39</v>
      </c>
      <c r="C782" s="2" t="s">
        <v>59</v>
      </c>
      <c r="D782" s="2" t="s">
        <v>61</v>
      </c>
      <c r="E782" s="3">
        <v>45342</v>
      </c>
      <c r="F782" s="2" t="str">
        <f t="shared" si="12"/>
        <v>Feb</v>
      </c>
      <c r="G782" s="2">
        <v>114</v>
      </c>
      <c r="H782" s="2" t="s">
        <v>28</v>
      </c>
      <c r="I782" s="2">
        <v>180</v>
      </c>
      <c r="J782" s="2">
        <v>148</v>
      </c>
      <c r="K782" s="2">
        <v>856521</v>
      </c>
      <c r="L782" s="2">
        <v>306360</v>
      </c>
      <c r="M782" s="2">
        <v>550161</v>
      </c>
    </row>
    <row r="783" spans="1:13">
      <c r="A783" s="2" t="s">
        <v>858</v>
      </c>
      <c r="B783" s="2" t="s">
        <v>46</v>
      </c>
      <c r="C783" s="2" t="s">
        <v>61</v>
      </c>
      <c r="D783" s="2" t="s">
        <v>59</v>
      </c>
      <c r="E783" s="3">
        <v>45343</v>
      </c>
      <c r="F783" s="2" t="str">
        <f t="shared" si="12"/>
        <v>Feb</v>
      </c>
      <c r="G783" s="2">
        <v>297</v>
      </c>
      <c r="H783" s="2" t="s">
        <v>32</v>
      </c>
      <c r="I783" s="2">
        <v>190</v>
      </c>
      <c r="J783" s="2">
        <v>149</v>
      </c>
      <c r="K783" s="2">
        <v>2490142</v>
      </c>
      <c r="L783" s="2">
        <v>444765</v>
      </c>
      <c r="M783" s="2">
        <v>2045377</v>
      </c>
    </row>
    <row r="784" spans="1:13">
      <c r="A784" s="2" t="s">
        <v>859</v>
      </c>
      <c r="B784" s="2" t="s">
        <v>45</v>
      </c>
      <c r="C784" s="2" t="s">
        <v>61</v>
      </c>
      <c r="D784" s="2" t="s">
        <v>58</v>
      </c>
      <c r="E784" s="3">
        <v>45344</v>
      </c>
      <c r="F784" s="2" t="str">
        <f t="shared" si="12"/>
        <v>Feb</v>
      </c>
      <c r="G784" s="2">
        <v>347</v>
      </c>
      <c r="H784" s="2" t="s">
        <v>29</v>
      </c>
      <c r="I784" s="2">
        <v>200</v>
      </c>
      <c r="J784" s="2">
        <v>131</v>
      </c>
      <c r="K784" s="2">
        <v>3371312</v>
      </c>
      <c r="L784" s="2">
        <v>423785</v>
      </c>
      <c r="M784" s="2">
        <v>2947527</v>
      </c>
    </row>
    <row r="785" spans="1:13">
      <c r="A785" s="2" t="s">
        <v>860</v>
      </c>
      <c r="B785" s="2" t="s">
        <v>3</v>
      </c>
      <c r="C785" s="2" t="s">
        <v>58</v>
      </c>
      <c r="D785" s="2" t="s">
        <v>61</v>
      </c>
      <c r="E785" s="3">
        <v>45345</v>
      </c>
      <c r="F785" s="2" t="str">
        <f t="shared" si="12"/>
        <v>Feb</v>
      </c>
      <c r="G785" s="2">
        <v>544</v>
      </c>
      <c r="H785" s="2" t="s">
        <v>33</v>
      </c>
      <c r="I785" s="2">
        <v>260</v>
      </c>
      <c r="J785" s="2">
        <v>238</v>
      </c>
      <c r="K785" s="2">
        <v>7795908</v>
      </c>
      <c r="L785" s="2">
        <v>1004360</v>
      </c>
      <c r="M785" s="2">
        <v>6791548</v>
      </c>
    </row>
    <row r="786" spans="1:13">
      <c r="A786" s="2" t="s">
        <v>861</v>
      </c>
      <c r="B786" s="2" t="s">
        <v>5</v>
      </c>
      <c r="C786" s="2" t="s">
        <v>59</v>
      </c>
      <c r="D786" s="2" t="s">
        <v>58</v>
      </c>
      <c r="E786" s="3">
        <v>45346</v>
      </c>
      <c r="F786" s="2" t="str">
        <f t="shared" si="12"/>
        <v>Feb</v>
      </c>
      <c r="G786" s="2">
        <v>219</v>
      </c>
      <c r="H786" s="2" t="s">
        <v>30</v>
      </c>
      <c r="I786" s="2">
        <v>500</v>
      </c>
      <c r="J786" s="2">
        <v>388</v>
      </c>
      <c r="K786" s="2">
        <v>4465946</v>
      </c>
      <c r="L786" s="2">
        <v>1006860</v>
      </c>
      <c r="M786" s="2">
        <v>3459086</v>
      </c>
    </row>
    <row r="787" spans="1:13">
      <c r="A787" s="2" t="s">
        <v>862</v>
      </c>
      <c r="B787" s="2" t="s">
        <v>36</v>
      </c>
      <c r="C787" s="2" t="s">
        <v>58</v>
      </c>
      <c r="D787" s="2" t="s">
        <v>59</v>
      </c>
      <c r="E787" s="3">
        <v>45347</v>
      </c>
      <c r="F787" s="2" t="str">
        <f t="shared" si="12"/>
        <v>Feb</v>
      </c>
      <c r="G787" s="2">
        <v>148</v>
      </c>
      <c r="H787" s="2" t="s">
        <v>31</v>
      </c>
      <c r="I787" s="2">
        <v>72</v>
      </c>
      <c r="J787" s="2">
        <v>47</v>
      </c>
      <c r="K787" s="2">
        <v>558817</v>
      </c>
      <c r="L787" s="2">
        <v>105280</v>
      </c>
      <c r="M787" s="2">
        <v>453537</v>
      </c>
    </row>
    <row r="788" spans="1:13">
      <c r="A788" s="2" t="s">
        <v>863</v>
      </c>
      <c r="B788" s="2" t="s">
        <v>38</v>
      </c>
      <c r="C788" s="2" t="s">
        <v>59</v>
      </c>
      <c r="D788" s="2" t="s">
        <v>60</v>
      </c>
      <c r="E788" s="3">
        <v>45348</v>
      </c>
      <c r="F788" s="2" t="str">
        <f t="shared" si="12"/>
        <v>Feb</v>
      </c>
      <c r="G788" s="2">
        <v>183</v>
      </c>
      <c r="H788" s="2" t="s">
        <v>28</v>
      </c>
      <c r="I788" s="2">
        <v>180</v>
      </c>
      <c r="J788" s="2">
        <v>159</v>
      </c>
      <c r="K788" s="2">
        <v>1409293</v>
      </c>
      <c r="L788" s="2">
        <v>383985</v>
      </c>
      <c r="M788" s="2">
        <v>1025308</v>
      </c>
    </row>
    <row r="789" spans="1:13">
      <c r="A789" s="2" t="s">
        <v>864</v>
      </c>
      <c r="B789" s="2" t="s">
        <v>44</v>
      </c>
      <c r="C789" s="2" t="s">
        <v>60</v>
      </c>
      <c r="D789" s="2" t="s">
        <v>59</v>
      </c>
      <c r="E789" s="3">
        <v>45349</v>
      </c>
      <c r="F789" s="2" t="str">
        <f t="shared" si="12"/>
        <v>Feb</v>
      </c>
      <c r="G789" s="2">
        <v>305</v>
      </c>
      <c r="H789" s="2" t="s">
        <v>32</v>
      </c>
      <c r="I789" s="2">
        <v>190</v>
      </c>
      <c r="J789" s="2">
        <v>170</v>
      </c>
      <c r="K789" s="2">
        <v>2535086</v>
      </c>
      <c r="L789" s="2">
        <v>514250</v>
      </c>
      <c r="M789" s="2">
        <v>2020836</v>
      </c>
    </row>
    <row r="790" spans="1:13">
      <c r="A790" s="2" t="s">
        <v>865</v>
      </c>
      <c r="B790" s="2" t="s">
        <v>48</v>
      </c>
      <c r="C790" s="2" t="s">
        <v>61</v>
      </c>
      <c r="D790" s="2" t="s">
        <v>63</v>
      </c>
      <c r="E790" s="3">
        <v>45350</v>
      </c>
      <c r="F790" s="2" t="str">
        <f t="shared" si="12"/>
        <v>Feb</v>
      </c>
      <c r="G790" s="2">
        <v>381</v>
      </c>
      <c r="H790" s="2" t="s">
        <v>29</v>
      </c>
      <c r="I790" s="2">
        <v>200</v>
      </c>
      <c r="J790" s="2">
        <v>142</v>
      </c>
      <c r="K790" s="2">
        <v>3973064</v>
      </c>
      <c r="L790" s="2">
        <v>483510</v>
      </c>
      <c r="M790" s="2">
        <v>3489554</v>
      </c>
    </row>
    <row r="791" spans="1:13">
      <c r="A791" s="2" t="s">
        <v>866</v>
      </c>
      <c r="B791" s="2" t="s">
        <v>10</v>
      </c>
      <c r="C791" s="2" t="s">
        <v>63</v>
      </c>
      <c r="D791" s="2" t="s">
        <v>61</v>
      </c>
      <c r="E791" s="3">
        <v>45351</v>
      </c>
      <c r="F791" s="2" t="str">
        <f t="shared" si="12"/>
        <v>Feb</v>
      </c>
      <c r="G791" s="2">
        <v>288</v>
      </c>
      <c r="H791" s="2" t="s">
        <v>33</v>
      </c>
      <c r="I791" s="2">
        <v>260</v>
      </c>
      <c r="J791" s="2">
        <v>245</v>
      </c>
      <c r="K791" s="2">
        <v>4465082</v>
      </c>
      <c r="L791" s="2">
        <v>720300</v>
      </c>
      <c r="M791" s="2">
        <v>3744782</v>
      </c>
    </row>
    <row r="792" spans="1:13">
      <c r="A792" s="2" t="s">
        <v>867</v>
      </c>
      <c r="B792" s="2" t="s">
        <v>2</v>
      </c>
      <c r="C792" s="2" t="s">
        <v>58</v>
      </c>
      <c r="D792" s="2" t="s">
        <v>60</v>
      </c>
      <c r="E792" s="3">
        <v>45352</v>
      </c>
      <c r="F792" s="2" t="str">
        <f t="shared" si="12"/>
        <v>Mar</v>
      </c>
      <c r="G792" s="2">
        <v>448</v>
      </c>
      <c r="H792" s="2" t="s">
        <v>30</v>
      </c>
      <c r="I792" s="2">
        <v>500</v>
      </c>
      <c r="J792" s="2">
        <v>356</v>
      </c>
      <c r="K792" s="2">
        <v>9850764</v>
      </c>
      <c r="L792" s="2">
        <v>1331440</v>
      </c>
      <c r="M792" s="2">
        <v>8519324</v>
      </c>
    </row>
    <row r="793" spans="1:13">
      <c r="A793" s="2" t="s">
        <v>868</v>
      </c>
      <c r="B793" s="2" t="s">
        <v>43</v>
      </c>
      <c r="C793" s="2" t="s">
        <v>60</v>
      </c>
      <c r="D793" s="2" t="s">
        <v>58</v>
      </c>
      <c r="E793" s="3">
        <v>45353</v>
      </c>
      <c r="F793" s="2" t="str">
        <f t="shared" si="12"/>
        <v>Mar</v>
      </c>
      <c r="G793" s="2">
        <v>124</v>
      </c>
      <c r="H793" s="2" t="s">
        <v>31</v>
      </c>
      <c r="I793" s="2">
        <v>72</v>
      </c>
      <c r="J793" s="2">
        <v>59</v>
      </c>
      <c r="K793" s="2">
        <v>401868</v>
      </c>
      <c r="L793" s="2">
        <v>125080</v>
      </c>
      <c r="M793" s="2">
        <v>276788</v>
      </c>
    </row>
    <row r="794" spans="1:13">
      <c r="A794" s="2" t="s">
        <v>869</v>
      </c>
      <c r="B794" s="2" t="s">
        <v>40</v>
      </c>
      <c r="C794" s="2" t="s">
        <v>59</v>
      </c>
      <c r="D794" s="2" t="s">
        <v>62</v>
      </c>
      <c r="E794" s="3">
        <v>45354</v>
      </c>
      <c r="F794" s="2" t="str">
        <f t="shared" si="12"/>
        <v>Mar</v>
      </c>
      <c r="G794" s="2">
        <v>128</v>
      </c>
      <c r="H794" s="2" t="s">
        <v>28</v>
      </c>
      <c r="I794" s="2">
        <v>180</v>
      </c>
      <c r="J794" s="2">
        <v>143</v>
      </c>
      <c r="K794" s="2">
        <v>1029611</v>
      </c>
      <c r="L794" s="2">
        <v>612040</v>
      </c>
      <c r="M794" s="2">
        <v>417571</v>
      </c>
    </row>
    <row r="795" spans="1:13">
      <c r="A795" s="2" t="s">
        <v>870</v>
      </c>
      <c r="B795" s="2" t="s">
        <v>51</v>
      </c>
      <c r="C795" s="2" t="s">
        <v>62</v>
      </c>
      <c r="D795" s="2" t="s">
        <v>59</v>
      </c>
      <c r="E795" s="3">
        <v>45355</v>
      </c>
      <c r="F795" s="2" t="str">
        <f t="shared" si="12"/>
        <v>Mar</v>
      </c>
      <c r="G795" s="2">
        <v>340</v>
      </c>
      <c r="H795" s="2" t="s">
        <v>32</v>
      </c>
      <c r="I795" s="2">
        <v>190</v>
      </c>
      <c r="J795" s="2">
        <v>168</v>
      </c>
      <c r="K795" s="2">
        <v>2882368</v>
      </c>
      <c r="L795" s="2">
        <v>1075200</v>
      </c>
      <c r="M795" s="2">
        <v>1807168</v>
      </c>
    </row>
    <row r="796" spans="1:13">
      <c r="A796" s="2" t="s">
        <v>871</v>
      </c>
      <c r="B796" s="2" t="s">
        <v>47</v>
      </c>
      <c r="C796" s="2" t="s">
        <v>61</v>
      </c>
      <c r="D796" s="2" t="s">
        <v>62</v>
      </c>
      <c r="E796" s="3">
        <v>45356</v>
      </c>
      <c r="F796" s="2" t="str">
        <f t="shared" si="12"/>
        <v>Mar</v>
      </c>
      <c r="G796" s="2">
        <v>212</v>
      </c>
      <c r="H796" s="2" t="s">
        <v>29</v>
      </c>
      <c r="I796" s="2">
        <v>200</v>
      </c>
      <c r="J796" s="2">
        <v>188</v>
      </c>
      <c r="K796" s="2">
        <v>1948279</v>
      </c>
      <c r="L796" s="2">
        <v>481280</v>
      </c>
      <c r="M796" s="2">
        <v>1466999</v>
      </c>
    </row>
    <row r="797" spans="1:13">
      <c r="A797" s="2" t="s">
        <v>872</v>
      </c>
      <c r="B797" s="2" t="s">
        <v>8</v>
      </c>
      <c r="C797" s="2" t="s">
        <v>62</v>
      </c>
      <c r="D797" s="2" t="s">
        <v>61</v>
      </c>
      <c r="E797" s="3">
        <v>45357</v>
      </c>
      <c r="F797" s="2" t="str">
        <f t="shared" si="12"/>
        <v>Mar</v>
      </c>
      <c r="G797" s="2">
        <v>444</v>
      </c>
      <c r="H797" s="2" t="s">
        <v>33</v>
      </c>
      <c r="I797" s="2">
        <v>260</v>
      </c>
      <c r="J797" s="2">
        <v>230</v>
      </c>
      <c r="K797" s="2">
        <v>6714337</v>
      </c>
      <c r="L797" s="2">
        <v>855600</v>
      </c>
      <c r="M797" s="2">
        <v>5858737</v>
      </c>
    </row>
    <row r="798" spans="1:13">
      <c r="A798" s="2" t="s">
        <v>873</v>
      </c>
      <c r="B798" s="2" t="s">
        <v>4</v>
      </c>
      <c r="C798" s="2" t="s">
        <v>58</v>
      </c>
      <c r="D798" s="2" t="s">
        <v>66</v>
      </c>
      <c r="E798" s="3">
        <v>45358</v>
      </c>
      <c r="F798" s="2" t="str">
        <f t="shared" si="12"/>
        <v>Mar</v>
      </c>
      <c r="G798" s="2">
        <v>390</v>
      </c>
      <c r="H798" s="2" t="s">
        <v>30</v>
      </c>
      <c r="I798" s="2">
        <v>500</v>
      </c>
      <c r="J798" s="2">
        <v>432</v>
      </c>
      <c r="K798" s="2">
        <v>8561382</v>
      </c>
      <c r="L798" s="2">
        <v>2980800</v>
      </c>
      <c r="M798" s="2">
        <v>5580582</v>
      </c>
    </row>
    <row r="799" spans="1:13">
      <c r="A799" s="2" t="s">
        <v>874</v>
      </c>
      <c r="B799" s="2" t="s">
        <v>54</v>
      </c>
      <c r="C799" s="2" t="s">
        <v>66</v>
      </c>
      <c r="D799" s="2" t="s">
        <v>58</v>
      </c>
      <c r="E799" s="3">
        <v>45359</v>
      </c>
      <c r="F799" s="2" t="str">
        <f t="shared" si="12"/>
        <v>Mar</v>
      </c>
      <c r="G799" s="2">
        <v>95</v>
      </c>
      <c r="H799" s="2" t="s">
        <v>31</v>
      </c>
      <c r="I799" s="2">
        <v>72</v>
      </c>
      <c r="J799" s="2">
        <v>63</v>
      </c>
      <c r="K799" s="2">
        <v>329791</v>
      </c>
      <c r="L799" s="2">
        <v>248850</v>
      </c>
      <c r="M799" s="2">
        <v>80941</v>
      </c>
    </row>
    <row r="800" spans="1:13">
      <c r="A800" s="2" t="s">
        <v>875</v>
      </c>
      <c r="B800" s="2" t="s">
        <v>42</v>
      </c>
      <c r="C800" s="2" t="s">
        <v>59</v>
      </c>
      <c r="D800" s="2" t="s">
        <v>66</v>
      </c>
      <c r="E800" s="3">
        <v>45360</v>
      </c>
      <c r="F800" s="2" t="str">
        <f t="shared" si="12"/>
        <v>Mar</v>
      </c>
      <c r="G800" s="2">
        <v>272</v>
      </c>
      <c r="H800" s="2" t="s">
        <v>28</v>
      </c>
      <c r="I800" s="2">
        <v>180</v>
      </c>
      <c r="J800" s="2">
        <v>124</v>
      </c>
      <c r="K800" s="2">
        <v>2314939</v>
      </c>
      <c r="L800" s="2">
        <v>709280</v>
      </c>
      <c r="M800" s="2">
        <v>1605659</v>
      </c>
    </row>
    <row r="801" spans="1:13">
      <c r="A801" s="2" t="s">
        <v>876</v>
      </c>
      <c r="B801" s="2" t="s">
        <v>55</v>
      </c>
      <c r="C801" s="2" t="s">
        <v>66</v>
      </c>
      <c r="D801" s="2" t="s">
        <v>59</v>
      </c>
      <c r="E801" s="3">
        <v>45361</v>
      </c>
      <c r="F801" s="2" t="str">
        <f t="shared" si="12"/>
        <v>Mar</v>
      </c>
      <c r="G801" s="2">
        <v>135</v>
      </c>
      <c r="H801" s="2" t="s">
        <v>32</v>
      </c>
      <c r="I801" s="2">
        <v>190</v>
      </c>
      <c r="J801" s="2">
        <v>136</v>
      </c>
      <c r="K801" s="2">
        <v>1135724</v>
      </c>
      <c r="L801" s="2">
        <v>591600</v>
      </c>
      <c r="M801" s="2">
        <v>544124</v>
      </c>
    </row>
    <row r="802" spans="1:13">
      <c r="A802" s="2" t="s">
        <v>877</v>
      </c>
      <c r="B802" s="2" t="s">
        <v>50</v>
      </c>
      <c r="C802" s="2" t="s">
        <v>61</v>
      </c>
      <c r="D802" s="2" t="s">
        <v>65</v>
      </c>
      <c r="E802" s="3">
        <v>45362</v>
      </c>
      <c r="F802" s="2" t="str">
        <f t="shared" si="12"/>
        <v>Mar</v>
      </c>
      <c r="G802" s="2">
        <v>356</v>
      </c>
      <c r="H802" s="2" t="s">
        <v>29</v>
      </c>
      <c r="I802" s="2">
        <v>200</v>
      </c>
      <c r="J802" s="2">
        <v>127</v>
      </c>
      <c r="K802" s="2">
        <v>3102768</v>
      </c>
      <c r="L802" s="2">
        <v>833120</v>
      </c>
      <c r="M802" s="2">
        <v>2269648</v>
      </c>
    </row>
    <row r="803" spans="1:13">
      <c r="A803" s="2" t="s">
        <v>878</v>
      </c>
      <c r="B803" s="2" t="s">
        <v>11</v>
      </c>
      <c r="C803" s="2" t="s">
        <v>65</v>
      </c>
      <c r="D803" s="2" t="s">
        <v>61</v>
      </c>
      <c r="E803" s="3">
        <v>45363</v>
      </c>
      <c r="F803" s="2" t="str">
        <f t="shared" si="12"/>
        <v>Mar</v>
      </c>
      <c r="G803" s="2">
        <v>342</v>
      </c>
      <c r="H803" s="2" t="s">
        <v>33</v>
      </c>
      <c r="I803" s="2">
        <v>260</v>
      </c>
      <c r="J803" s="2">
        <v>168</v>
      </c>
      <c r="K803" s="2">
        <v>4973987</v>
      </c>
      <c r="L803" s="2">
        <v>1078560</v>
      </c>
      <c r="M803" s="2">
        <v>3895427</v>
      </c>
    </row>
    <row r="804" spans="1:13">
      <c r="A804" s="2" t="s">
        <v>879</v>
      </c>
      <c r="B804" s="2" t="s">
        <v>6</v>
      </c>
      <c r="C804" s="2" t="s">
        <v>59</v>
      </c>
      <c r="D804" s="2" t="s">
        <v>65</v>
      </c>
      <c r="E804" s="3">
        <v>45364</v>
      </c>
      <c r="F804" s="2" t="str">
        <f t="shared" si="12"/>
        <v>Mar</v>
      </c>
      <c r="G804" s="2">
        <v>517</v>
      </c>
      <c r="H804" s="2" t="s">
        <v>30</v>
      </c>
      <c r="I804" s="2">
        <v>500</v>
      </c>
      <c r="J804" s="2">
        <v>431</v>
      </c>
      <c r="K804" s="2">
        <v>10652573</v>
      </c>
      <c r="L804" s="2">
        <v>3521270</v>
      </c>
      <c r="M804" s="2">
        <v>7131303</v>
      </c>
    </row>
    <row r="805" spans="1:13">
      <c r="A805" s="2" t="s">
        <v>880</v>
      </c>
      <c r="B805" s="2" t="s">
        <v>53</v>
      </c>
      <c r="C805" s="2" t="s">
        <v>65</v>
      </c>
      <c r="D805" s="2" t="s">
        <v>59</v>
      </c>
      <c r="E805" s="3">
        <v>45365</v>
      </c>
      <c r="F805" s="2" t="str">
        <f t="shared" si="12"/>
        <v>Mar</v>
      </c>
      <c r="G805" s="2">
        <v>77</v>
      </c>
      <c r="H805" s="2" t="s">
        <v>31</v>
      </c>
      <c r="I805" s="2">
        <v>72</v>
      </c>
      <c r="J805" s="2">
        <v>57</v>
      </c>
      <c r="K805" s="2">
        <v>282331</v>
      </c>
      <c r="L805" s="2">
        <v>214890</v>
      </c>
      <c r="M805" s="2">
        <v>67441</v>
      </c>
    </row>
    <row r="806" spans="1:13">
      <c r="A806" s="2" t="s">
        <v>881</v>
      </c>
      <c r="B806" s="2" t="s">
        <v>49</v>
      </c>
      <c r="C806" s="2" t="s">
        <v>61</v>
      </c>
      <c r="D806" s="2" t="s">
        <v>64</v>
      </c>
      <c r="E806" s="3">
        <v>45366</v>
      </c>
      <c r="F806" s="2" t="str">
        <f t="shared" si="12"/>
        <v>Mar</v>
      </c>
      <c r="G806" s="2">
        <v>167</v>
      </c>
      <c r="H806" s="2" t="s">
        <v>28</v>
      </c>
      <c r="I806" s="2">
        <v>180</v>
      </c>
      <c r="J806" s="2">
        <v>137</v>
      </c>
      <c r="K806" s="2">
        <v>1464016</v>
      </c>
      <c r="L806" s="2">
        <v>639790</v>
      </c>
      <c r="M806" s="2">
        <v>824226</v>
      </c>
    </row>
    <row r="807" spans="1:13">
      <c r="A807" s="2" t="s">
        <v>882</v>
      </c>
      <c r="B807" s="2" t="s">
        <v>52</v>
      </c>
      <c r="C807" s="2" t="s">
        <v>64</v>
      </c>
      <c r="D807" s="2" t="s">
        <v>61</v>
      </c>
      <c r="E807" s="3">
        <v>45367</v>
      </c>
      <c r="F807" s="2" t="str">
        <f t="shared" si="12"/>
        <v>Mar</v>
      </c>
      <c r="G807" s="2">
        <v>348</v>
      </c>
      <c r="H807" s="2" t="s">
        <v>32</v>
      </c>
      <c r="I807" s="2">
        <v>190</v>
      </c>
      <c r="J807" s="2">
        <v>122</v>
      </c>
      <c r="K807" s="2">
        <v>3242357</v>
      </c>
      <c r="L807" s="2">
        <v>790560</v>
      </c>
      <c r="M807" s="2">
        <v>2451797</v>
      </c>
    </row>
    <row r="808" spans="1:13">
      <c r="A808" s="2" t="s">
        <v>883</v>
      </c>
      <c r="B808" s="2" t="s">
        <v>37</v>
      </c>
      <c r="C808" s="2" t="s">
        <v>58</v>
      </c>
      <c r="D808" s="2" t="s">
        <v>62</v>
      </c>
      <c r="E808" s="3">
        <v>45368</v>
      </c>
      <c r="F808" s="2" t="str">
        <f t="shared" si="12"/>
        <v>Mar</v>
      </c>
      <c r="G808" s="2">
        <v>145</v>
      </c>
      <c r="H808" s="2" t="s">
        <v>29</v>
      </c>
      <c r="I808" s="2">
        <v>200</v>
      </c>
      <c r="J808" s="2">
        <v>142</v>
      </c>
      <c r="K808" s="2">
        <v>1240801</v>
      </c>
      <c r="L808" s="2">
        <v>631900</v>
      </c>
      <c r="M808" s="2">
        <v>608901</v>
      </c>
    </row>
    <row r="809" spans="1:13">
      <c r="A809" s="2" t="s">
        <v>884</v>
      </c>
      <c r="B809" s="2" t="s">
        <v>7</v>
      </c>
      <c r="C809" s="2" t="s">
        <v>62</v>
      </c>
      <c r="D809" s="2" t="s">
        <v>58</v>
      </c>
      <c r="E809" s="3">
        <v>45369</v>
      </c>
      <c r="F809" s="2" t="str">
        <f t="shared" si="12"/>
        <v>Mar</v>
      </c>
      <c r="G809" s="2">
        <v>226</v>
      </c>
      <c r="H809" s="2" t="s">
        <v>33</v>
      </c>
      <c r="I809" s="2">
        <v>260</v>
      </c>
      <c r="J809" s="2">
        <v>171</v>
      </c>
      <c r="K809" s="2">
        <v>3631189</v>
      </c>
      <c r="L809" s="2">
        <v>899460</v>
      </c>
      <c r="M809" s="2">
        <v>2731729</v>
      </c>
    </row>
    <row r="810" spans="1:13">
      <c r="A810" s="2" t="s">
        <v>885</v>
      </c>
      <c r="B810" s="2" t="s">
        <v>9</v>
      </c>
      <c r="C810" s="2" t="s">
        <v>63</v>
      </c>
      <c r="D810" s="2" t="s">
        <v>59</v>
      </c>
      <c r="E810" s="3">
        <v>45370</v>
      </c>
      <c r="F810" s="2" t="str">
        <f t="shared" si="12"/>
        <v>Mar</v>
      </c>
      <c r="G810" s="2">
        <v>303</v>
      </c>
      <c r="H810" s="2" t="s">
        <v>30</v>
      </c>
      <c r="I810" s="2">
        <v>500</v>
      </c>
      <c r="J810" s="2">
        <v>473</v>
      </c>
      <c r="K810" s="2">
        <v>5542077</v>
      </c>
      <c r="L810" s="2">
        <v>1426095</v>
      </c>
      <c r="M810" s="2">
        <v>4115982</v>
      </c>
    </row>
    <row r="811" spans="1:13">
      <c r="A811" s="2" t="s">
        <v>886</v>
      </c>
      <c r="B811" s="2" t="s">
        <v>41</v>
      </c>
      <c r="C811" s="2" t="s">
        <v>59</v>
      </c>
      <c r="D811" s="2" t="s">
        <v>63</v>
      </c>
      <c r="E811" s="3">
        <v>45371</v>
      </c>
      <c r="F811" s="2" t="str">
        <f t="shared" si="12"/>
        <v>Mar</v>
      </c>
      <c r="G811" s="2">
        <v>92</v>
      </c>
      <c r="H811" s="2" t="s">
        <v>31</v>
      </c>
      <c r="I811" s="2">
        <v>72</v>
      </c>
      <c r="J811" s="2">
        <v>51</v>
      </c>
      <c r="K811" s="2">
        <v>345595</v>
      </c>
      <c r="L811" s="2">
        <v>99960</v>
      </c>
      <c r="M811" s="2">
        <v>245635</v>
      </c>
    </row>
    <row r="812" spans="1:13">
      <c r="A812" s="2" t="s">
        <v>887</v>
      </c>
      <c r="B812" s="2" t="s">
        <v>39</v>
      </c>
      <c r="C812" s="2" t="s">
        <v>59</v>
      </c>
      <c r="D812" s="2" t="s">
        <v>61</v>
      </c>
      <c r="E812" s="3">
        <v>45372</v>
      </c>
      <c r="F812" s="2" t="str">
        <f t="shared" si="12"/>
        <v>Mar</v>
      </c>
      <c r="G812" s="2">
        <v>106</v>
      </c>
      <c r="H812" s="2" t="s">
        <v>28</v>
      </c>
      <c r="I812" s="2">
        <v>180</v>
      </c>
      <c r="J812" s="2">
        <v>127</v>
      </c>
      <c r="K812" s="2">
        <v>799264</v>
      </c>
      <c r="L812" s="2">
        <v>257810</v>
      </c>
      <c r="M812" s="2">
        <v>541454</v>
      </c>
    </row>
    <row r="813" spans="1:13">
      <c r="A813" s="2" t="s">
        <v>888</v>
      </c>
      <c r="B813" s="2" t="s">
        <v>46</v>
      </c>
      <c r="C813" s="2" t="s">
        <v>61</v>
      </c>
      <c r="D813" s="2" t="s">
        <v>59</v>
      </c>
      <c r="E813" s="3">
        <v>45373</v>
      </c>
      <c r="F813" s="2" t="str">
        <f t="shared" si="12"/>
        <v>Mar</v>
      </c>
      <c r="G813" s="2">
        <v>286</v>
      </c>
      <c r="H813" s="2" t="s">
        <v>32</v>
      </c>
      <c r="I813" s="2">
        <v>190</v>
      </c>
      <c r="J813" s="2">
        <v>164</v>
      </c>
      <c r="K813" s="2">
        <v>2526796</v>
      </c>
      <c r="L813" s="2">
        <v>480520</v>
      </c>
      <c r="M813" s="2">
        <v>2046276</v>
      </c>
    </row>
    <row r="814" spans="1:13">
      <c r="A814" s="2" t="s">
        <v>889</v>
      </c>
      <c r="B814" s="2" t="s">
        <v>45</v>
      </c>
      <c r="C814" s="2" t="s">
        <v>61</v>
      </c>
      <c r="D814" s="2" t="s">
        <v>58</v>
      </c>
      <c r="E814" s="3">
        <v>45374</v>
      </c>
      <c r="F814" s="2" t="str">
        <f t="shared" si="12"/>
        <v>Mar</v>
      </c>
      <c r="G814" s="2">
        <v>221</v>
      </c>
      <c r="H814" s="2" t="s">
        <v>29</v>
      </c>
      <c r="I814" s="2">
        <v>200</v>
      </c>
      <c r="J814" s="2">
        <v>183</v>
      </c>
      <c r="K814" s="2">
        <v>1987287</v>
      </c>
      <c r="L814" s="2">
        <v>476715</v>
      </c>
      <c r="M814" s="2">
        <v>1510572</v>
      </c>
    </row>
    <row r="815" spans="1:13">
      <c r="A815" s="2" t="s">
        <v>890</v>
      </c>
      <c r="B815" s="2" t="s">
        <v>3</v>
      </c>
      <c r="C815" s="2" t="s">
        <v>58</v>
      </c>
      <c r="D815" s="2" t="s">
        <v>61</v>
      </c>
      <c r="E815" s="3">
        <v>45375</v>
      </c>
      <c r="F815" s="2" t="str">
        <f t="shared" si="12"/>
        <v>Mar</v>
      </c>
      <c r="G815" s="2">
        <v>534</v>
      </c>
      <c r="H815" s="2" t="s">
        <v>33</v>
      </c>
      <c r="I815" s="2">
        <v>260</v>
      </c>
      <c r="J815" s="2">
        <v>161</v>
      </c>
      <c r="K815" s="2">
        <v>8648953</v>
      </c>
      <c r="L815" s="2">
        <v>671370</v>
      </c>
      <c r="M815" s="2">
        <v>7977583</v>
      </c>
    </row>
    <row r="816" spans="1:13">
      <c r="A816" s="2" t="s">
        <v>891</v>
      </c>
      <c r="B816" s="2" t="s">
        <v>5</v>
      </c>
      <c r="C816" s="2" t="s">
        <v>59</v>
      </c>
      <c r="D816" s="2" t="s">
        <v>58</v>
      </c>
      <c r="E816" s="3">
        <v>45376</v>
      </c>
      <c r="F816" s="2" t="str">
        <f t="shared" si="12"/>
        <v>Mar</v>
      </c>
      <c r="G816" s="2">
        <v>294</v>
      </c>
      <c r="H816" s="2" t="s">
        <v>30</v>
      </c>
      <c r="I816" s="2">
        <v>500</v>
      </c>
      <c r="J816" s="2">
        <v>458</v>
      </c>
      <c r="K816" s="2">
        <v>6080781</v>
      </c>
      <c r="L816" s="2">
        <v>1360260</v>
      </c>
      <c r="M816" s="2">
        <v>4720521</v>
      </c>
    </row>
    <row r="817" spans="1:13">
      <c r="A817" s="2" t="s">
        <v>892</v>
      </c>
      <c r="B817" s="2" t="s">
        <v>36</v>
      </c>
      <c r="C817" s="2" t="s">
        <v>58</v>
      </c>
      <c r="D817" s="2" t="s">
        <v>59</v>
      </c>
      <c r="E817" s="3">
        <v>45377</v>
      </c>
      <c r="F817" s="2" t="str">
        <f t="shared" si="12"/>
        <v>Mar</v>
      </c>
      <c r="G817" s="2">
        <v>52</v>
      </c>
      <c r="H817" s="2" t="s">
        <v>31</v>
      </c>
      <c r="I817" s="2">
        <v>72</v>
      </c>
      <c r="J817" s="2">
        <v>47</v>
      </c>
      <c r="K817" s="2">
        <v>177987</v>
      </c>
      <c r="L817" s="2">
        <v>82720</v>
      </c>
      <c r="M817" s="2">
        <v>95267</v>
      </c>
    </row>
    <row r="818" spans="1:13">
      <c r="A818" s="2" t="s">
        <v>893</v>
      </c>
      <c r="B818" s="2" t="s">
        <v>38</v>
      </c>
      <c r="C818" s="2" t="s">
        <v>59</v>
      </c>
      <c r="D818" s="2" t="s">
        <v>60</v>
      </c>
      <c r="E818" s="3">
        <v>45378</v>
      </c>
      <c r="F818" s="2" t="str">
        <f t="shared" si="12"/>
        <v>Mar</v>
      </c>
      <c r="G818" s="2">
        <v>105</v>
      </c>
      <c r="H818" s="2" t="s">
        <v>28</v>
      </c>
      <c r="I818" s="2">
        <v>180</v>
      </c>
      <c r="J818" s="2">
        <v>137</v>
      </c>
      <c r="K818" s="2">
        <v>901246</v>
      </c>
      <c r="L818" s="2">
        <v>277425</v>
      </c>
      <c r="M818" s="2">
        <v>623821</v>
      </c>
    </row>
    <row r="819" spans="1:13">
      <c r="A819" s="2" t="s">
        <v>894</v>
      </c>
      <c r="B819" s="2" t="s">
        <v>44</v>
      </c>
      <c r="C819" s="2" t="s">
        <v>60</v>
      </c>
      <c r="D819" s="2" t="s">
        <v>59</v>
      </c>
      <c r="E819" s="3">
        <v>45379</v>
      </c>
      <c r="F819" s="2" t="str">
        <f t="shared" si="12"/>
        <v>Mar</v>
      </c>
      <c r="G819" s="2">
        <v>249</v>
      </c>
      <c r="H819" s="2" t="s">
        <v>32</v>
      </c>
      <c r="I819" s="2">
        <v>190</v>
      </c>
      <c r="J819" s="2">
        <v>139</v>
      </c>
      <c r="K819" s="2">
        <v>2454701</v>
      </c>
      <c r="L819" s="2">
        <v>381555</v>
      </c>
      <c r="M819" s="2">
        <v>2073146</v>
      </c>
    </row>
    <row r="820" spans="1:13">
      <c r="A820" s="2" t="s">
        <v>895</v>
      </c>
      <c r="B820" s="2" t="s">
        <v>48</v>
      </c>
      <c r="C820" s="2" t="s">
        <v>61</v>
      </c>
      <c r="D820" s="2" t="s">
        <v>63</v>
      </c>
      <c r="E820" s="3">
        <v>45380</v>
      </c>
      <c r="F820" s="2" t="str">
        <f t="shared" si="12"/>
        <v>Mar</v>
      </c>
      <c r="G820" s="2">
        <v>163</v>
      </c>
      <c r="H820" s="2" t="s">
        <v>29</v>
      </c>
      <c r="I820" s="2">
        <v>200</v>
      </c>
      <c r="J820" s="2">
        <v>121</v>
      </c>
      <c r="K820" s="2">
        <v>1524171</v>
      </c>
      <c r="L820" s="2">
        <v>280115</v>
      </c>
      <c r="M820" s="2">
        <v>1244056</v>
      </c>
    </row>
    <row r="821" spans="1:13">
      <c r="A821" s="2" t="s">
        <v>896</v>
      </c>
      <c r="B821" s="2" t="s">
        <v>10</v>
      </c>
      <c r="C821" s="2" t="s">
        <v>63</v>
      </c>
      <c r="D821" s="2" t="s">
        <v>61</v>
      </c>
      <c r="E821" s="3">
        <v>45381</v>
      </c>
      <c r="F821" s="2" t="str">
        <f t="shared" si="12"/>
        <v>Mar</v>
      </c>
      <c r="G821" s="2">
        <v>449</v>
      </c>
      <c r="H821" s="2" t="s">
        <v>33</v>
      </c>
      <c r="I821" s="2">
        <v>260</v>
      </c>
      <c r="J821" s="2">
        <v>239</v>
      </c>
      <c r="K821" s="2">
        <v>6438710</v>
      </c>
      <c r="L821" s="2">
        <v>895055</v>
      </c>
      <c r="M821" s="2">
        <v>5543655</v>
      </c>
    </row>
    <row r="822" spans="1:13">
      <c r="A822" s="2" t="s">
        <v>897</v>
      </c>
      <c r="B822" s="2" t="s">
        <v>2</v>
      </c>
      <c r="C822" s="2" t="s">
        <v>58</v>
      </c>
      <c r="D822" s="2" t="s">
        <v>60</v>
      </c>
      <c r="E822" s="3">
        <v>45382</v>
      </c>
      <c r="F822" s="2" t="str">
        <f t="shared" si="12"/>
        <v>Mar</v>
      </c>
      <c r="G822" s="2">
        <v>262</v>
      </c>
      <c r="H822" s="2" t="s">
        <v>30</v>
      </c>
      <c r="I822" s="2">
        <v>500</v>
      </c>
      <c r="J822" s="2">
        <v>470</v>
      </c>
      <c r="K822" s="2">
        <v>5581688</v>
      </c>
      <c r="L822" s="2">
        <v>1320700</v>
      </c>
      <c r="M822" s="2">
        <v>4260988</v>
      </c>
    </row>
    <row r="823" spans="1:13">
      <c r="A823" s="2" t="s">
        <v>898</v>
      </c>
      <c r="B823" s="2" t="s">
        <v>43</v>
      </c>
      <c r="C823" s="2" t="s">
        <v>60</v>
      </c>
      <c r="D823" s="2" t="s">
        <v>58</v>
      </c>
      <c r="E823" s="3">
        <v>45383</v>
      </c>
      <c r="F823" s="2" t="str">
        <f t="shared" si="12"/>
        <v>Apr</v>
      </c>
      <c r="G823" s="2">
        <v>48</v>
      </c>
      <c r="H823" s="2" t="s">
        <v>31</v>
      </c>
      <c r="I823" s="2">
        <v>72</v>
      </c>
      <c r="J823" s="2">
        <v>63</v>
      </c>
      <c r="K823" s="2">
        <v>151805</v>
      </c>
      <c r="L823" s="2">
        <v>109620</v>
      </c>
      <c r="M823" s="2">
        <v>42185</v>
      </c>
    </row>
    <row r="824" spans="1:13">
      <c r="A824" s="2" t="s">
        <v>899</v>
      </c>
      <c r="B824" s="2" t="s">
        <v>40</v>
      </c>
      <c r="C824" s="2" t="s">
        <v>59</v>
      </c>
      <c r="D824" s="2" t="s">
        <v>62</v>
      </c>
      <c r="E824" s="3">
        <v>45384</v>
      </c>
      <c r="F824" s="2" t="str">
        <f t="shared" si="12"/>
        <v>Apr</v>
      </c>
      <c r="G824" s="2">
        <v>130</v>
      </c>
      <c r="H824" s="2" t="s">
        <v>28</v>
      </c>
      <c r="I824" s="2">
        <v>180</v>
      </c>
      <c r="J824" s="2">
        <v>147</v>
      </c>
      <c r="K824" s="2">
        <v>1052310</v>
      </c>
      <c r="L824" s="2">
        <v>632100</v>
      </c>
      <c r="M824" s="2">
        <v>420210</v>
      </c>
    </row>
    <row r="825" spans="1:13">
      <c r="A825" s="2" t="s">
        <v>900</v>
      </c>
      <c r="B825" s="2" t="s">
        <v>51</v>
      </c>
      <c r="C825" s="2" t="s">
        <v>62</v>
      </c>
      <c r="D825" s="2" t="s">
        <v>59</v>
      </c>
      <c r="E825" s="3">
        <v>45385</v>
      </c>
      <c r="F825" s="2" t="str">
        <f t="shared" si="12"/>
        <v>Apr</v>
      </c>
      <c r="G825" s="2">
        <v>183</v>
      </c>
      <c r="H825" s="2" t="s">
        <v>32</v>
      </c>
      <c r="I825" s="2">
        <v>190</v>
      </c>
      <c r="J825" s="2">
        <v>169</v>
      </c>
      <c r="K825" s="2">
        <v>1575033</v>
      </c>
      <c r="L825" s="2">
        <v>816270</v>
      </c>
      <c r="M825" s="2">
        <v>758763</v>
      </c>
    </row>
    <row r="826" spans="1:13">
      <c r="A826" s="2" t="s">
        <v>901</v>
      </c>
      <c r="B826" s="2" t="s">
        <v>47</v>
      </c>
      <c r="C826" s="2" t="s">
        <v>61</v>
      </c>
      <c r="D826" s="2" t="s">
        <v>62</v>
      </c>
      <c r="E826" s="3">
        <v>45386</v>
      </c>
      <c r="F826" s="2" t="str">
        <f t="shared" si="12"/>
        <v>Apr</v>
      </c>
      <c r="G826" s="2">
        <v>199</v>
      </c>
      <c r="H826" s="2" t="s">
        <v>29</v>
      </c>
      <c r="I826" s="2">
        <v>200</v>
      </c>
      <c r="J826" s="2">
        <v>169</v>
      </c>
      <c r="K826" s="2">
        <v>1905888</v>
      </c>
      <c r="L826" s="2">
        <v>421655</v>
      </c>
      <c r="M826" s="2">
        <v>1484233</v>
      </c>
    </row>
    <row r="827" spans="1:13">
      <c r="A827" s="2" t="s">
        <v>902</v>
      </c>
      <c r="B827" s="2" t="s">
        <v>8</v>
      </c>
      <c r="C827" s="2" t="s">
        <v>62</v>
      </c>
      <c r="D827" s="2" t="s">
        <v>61</v>
      </c>
      <c r="E827" s="3">
        <v>45387</v>
      </c>
      <c r="F827" s="2" t="str">
        <f t="shared" si="12"/>
        <v>Apr</v>
      </c>
      <c r="G827" s="2">
        <v>465</v>
      </c>
      <c r="H827" s="2" t="s">
        <v>33</v>
      </c>
      <c r="I827" s="2">
        <v>260</v>
      </c>
      <c r="J827" s="2">
        <v>160</v>
      </c>
      <c r="K827" s="2">
        <v>7068703</v>
      </c>
      <c r="L827" s="2">
        <v>612000</v>
      </c>
      <c r="M827" s="2">
        <v>6456703</v>
      </c>
    </row>
    <row r="828" spans="1:13">
      <c r="A828" s="2" t="s">
        <v>903</v>
      </c>
      <c r="B828" s="2" t="s">
        <v>4</v>
      </c>
      <c r="C828" s="2" t="s">
        <v>58</v>
      </c>
      <c r="D828" s="2" t="s">
        <v>66</v>
      </c>
      <c r="E828" s="3">
        <v>45388</v>
      </c>
      <c r="F828" s="2" t="str">
        <f t="shared" si="12"/>
        <v>Apr</v>
      </c>
      <c r="G828" s="2">
        <v>487</v>
      </c>
      <c r="H828" s="2" t="s">
        <v>30</v>
      </c>
      <c r="I828" s="2">
        <v>500</v>
      </c>
      <c r="J828" s="2">
        <v>352</v>
      </c>
      <c r="K828" s="2">
        <v>9931600</v>
      </c>
      <c r="L828" s="2">
        <v>2770240</v>
      </c>
      <c r="M828" s="2">
        <v>7161360</v>
      </c>
    </row>
    <row r="829" spans="1:13">
      <c r="A829" s="2" t="s">
        <v>904</v>
      </c>
      <c r="B829" s="2" t="s">
        <v>54</v>
      </c>
      <c r="C829" s="2" t="s">
        <v>66</v>
      </c>
      <c r="D829" s="2" t="s">
        <v>58</v>
      </c>
      <c r="E829" s="3">
        <v>45389</v>
      </c>
      <c r="F829" s="2" t="str">
        <f t="shared" si="12"/>
        <v>Apr</v>
      </c>
      <c r="G829" s="2">
        <v>128</v>
      </c>
      <c r="H829" s="2" t="s">
        <v>31</v>
      </c>
      <c r="I829" s="2">
        <v>72</v>
      </c>
      <c r="J829" s="2">
        <v>48</v>
      </c>
      <c r="K829" s="2">
        <v>468630</v>
      </c>
      <c r="L829" s="2">
        <v>205440</v>
      </c>
      <c r="M829" s="2">
        <v>263190</v>
      </c>
    </row>
    <row r="830" spans="1:13">
      <c r="A830" s="2" t="s">
        <v>905</v>
      </c>
      <c r="B830" s="2" t="s">
        <v>42</v>
      </c>
      <c r="C830" s="2" t="s">
        <v>59</v>
      </c>
      <c r="D830" s="2" t="s">
        <v>66</v>
      </c>
      <c r="E830" s="3">
        <v>45390</v>
      </c>
      <c r="F830" s="2" t="str">
        <f t="shared" si="12"/>
        <v>Apr</v>
      </c>
      <c r="G830" s="2">
        <v>100</v>
      </c>
      <c r="H830" s="2" t="s">
        <v>28</v>
      </c>
      <c r="I830" s="2">
        <v>180</v>
      </c>
      <c r="J830" s="2">
        <v>111</v>
      </c>
      <c r="K830" s="2">
        <v>864463</v>
      </c>
      <c r="L830" s="2">
        <v>444000</v>
      </c>
      <c r="M830" s="2">
        <v>420463</v>
      </c>
    </row>
    <row r="831" spans="1:13">
      <c r="A831" s="2" t="s">
        <v>906</v>
      </c>
      <c r="B831" s="2" t="s">
        <v>55</v>
      </c>
      <c r="C831" s="2" t="s">
        <v>66</v>
      </c>
      <c r="D831" s="2" t="s">
        <v>59</v>
      </c>
      <c r="E831" s="3">
        <v>45391</v>
      </c>
      <c r="F831" s="2" t="str">
        <f t="shared" si="12"/>
        <v>Apr</v>
      </c>
      <c r="G831" s="2">
        <v>323</v>
      </c>
      <c r="H831" s="2" t="s">
        <v>32</v>
      </c>
      <c r="I831" s="2">
        <v>190</v>
      </c>
      <c r="J831" s="2">
        <v>172</v>
      </c>
      <c r="K831" s="2">
        <v>2808399</v>
      </c>
      <c r="L831" s="2">
        <v>1071560</v>
      </c>
      <c r="M831" s="2">
        <v>1736839</v>
      </c>
    </row>
    <row r="832" spans="1:13">
      <c r="A832" s="2" t="s">
        <v>907</v>
      </c>
      <c r="B832" s="2" t="s">
        <v>50</v>
      </c>
      <c r="C832" s="2" t="s">
        <v>61</v>
      </c>
      <c r="D832" s="2" t="s">
        <v>65</v>
      </c>
      <c r="E832" s="3">
        <v>45392</v>
      </c>
      <c r="F832" s="2" t="str">
        <f t="shared" si="12"/>
        <v>Apr</v>
      </c>
      <c r="G832" s="2">
        <v>165</v>
      </c>
      <c r="H832" s="2" t="s">
        <v>29</v>
      </c>
      <c r="I832" s="2">
        <v>200</v>
      </c>
      <c r="J832" s="2">
        <v>182</v>
      </c>
      <c r="K832" s="2">
        <v>1468851</v>
      </c>
      <c r="L832" s="2">
        <v>846300</v>
      </c>
      <c r="M832" s="2">
        <v>622551</v>
      </c>
    </row>
    <row r="833" spans="1:13">
      <c r="A833" s="2" t="s">
        <v>908</v>
      </c>
      <c r="B833" s="2" t="s">
        <v>11</v>
      </c>
      <c r="C833" s="2" t="s">
        <v>65</v>
      </c>
      <c r="D833" s="2" t="s">
        <v>61</v>
      </c>
      <c r="E833" s="3">
        <v>45393</v>
      </c>
      <c r="F833" s="2" t="str">
        <f t="shared" si="12"/>
        <v>Apr</v>
      </c>
      <c r="G833" s="2">
        <v>362</v>
      </c>
      <c r="H833" s="2" t="s">
        <v>33</v>
      </c>
      <c r="I833" s="2">
        <v>260</v>
      </c>
      <c r="J833" s="2">
        <v>204</v>
      </c>
      <c r="K833" s="2">
        <v>5797233</v>
      </c>
      <c r="L833" s="2">
        <v>1350480</v>
      </c>
      <c r="M833" s="2">
        <v>4446753</v>
      </c>
    </row>
    <row r="834" spans="1:13">
      <c r="A834" s="2" t="s">
        <v>909</v>
      </c>
      <c r="B834" s="2" t="s">
        <v>6</v>
      </c>
      <c r="C834" s="2" t="s">
        <v>59</v>
      </c>
      <c r="D834" s="2" t="s">
        <v>65</v>
      </c>
      <c r="E834" s="3">
        <v>45394</v>
      </c>
      <c r="F834" s="2" t="str">
        <f t="shared" si="12"/>
        <v>Apr</v>
      </c>
      <c r="G834" s="2">
        <v>337</v>
      </c>
      <c r="H834" s="2" t="s">
        <v>30</v>
      </c>
      <c r="I834" s="2">
        <v>500</v>
      </c>
      <c r="J834" s="2">
        <v>375</v>
      </c>
      <c r="K834" s="2">
        <v>6426962</v>
      </c>
      <c r="L834" s="2">
        <v>2388750</v>
      </c>
      <c r="M834" s="2">
        <v>4038212</v>
      </c>
    </row>
    <row r="835" spans="1:13">
      <c r="A835" s="2" t="s">
        <v>910</v>
      </c>
      <c r="B835" s="2" t="s">
        <v>53</v>
      </c>
      <c r="C835" s="2" t="s">
        <v>65</v>
      </c>
      <c r="D835" s="2" t="s">
        <v>59</v>
      </c>
      <c r="E835" s="3">
        <v>45395</v>
      </c>
      <c r="F835" s="2" t="str">
        <f t="shared" ref="F835:F898" si="13">TEXT(E835,"mmm")</f>
        <v>Apr</v>
      </c>
      <c r="G835" s="2">
        <v>139</v>
      </c>
      <c r="H835" s="2" t="s">
        <v>31</v>
      </c>
      <c r="I835" s="2">
        <v>72</v>
      </c>
      <c r="J835" s="2">
        <v>64</v>
      </c>
      <c r="K835" s="2">
        <v>488586</v>
      </c>
      <c r="L835" s="2">
        <v>280960</v>
      </c>
      <c r="M835" s="2">
        <v>207626</v>
      </c>
    </row>
    <row r="836" spans="1:13">
      <c r="A836" s="2" t="s">
        <v>911</v>
      </c>
      <c r="B836" s="2" t="s">
        <v>49</v>
      </c>
      <c r="C836" s="2" t="s">
        <v>61</v>
      </c>
      <c r="D836" s="2" t="s">
        <v>64</v>
      </c>
      <c r="E836" s="3">
        <v>45396</v>
      </c>
      <c r="F836" s="2" t="str">
        <f t="shared" si="13"/>
        <v>Apr</v>
      </c>
      <c r="G836" s="2">
        <v>128</v>
      </c>
      <c r="H836" s="2" t="s">
        <v>28</v>
      </c>
      <c r="I836" s="2">
        <v>180</v>
      </c>
      <c r="J836" s="2">
        <v>123</v>
      </c>
      <c r="K836" s="2">
        <v>966702</v>
      </c>
      <c r="L836" s="2">
        <v>526440</v>
      </c>
      <c r="M836" s="2">
        <v>440262</v>
      </c>
    </row>
    <row r="837" spans="1:13">
      <c r="A837" s="2" t="s">
        <v>912</v>
      </c>
      <c r="B837" s="2" t="s">
        <v>52</v>
      </c>
      <c r="C837" s="2" t="s">
        <v>64</v>
      </c>
      <c r="D837" s="2" t="s">
        <v>61</v>
      </c>
      <c r="E837" s="3">
        <v>45397</v>
      </c>
      <c r="F837" s="2" t="str">
        <f t="shared" si="13"/>
        <v>Apr</v>
      </c>
      <c r="G837" s="2">
        <v>231</v>
      </c>
      <c r="H837" s="2" t="s">
        <v>32</v>
      </c>
      <c r="I837" s="2">
        <v>190</v>
      </c>
      <c r="J837" s="2">
        <v>121</v>
      </c>
      <c r="K837" s="2">
        <v>1910125</v>
      </c>
      <c r="L837" s="2">
        <v>642510</v>
      </c>
      <c r="M837" s="2">
        <v>1267615</v>
      </c>
    </row>
    <row r="838" spans="1:13">
      <c r="A838" s="2" t="s">
        <v>913</v>
      </c>
      <c r="B838" s="2" t="s">
        <v>37</v>
      </c>
      <c r="C838" s="2" t="s">
        <v>58</v>
      </c>
      <c r="D838" s="2" t="s">
        <v>62</v>
      </c>
      <c r="E838" s="3">
        <v>45398</v>
      </c>
      <c r="F838" s="2" t="str">
        <f t="shared" si="13"/>
        <v>Apr</v>
      </c>
      <c r="G838" s="2">
        <v>114</v>
      </c>
      <c r="H838" s="2" t="s">
        <v>29</v>
      </c>
      <c r="I838" s="2">
        <v>200</v>
      </c>
      <c r="J838" s="2">
        <v>178</v>
      </c>
      <c r="K838" s="2">
        <v>1165086</v>
      </c>
      <c r="L838" s="2">
        <v>736920</v>
      </c>
      <c r="M838" s="2">
        <v>428166</v>
      </c>
    </row>
    <row r="839" spans="1:13">
      <c r="A839" s="2" t="s">
        <v>914</v>
      </c>
      <c r="B839" s="2" t="s">
        <v>7</v>
      </c>
      <c r="C839" s="2" t="s">
        <v>62</v>
      </c>
      <c r="D839" s="2" t="s">
        <v>58</v>
      </c>
      <c r="E839" s="3">
        <v>45399</v>
      </c>
      <c r="F839" s="2" t="str">
        <f t="shared" si="13"/>
        <v>Apr</v>
      </c>
      <c r="G839" s="2">
        <v>244</v>
      </c>
      <c r="H839" s="2" t="s">
        <v>33</v>
      </c>
      <c r="I839" s="2">
        <v>260</v>
      </c>
      <c r="J839" s="2">
        <v>158</v>
      </c>
      <c r="K839" s="2">
        <v>3802337</v>
      </c>
      <c r="L839" s="2">
        <v>859520</v>
      </c>
      <c r="M839" s="2">
        <v>2942817</v>
      </c>
    </row>
    <row r="840" spans="1:13">
      <c r="A840" s="2" t="s">
        <v>915</v>
      </c>
      <c r="B840" s="2" t="s">
        <v>9</v>
      </c>
      <c r="C840" s="2" t="s">
        <v>63</v>
      </c>
      <c r="D840" s="2" t="s">
        <v>59</v>
      </c>
      <c r="E840" s="3">
        <v>45400</v>
      </c>
      <c r="F840" s="2" t="str">
        <f t="shared" si="13"/>
        <v>Apr</v>
      </c>
      <c r="G840" s="2">
        <v>511</v>
      </c>
      <c r="H840" s="2" t="s">
        <v>30</v>
      </c>
      <c r="I840" s="2">
        <v>500</v>
      </c>
      <c r="J840" s="2">
        <v>459</v>
      </c>
      <c r="K840" s="2">
        <v>10147301</v>
      </c>
      <c r="L840" s="2">
        <v>1861245</v>
      </c>
      <c r="M840" s="2">
        <v>8286056</v>
      </c>
    </row>
    <row r="841" spans="1:13">
      <c r="A841" s="2" t="s">
        <v>916</v>
      </c>
      <c r="B841" s="2" t="s">
        <v>41</v>
      </c>
      <c r="C841" s="2" t="s">
        <v>59</v>
      </c>
      <c r="D841" s="2" t="s">
        <v>63</v>
      </c>
      <c r="E841" s="3">
        <v>45401</v>
      </c>
      <c r="F841" s="2" t="str">
        <f t="shared" si="13"/>
        <v>Apr</v>
      </c>
      <c r="G841" s="2">
        <v>44</v>
      </c>
      <c r="H841" s="2" t="s">
        <v>31</v>
      </c>
      <c r="I841" s="2">
        <v>72</v>
      </c>
      <c r="J841" s="2">
        <v>58</v>
      </c>
      <c r="K841" s="2">
        <v>166089</v>
      </c>
      <c r="L841" s="2">
        <v>99760</v>
      </c>
      <c r="M841" s="2">
        <v>66329</v>
      </c>
    </row>
    <row r="842" spans="1:13">
      <c r="A842" s="2" t="s">
        <v>917</v>
      </c>
      <c r="B842" s="2" t="s">
        <v>39</v>
      </c>
      <c r="C842" s="2" t="s">
        <v>59</v>
      </c>
      <c r="D842" s="2" t="s">
        <v>61</v>
      </c>
      <c r="E842" s="3">
        <v>45402</v>
      </c>
      <c r="F842" s="2" t="str">
        <f t="shared" si="13"/>
        <v>Apr</v>
      </c>
      <c r="G842" s="2">
        <v>152</v>
      </c>
      <c r="H842" s="2" t="s">
        <v>28</v>
      </c>
      <c r="I842" s="2">
        <v>180</v>
      </c>
      <c r="J842" s="2">
        <v>118</v>
      </c>
      <c r="K842" s="2">
        <v>1324979</v>
      </c>
      <c r="L842" s="2">
        <v>266680</v>
      </c>
      <c r="M842" s="2">
        <v>1058299</v>
      </c>
    </row>
    <row r="843" spans="1:13">
      <c r="A843" s="2" t="s">
        <v>918</v>
      </c>
      <c r="B843" s="2" t="s">
        <v>46</v>
      </c>
      <c r="C843" s="2" t="s">
        <v>61</v>
      </c>
      <c r="D843" s="2" t="s">
        <v>59</v>
      </c>
      <c r="E843" s="3">
        <v>45403</v>
      </c>
      <c r="F843" s="2" t="str">
        <f t="shared" si="13"/>
        <v>Apr</v>
      </c>
      <c r="G843" s="2">
        <v>97</v>
      </c>
      <c r="H843" s="2" t="s">
        <v>32</v>
      </c>
      <c r="I843" s="2">
        <v>190</v>
      </c>
      <c r="J843" s="2">
        <v>153</v>
      </c>
      <c r="K843" s="2">
        <v>908379</v>
      </c>
      <c r="L843" s="2">
        <v>303705</v>
      </c>
      <c r="M843" s="2">
        <v>604674</v>
      </c>
    </row>
    <row r="844" spans="1:13">
      <c r="A844" s="2" t="s">
        <v>919</v>
      </c>
      <c r="B844" s="2" t="s">
        <v>45</v>
      </c>
      <c r="C844" s="2" t="s">
        <v>61</v>
      </c>
      <c r="D844" s="2" t="s">
        <v>58</v>
      </c>
      <c r="E844" s="3">
        <v>45404</v>
      </c>
      <c r="F844" s="2" t="str">
        <f t="shared" si="13"/>
        <v>Apr</v>
      </c>
      <c r="G844" s="2">
        <v>211</v>
      </c>
      <c r="H844" s="2" t="s">
        <v>29</v>
      </c>
      <c r="I844" s="2">
        <v>200</v>
      </c>
      <c r="J844" s="2">
        <v>167</v>
      </c>
      <c r="K844" s="2">
        <v>1856845</v>
      </c>
      <c r="L844" s="2">
        <v>426685</v>
      </c>
      <c r="M844" s="2">
        <v>1430160</v>
      </c>
    </row>
    <row r="845" spans="1:13">
      <c r="A845" s="2" t="s">
        <v>920</v>
      </c>
      <c r="B845" s="2" t="s">
        <v>3</v>
      </c>
      <c r="C845" s="2" t="s">
        <v>58</v>
      </c>
      <c r="D845" s="2" t="s">
        <v>61</v>
      </c>
      <c r="E845" s="3">
        <v>45405</v>
      </c>
      <c r="F845" s="2" t="str">
        <f t="shared" si="13"/>
        <v>Apr</v>
      </c>
      <c r="G845" s="2">
        <v>439</v>
      </c>
      <c r="H845" s="2" t="s">
        <v>33</v>
      </c>
      <c r="I845" s="2">
        <v>260</v>
      </c>
      <c r="J845" s="2">
        <v>190</v>
      </c>
      <c r="K845" s="2">
        <v>6568757</v>
      </c>
      <c r="L845" s="2">
        <v>702050</v>
      </c>
      <c r="M845" s="2">
        <v>5866707</v>
      </c>
    </row>
    <row r="846" spans="1:13">
      <c r="A846" s="2" t="s">
        <v>921</v>
      </c>
      <c r="B846" s="2" t="s">
        <v>5</v>
      </c>
      <c r="C846" s="2" t="s">
        <v>59</v>
      </c>
      <c r="D846" s="2" t="s">
        <v>58</v>
      </c>
      <c r="E846" s="3">
        <v>45406</v>
      </c>
      <c r="F846" s="2" t="str">
        <f t="shared" si="13"/>
        <v>Apr</v>
      </c>
      <c r="G846" s="2">
        <v>521</v>
      </c>
      <c r="H846" s="2" t="s">
        <v>30</v>
      </c>
      <c r="I846" s="2">
        <v>500</v>
      </c>
      <c r="J846" s="2">
        <v>345</v>
      </c>
      <c r="K846" s="2">
        <v>9943949</v>
      </c>
      <c r="L846" s="2">
        <v>1416225</v>
      </c>
      <c r="M846" s="2">
        <v>8527724</v>
      </c>
    </row>
    <row r="847" spans="1:13">
      <c r="A847" s="2" t="s">
        <v>922</v>
      </c>
      <c r="B847" s="2" t="s">
        <v>36</v>
      </c>
      <c r="C847" s="2" t="s">
        <v>58</v>
      </c>
      <c r="D847" s="2" t="s">
        <v>59</v>
      </c>
      <c r="E847" s="3">
        <v>45407</v>
      </c>
      <c r="F847" s="2" t="str">
        <f t="shared" si="13"/>
        <v>Apr</v>
      </c>
      <c r="G847" s="2">
        <v>120</v>
      </c>
      <c r="H847" s="2" t="s">
        <v>31</v>
      </c>
      <c r="I847" s="2">
        <v>72</v>
      </c>
      <c r="J847" s="2">
        <v>61</v>
      </c>
      <c r="K847" s="2">
        <v>420526</v>
      </c>
      <c r="L847" s="2">
        <v>128100</v>
      </c>
      <c r="M847" s="2">
        <v>292426</v>
      </c>
    </row>
    <row r="848" spans="1:13">
      <c r="A848" s="2" t="s">
        <v>923</v>
      </c>
      <c r="B848" s="2" t="s">
        <v>38</v>
      </c>
      <c r="C848" s="2" t="s">
        <v>59</v>
      </c>
      <c r="D848" s="2" t="s">
        <v>60</v>
      </c>
      <c r="E848" s="3">
        <v>45408</v>
      </c>
      <c r="F848" s="2" t="str">
        <f t="shared" si="13"/>
        <v>Apr</v>
      </c>
      <c r="G848" s="2">
        <v>146</v>
      </c>
      <c r="H848" s="2" t="s">
        <v>28</v>
      </c>
      <c r="I848" s="2">
        <v>180</v>
      </c>
      <c r="J848" s="2">
        <v>133</v>
      </c>
      <c r="K848" s="2">
        <v>1259449</v>
      </c>
      <c r="L848" s="2">
        <v>296590</v>
      </c>
      <c r="M848" s="2">
        <v>962859</v>
      </c>
    </row>
    <row r="849" spans="1:13">
      <c r="A849" s="2" t="s">
        <v>924</v>
      </c>
      <c r="B849" s="2" t="s">
        <v>44</v>
      </c>
      <c r="C849" s="2" t="s">
        <v>60</v>
      </c>
      <c r="D849" s="2" t="s">
        <v>59</v>
      </c>
      <c r="E849" s="3">
        <v>45409</v>
      </c>
      <c r="F849" s="2" t="str">
        <f t="shared" si="13"/>
        <v>Apr</v>
      </c>
      <c r="G849" s="2">
        <v>269</v>
      </c>
      <c r="H849" s="2" t="s">
        <v>32</v>
      </c>
      <c r="I849" s="2">
        <v>190</v>
      </c>
      <c r="J849" s="2">
        <v>138</v>
      </c>
      <c r="K849" s="2">
        <v>2407681</v>
      </c>
      <c r="L849" s="2">
        <v>392610</v>
      </c>
      <c r="M849" s="2">
        <v>2015071</v>
      </c>
    </row>
    <row r="850" spans="1:13">
      <c r="A850" s="2" t="s">
        <v>925</v>
      </c>
      <c r="B850" s="2" t="s">
        <v>48</v>
      </c>
      <c r="C850" s="2" t="s">
        <v>61</v>
      </c>
      <c r="D850" s="2" t="s">
        <v>63</v>
      </c>
      <c r="E850" s="3">
        <v>45410</v>
      </c>
      <c r="F850" s="2" t="str">
        <f t="shared" si="13"/>
        <v>Apr</v>
      </c>
      <c r="G850" s="2">
        <v>297</v>
      </c>
      <c r="H850" s="2" t="s">
        <v>29</v>
      </c>
      <c r="I850" s="2">
        <v>200</v>
      </c>
      <c r="J850" s="2">
        <v>183</v>
      </c>
      <c r="K850" s="2">
        <v>2674136</v>
      </c>
      <c r="L850" s="2">
        <v>546255</v>
      </c>
      <c r="M850" s="2">
        <v>2127881</v>
      </c>
    </row>
    <row r="851" spans="1:13">
      <c r="A851" s="2" t="s">
        <v>926</v>
      </c>
      <c r="B851" s="2" t="s">
        <v>10</v>
      </c>
      <c r="C851" s="2" t="s">
        <v>63</v>
      </c>
      <c r="D851" s="2" t="s">
        <v>61</v>
      </c>
      <c r="E851" s="3">
        <v>45411</v>
      </c>
      <c r="F851" s="2" t="str">
        <f t="shared" si="13"/>
        <v>Apr</v>
      </c>
      <c r="G851" s="2">
        <v>541</v>
      </c>
      <c r="H851" s="2" t="s">
        <v>33</v>
      </c>
      <c r="I851" s="2">
        <v>260</v>
      </c>
      <c r="J851" s="2">
        <v>244</v>
      </c>
      <c r="K851" s="2">
        <v>7841276</v>
      </c>
      <c r="L851" s="2">
        <v>1026020</v>
      </c>
      <c r="M851" s="2">
        <v>6815256</v>
      </c>
    </row>
    <row r="852" spans="1:13">
      <c r="A852" s="2" t="s">
        <v>927</v>
      </c>
      <c r="B852" s="2" t="s">
        <v>2</v>
      </c>
      <c r="C852" s="2" t="s">
        <v>58</v>
      </c>
      <c r="D852" s="2" t="s">
        <v>60</v>
      </c>
      <c r="E852" s="3">
        <v>45412</v>
      </c>
      <c r="F852" s="2" t="str">
        <f t="shared" si="13"/>
        <v>Apr</v>
      </c>
      <c r="G852" s="2">
        <v>420</v>
      </c>
      <c r="H852" s="2" t="s">
        <v>30</v>
      </c>
      <c r="I852" s="2">
        <v>500</v>
      </c>
      <c r="J852" s="2">
        <v>408</v>
      </c>
      <c r="K852" s="2">
        <v>8349169</v>
      </c>
      <c r="L852" s="2">
        <v>1468800</v>
      </c>
      <c r="M852" s="2">
        <v>6880369</v>
      </c>
    </row>
    <row r="853" spans="1:13">
      <c r="A853" s="2" t="s">
        <v>928</v>
      </c>
      <c r="B853" s="2" t="s">
        <v>43</v>
      </c>
      <c r="C853" s="2" t="s">
        <v>60</v>
      </c>
      <c r="D853" s="2" t="s">
        <v>58</v>
      </c>
      <c r="E853" s="3">
        <v>45413</v>
      </c>
      <c r="F853" s="2" t="str">
        <f t="shared" si="13"/>
        <v>May</v>
      </c>
      <c r="G853" s="2">
        <v>77</v>
      </c>
      <c r="H853" s="2" t="s">
        <v>31</v>
      </c>
      <c r="I853" s="2">
        <v>72</v>
      </c>
      <c r="J853" s="2">
        <v>50</v>
      </c>
      <c r="K853" s="2">
        <v>253706</v>
      </c>
      <c r="L853" s="2">
        <v>94250</v>
      </c>
      <c r="M853" s="2">
        <v>159456</v>
      </c>
    </row>
    <row r="854" spans="1:13">
      <c r="A854" s="2" t="s">
        <v>929</v>
      </c>
      <c r="B854" s="2" t="s">
        <v>40</v>
      </c>
      <c r="C854" s="2" t="s">
        <v>59</v>
      </c>
      <c r="D854" s="2" t="s">
        <v>62</v>
      </c>
      <c r="E854" s="3">
        <v>45414</v>
      </c>
      <c r="F854" s="2" t="str">
        <f t="shared" si="13"/>
        <v>May</v>
      </c>
      <c r="G854" s="2">
        <v>200</v>
      </c>
      <c r="H854" s="2" t="s">
        <v>28</v>
      </c>
      <c r="I854" s="2">
        <v>180</v>
      </c>
      <c r="J854" s="2">
        <v>141</v>
      </c>
      <c r="K854" s="2">
        <v>1713323</v>
      </c>
      <c r="L854" s="2">
        <v>705000</v>
      </c>
      <c r="M854" s="2">
        <v>1008323</v>
      </c>
    </row>
    <row r="855" spans="1:13">
      <c r="A855" s="2" t="s">
        <v>930</v>
      </c>
      <c r="B855" s="2" t="s">
        <v>51</v>
      </c>
      <c r="C855" s="2" t="s">
        <v>62</v>
      </c>
      <c r="D855" s="2" t="s">
        <v>59</v>
      </c>
      <c r="E855" s="3">
        <v>45415</v>
      </c>
      <c r="F855" s="2" t="str">
        <f t="shared" si="13"/>
        <v>May</v>
      </c>
      <c r="G855" s="2">
        <v>249</v>
      </c>
      <c r="H855" s="2" t="s">
        <v>32</v>
      </c>
      <c r="I855" s="2">
        <v>190</v>
      </c>
      <c r="J855" s="2">
        <v>169</v>
      </c>
      <c r="K855" s="2">
        <v>2395147</v>
      </c>
      <c r="L855" s="2">
        <v>927810</v>
      </c>
      <c r="M855" s="2">
        <v>1467337</v>
      </c>
    </row>
    <row r="856" spans="1:13">
      <c r="A856" s="2" t="s">
        <v>931</v>
      </c>
      <c r="B856" s="2" t="s">
        <v>47</v>
      </c>
      <c r="C856" s="2" t="s">
        <v>61</v>
      </c>
      <c r="D856" s="2" t="s">
        <v>62</v>
      </c>
      <c r="E856" s="3">
        <v>45416</v>
      </c>
      <c r="F856" s="2" t="str">
        <f t="shared" si="13"/>
        <v>May</v>
      </c>
      <c r="G856" s="2">
        <v>169</v>
      </c>
      <c r="H856" s="2" t="s">
        <v>29</v>
      </c>
      <c r="I856" s="2">
        <v>200</v>
      </c>
      <c r="J856" s="2">
        <v>152</v>
      </c>
      <c r="K856" s="2">
        <v>1585764</v>
      </c>
      <c r="L856" s="2">
        <v>356440</v>
      </c>
      <c r="M856" s="2">
        <v>1229324</v>
      </c>
    </row>
    <row r="857" spans="1:13">
      <c r="A857" s="2" t="s">
        <v>932</v>
      </c>
      <c r="B857" s="2" t="s">
        <v>8</v>
      </c>
      <c r="C857" s="2" t="s">
        <v>62</v>
      </c>
      <c r="D857" s="2" t="s">
        <v>61</v>
      </c>
      <c r="E857" s="3">
        <v>45417</v>
      </c>
      <c r="F857" s="2" t="str">
        <f t="shared" si="13"/>
        <v>May</v>
      </c>
      <c r="G857" s="2">
        <v>371</v>
      </c>
      <c r="H857" s="2" t="s">
        <v>33</v>
      </c>
      <c r="I857" s="2">
        <v>260</v>
      </c>
      <c r="J857" s="2">
        <v>202</v>
      </c>
      <c r="K857" s="2">
        <v>5335153</v>
      </c>
      <c r="L857" s="2">
        <v>677710</v>
      </c>
      <c r="M857" s="2">
        <v>4657443</v>
      </c>
    </row>
    <row r="858" spans="1:13">
      <c r="A858" s="2" t="s">
        <v>933</v>
      </c>
      <c r="B858" s="2" t="s">
        <v>4</v>
      </c>
      <c r="C858" s="2" t="s">
        <v>58</v>
      </c>
      <c r="D858" s="2" t="s">
        <v>66</v>
      </c>
      <c r="E858" s="3">
        <v>45418</v>
      </c>
      <c r="F858" s="2" t="str">
        <f t="shared" si="13"/>
        <v>May</v>
      </c>
      <c r="G858" s="2">
        <v>412</v>
      </c>
      <c r="H858" s="2" t="s">
        <v>30</v>
      </c>
      <c r="I858" s="2">
        <v>500</v>
      </c>
      <c r="J858" s="2">
        <v>369</v>
      </c>
      <c r="K858" s="2">
        <v>7559528</v>
      </c>
      <c r="L858" s="2">
        <v>2627280</v>
      </c>
      <c r="M858" s="2">
        <v>4932248</v>
      </c>
    </row>
    <row r="859" spans="1:13">
      <c r="A859" s="2" t="s">
        <v>934</v>
      </c>
      <c r="B859" s="2" t="s">
        <v>54</v>
      </c>
      <c r="C859" s="2" t="s">
        <v>66</v>
      </c>
      <c r="D859" s="2" t="s">
        <v>58</v>
      </c>
      <c r="E859" s="3">
        <v>45419</v>
      </c>
      <c r="F859" s="2" t="str">
        <f t="shared" si="13"/>
        <v>May</v>
      </c>
      <c r="G859" s="2">
        <v>70</v>
      </c>
      <c r="H859" s="2" t="s">
        <v>31</v>
      </c>
      <c r="I859" s="2">
        <v>72</v>
      </c>
      <c r="J859" s="2">
        <v>63</v>
      </c>
      <c r="K859" s="2">
        <v>246548</v>
      </c>
      <c r="L859" s="2">
        <v>233100</v>
      </c>
      <c r="M859" s="2">
        <v>13448</v>
      </c>
    </row>
    <row r="860" spans="1:13">
      <c r="A860" s="2" t="s">
        <v>935</v>
      </c>
      <c r="B860" s="2" t="s">
        <v>42</v>
      </c>
      <c r="C860" s="2" t="s">
        <v>59</v>
      </c>
      <c r="D860" s="2" t="s">
        <v>66</v>
      </c>
      <c r="E860" s="3">
        <v>45420</v>
      </c>
      <c r="F860" s="2" t="str">
        <f t="shared" si="13"/>
        <v>May</v>
      </c>
      <c r="G860" s="2">
        <v>118</v>
      </c>
      <c r="H860" s="2" t="s">
        <v>28</v>
      </c>
      <c r="I860" s="2">
        <v>180</v>
      </c>
      <c r="J860" s="2">
        <v>139</v>
      </c>
      <c r="K860" s="2">
        <v>1014653</v>
      </c>
      <c r="L860" s="2">
        <v>581020</v>
      </c>
      <c r="M860" s="2">
        <v>433633</v>
      </c>
    </row>
    <row r="861" spans="1:13">
      <c r="A861" s="2" t="s">
        <v>936</v>
      </c>
      <c r="B861" s="2" t="s">
        <v>55</v>
      </c>
      <c r="C861" s="2" t="s">
        <v>66</v>
      </c>
      <c r="D861" s="2" t="s">
        <v>59</v>
      </c>
      <c r="E861" s="3">
        <v>45421</v>
      </c>
      <c r="F861" s="2" t="str">
        <f t="shared" si="13"/>
        <v>May</v>
      </c>
      <c r="G861" s="2">
        <v>251</v>
      </c>
      <c r="H861" s="2" t="s">
        <v>32</v>
      </c>
      <c r="I861" s="2">
        <v>190</v>
      </c>
      <c r="J861" s="2">
        <v>160</v>
      </c>
      <c r="K861" s="2">
        <v>2481654</v>
      </c>
      <c r="L861" s="2">
        <v>881600</v>
      </c>
      <c r="M861" s="2">
        <v>1600054</v>
      </c>
    </row>
    <row r="862" spans="1:13">
      <c r="A862" s="2" t="s">
        <v>937</v>
      </c>
      <c r="B862" s="2" t="s">
        <v>50</v>
      </c>
      <c r="C862" s="2" t="s">
        <v>61</v>
      </c>
      <c r="D862" s="2" t="s">
        <v>65</v>
      </c>
      <c r="E862" s="3">
        <v>45422</v>
      </c>
      <c r="F862" s="2" t="str">
        <f t="shared" si="13"/>
        <v>May</v>
      </c>
      <c r="G862" s="2">
        <v>206</v>
      </c>
      <c r="H862" s="2" t="s">
        <v>29</v>
      </c>
      <c r="I862" s="2">
        <v>200</v>
      </c>
      <c r="J862" s="2">
        <v>139</v>
      </c>
      <c r="K862" s="2">
        <v>1915737</v>
      </c>
      <c r="L862" s="2">
        <v>703340</v>
      </c>
      <c r="M862" s="2">
        <v>1212397</v>
      </c>
    </row>
    <row r="863" spans="1:13">
      <c r="A863" s="2" t="s">
        <v>938</v>
      </c>
      <c r="B863" s="2" t="s">
        <v>11</v>
      </c>
      <c r="C863" s="2" t="s">
        <v>65</v>
      </c>
      <c r="D863" s="2" t="s">
        <v>61</v>
      </c>
      <c r="E863" s="3">
        <v>45423</v>
      </c>
      <c r="F863" s="2" t="str">
        <f t="shared" si="13"/>
        <v>May</v>
      </c>
      <c r="G863" s="2">
        <v>287</v>
      </c>
      <c r="H863" s="2" t="s">
        <v>33</v>
      </c>
      <c r="I863" s="2">
        <v>260</v>
      </c>
      <c r="J863" s="2">
        <v>222</v>
      </c>
      <c r="K863" s="2">
        <v>4634124</v>
      </c>
      <c r="L863" s="2">
        <v>1303140</v>
      </c>
      <c r="M863" s="2">
        <v>3330984</v>
      </c>
    </row>
    <row r="864" spans="1:13">
      <c r="A864" s="2" t="s">
        <v>939</v>
      </c>
      <c r="B864" s="2" t="s">
        <v>6</v>
      </c>
      <c r="C864" s="2" t="s">
        <v>59</v>
      </c>
      <c r="D864" s="2" t="s">
        <v>65</v>
      </c>
      <c r="E864" s="3">
        <v>45424</v>
      </c>
      <c r="F864" s="2" t="str">
        <f t="shared" si="13"/>
        <v>May</v>
      </c>
      <c r="G864" s="2">
        <v>288</v>
      </c>
      <c r="H864" s="2" t="s">
        <v>30</v>
      </c>
      <c r="I864" s="2">
        <v>500</v>
      </c>
      <c r="J864" s="2">
        <v>406</v>
      </c>
      <c r="K864" s="2">
        <v>5540397</v>
      </c>
      <c r="L864" s="2">
        <v>2387280</v>
      </c>
      <c r="M864" s="2">
        <v>3153117</v>
      </c>
    </row>
    <row r="865" spans="1:13">
      <c r="A865" s="2" t="s">
        <v>940</v>
      </c>
      <c r="B865" s="2" t="s">
        <v>53</v>
      </c>
      <c r="C865" s="2" t="s">
        <v>65</v>
      </c>
      <c r="D865" s="2" t="s">
        <v>59</v>
      </c>
      <c r="E865" s="3">
        <v>45425</v>
      </c>
      <c r="F865" s="2" t="str">
        <f t="shared" si="13"/>
        <v>May</v>
      </c>
      <c r="G865" s="2">
        <v>74</v>
      </c>
      <c r="H865" s="2" t="s">
        <v>31</v>
      </c>
      <c r="I865" s="2">
        <v>72</v>
      </c>
      <c r="J865" s="2">
        <v>61</v>
      </c>
      <c r="K865" s="2">
        <v>282518</v>
      </c>
      <c r="L865" s="2">
        <v>228140</v>
      </c>
      <c r="M865" s="2">
        <v>54378</v>
      </c>
    </row>
    <row r="866" spans="1:13">
      <c r="A866" s="2" t="s">
        <v>941</v>
      </c>
      <c r="B866" s="2" t="s">
        <v>49</v>
      </c>
      <c r="C866" s="2" t="s">
        <v>61</v>
      </c>
      <c r="D866" s="2" t="s">
        <v>64</v>
      </c>
      <c r="E866" s="3">
        <v>45426</v>
      </c>
      <c r="F866" s="2" t="str">
        <f t="shared" si="13"/>
        <v>May</v>
      </c>
      <c r="G866" s="2">
        <v>256</v>
      </c>
      <c r="H866" s="2" t="s">
        <v>28</v>
      </c>
      <c r="I866" s="2">
        <v>180</v>
      </c>
      <c r="J866" s="2">
        <v>108</v>
      </c>
      <c r="K866" s="2">
        <v>2103870</v>
      </c>
      <c r="L866" s="2">
        <v>600480</v>
      </c>
      <c r="M866" s="2">
        <v>1503390</v>
      </c>
    </row>
    <row r="867" spans="1:13">
      <c r="A867" s="2" t="s">
        <v>942</v>
      </c>
      <c r="B867" s="2" t="s">
        <v>52</v>
      </c>
      <c r="C867" s="2" t="s">
        <v>64</v>
      </c>
      <c r="D867" s="2" t="s">
        <v>61</v>
      </c>
      <c r="E867" s="3">
        <v>45427</v>
      </c>
      <c r="F867" s="2" t="str">
        <f t="shared" si="13"/>
        <v>May</v>
      </c>
      <c r="G867" s="2">
        <v>217</v>
      </c>
      <c r="H867" s="2" t="s">
        <v>32</v>
      </c>
      <c r="I867" s="2">
        <v>190</v>
      </c>
      <c r="J867" s="2">
        <v>131</v>
      </c>
      <c r="K867" s="2">
        <v>1780950</v>
      </c>
      <c r="L867" s="2">
        <v>677270</v>
      </c>
      <c r="M867" s="2">
        <v>1103680</v>
      </c>
    </row>
    <row r="868" spans="1:13">
      <c r="A868" s="2" t="s">
        <v>943</v>
      </c>
      <c r="B868" s="2" t="s">
        <v>37</v>
      </c>
      <c r="C868" s="2" t="s">
        <v>58</v>
      </c>
      <c r="D868" s="2" t="s">
        <v>62</v>
      </c>
      <c r="E868" s="3">
        <v>45428</v>
      </c>
      <c r="F868" s="2" t="str">
        <f t="shared" si="13"/>
        <v>May</v>
      </c>
      <c r="G868" s="2">
        <v>254</v>
      </c>
      <c r="H868" s="2" t="s">
        <v>29</v>
      </c>
      <c r="I868" s="2">
        <v>200</v>
      </c>
      <c r="J868" s="2">
        <v>181</v>
      </c>
      <c r="K868" s="2">
        <v>2295580</v>
      </c>
      <c r="L868" s="2">
        <v>1002740</v>
      </c>
      <c r="M868" s="2">
        <v>1292840</v>
      </c>
    </row>
    <row r="869" spans="1:13">
      <c r="A869" s="2" t="s">
        <v>944</v>
      </c>
      <c r="B869" s="2" t="s">
        <v>7</v>
      </c>
      <c r="C869" s="2" t="s">
        <v>62</v>
      </c>
      <c r="D869" s="2" t="s">
        <v>58</v>
      </c>
      <c r="E869" s="3">
        <v>45429</v>
      </c>
      <c r="F869" s="2" t="str">
        <f t="shared" si="13"/>
        <v>May</v>
      </c>
      <c r="G869" s="2">
        <v>503</v>
      </c>
      <c r="H869" s="2" t="s">
        <v>33</v>
      </c>
      <c r="I869" s="2">
        <v>260</v>
      </c>
      <c r="J869" s="2">
        <v>190</v>
      </c>
      <c r="K869" s="2">
        <v>7478960</v>
      </c>
      <c r="L869" s="2">
        <v>1525700</v>
      </c>
      <c r="M869" s="2">
        <v>5953260</v>
      </c>
    </row>
    <row r="870" spans="1:13">
      <c r="A870" s="2" t="s">
        <v>945</v>
      </c>
      <c r="B870" s="2" t="s">
        <v>9</v>
      </c>
      <c r="C870" s="2" t="s">
        <v>63</v>
      </c>
      <c r="D870" s="2" t="s">
        <v>59</v>
      </c>
      <c r="E870" s="3">
        <v>45430</v>
      </c>
      <c r="F870" s="2" t="str">
        <f t="shared" si="13"/>
        <v>May</v>
      </c>
      <c r="G870" s="2">
        <v>261</v>
      </c>
      <c r="H870" s="2" t="s">
        <v>30</v>
      </c>
      <c r="I870" s="2">
        <v>500</v>
      </c>
      <c r="J870" s="2">
        <v>316</v>
      </c>
      <c r="K870" s="2">
        <v>5320559</v>
      </c>
      <c r="L870" s="2">
        <v>886380</v>
      </c>
      <c r="M870" s="2">
        <v>4434179</v>
      </c>
    </row>
    <row r="871" spans="1:13">
      <c r="A871" s="2" t="s">
        <v>946</v>
      </c>
      <c r="B871" s="2" t="s">
        <v>41</v>
      </c>
      <c r="C871" s="2" t="s">
        <v>59</v>
      </c>
      <c r="D871" s="2" t="s">
        <v>63</v>
      </c>
      <c r="E871" s="3">
        <v>45431</v>
      </c>
      <c r="F871" s="2" t="str">
        <f t="shared" si="13"/>
        <v>May</v>
      </c>
      <c r="G871" s="2">
        <v>69</v>
      </c>
      <c r="H871" s="2" t="s">
        <v>31</v>
      </c>
      <c r="I871" s="2">
        <v>72</v>
      </c>
      <c r="J871" s="2">
        <v>62</v>
      </c>
      <c r="K871" s="2">
        <v>220779</v>
      </c>
      <c r="L871" s="2">
        <v>114390</v>
      </c>
      <c r="M871" s="2">
        <v>106389</v>
      </c>
    </row>
    <row r="872" spans="1:13">
      <c r="A872" s="2" t="s">
        <v>947</v>
      </c>
      <c r="B872" s="2" t="s">
        <v>39</v>
      </c>
      <c r="C872" s="2" t="s">
        <v>59</v>
      </c>
      <c r="D872" s="2" t="s">
        <v>61</v>
      </c>
      <c r="E872" s="3">
        <v>45432</v>
      </c>
      <c r="F872" s="2" t="str">
        <f t="shared" si="13"/>
        <v>May</v>
      </c>
      <c r="G872" s="2">
        <v>181</v>
      </c>
      <c r="H872" s="2" t="s">
        <v>28</v>
      </c>
      <c r="I872" s="2">
        <v>180</v>
      </c>
      <c r="J872" s="2">
        <v>128</v>
      </c>
      <c r="K872" s="2">
        <v>1520356</v>
      </c>
      <c r="L872" s="2">
        <v>307840</v>
      </c>
      <c r="M872" s="2">
        <v>1212516</v>
      </c>
    </row>
    <row r="873" spans="1:13">
      <c r="A873" s="2" t="s">
        <v>948</v>
      </c>
      <c r="B873" s="2" t="s">
        <v>46</v>
      </c>
      <c r="C873" s="2" t="s">
        <v>61</v>
      </c>
      <c r="D873" s="2" t="s">
        <v>59</v>
      </c>
      <c r="E873" s="3">
        <v>45433</v>
      </c>
      <c r="F873" s="2" t="str">
        <f t="shared" si="13"/>
        <v>May</v>
      </c>
      <c r="G873" s="2">
        <v>317</v>
      </c>
      <c r="H873" s="2" t="s">
        <v>32</v>
      </c>
      <c r="I873" s="2">
        <v>190</v>
      </c>
      <c r="J873" s="2">
        <v>158</v>
      </c>
      <c r="K873" s="2">
        <v>2954949</v>
      </c>
      <c r="L873" s="2">
        <v>487430</v>
      </c>
      <c r="M873" s="2">
        <v>2467519</v>
      </c>
    </row>
    <row r="874" spans="1:13">
      <c r="A874" s="2" t="s">
        <v>949</v>
      </c>
      <c r="B874" s="2" t="s">
        <v>45</v>
      </c>
      <c r="C874" s="2" t="s">
        <v>61</v>
      </c>
      <c r="D874" s="2" t="s">
        <v>58</v>
      </c>
      <c r="E874" s="3">
        <v>45434</v>
      </c>
      <c r="F874" s="2" t="str">
        <f t="shared" si="13"/>
        <v>May</v>
      </c>
      <c r="G874" s="2">
        <v>386</v>
      </c>
      <c r="H874" s="2" t="s">
        <v>29</v>
      </c>
      <c r="I874" s="2">
        <v>200</v>
      </c>
      <c r="J874" s="2">
        <v>161</v>
      </c>
      <c r="K874" s="2">
        <v>3307730</v>
      </c>
      <c r="L874" s="2">
        <v>552230</v>
      </c>
      <c r="M874" s="2">
        <v>2755500</v>
      </c>
    </row>
    <row r="875" spans="1:13">
      <c r="A875" s="2" t="s">
        <v>950</v>
      </c>
      <c r="B875" s="2" t="s">
        <v>3</v>
      </c>
      <c r="C875" s="2" t="s">
        <v>58</v>
      </c>
      <c r="D875" s="2" t="s">
        <v>61</v>
      </c>
      <c r="E875" s="3">
        <v>45435</v>
      </c>
      <c r="F875" s="2" t="str">
        <f t="shared" si="13"/>
        <v>May</v>
      </c>
      <c r="G875" s="2">
        <v>389</v>
      </c>
      <c r="H875" s="2" t="s">
        <v>33</v>
      </c>
      <c r="I875" s="2">
        <v>260</v>
      </c>
      <c r="J875" s="2">
        <v>168</v>
      </c>
      <c r="K875" s="2">
        <v>5386565</v>
      </c>
      <c r="L875" s="2">
        <v>578760</v>
      </c>
      <c r="M875" s="2">
        <v>4807805</v>
      </c>
    </row>
    <row r="876" spans="1:13">
      <c r="A876" s="2" t="s">
        <v>951</v>
      </c>
      <c r="B876" s="2" t="s">
        <v>5</v>
      </c>
      <c r="C876" s="2" t="s">
        <v>59</v>
      </c>
      <c r="D876" s="2" t="s">
        <v>58</v>
      </c>
      <c r="E876" s="3">
        <v>45436</v>
      </c>
      <c r="F876" s="2" t="str">
        <f t="shared" si="13"/>
        <v>May</v>
      </c>
      <c r="G876" s="2">
        <v>218</v>
      </c>
      <c r="H876" s="2" t="s">
        <v>30</v>
      </c>
      <c r="I876" s="2">
        <v>500</v>
      </c>
      <c r="J876" s="2">
        <v>452</v>
      </c>
      <c r="K876" s="2">
        <v>4555304</v>
      </c>
      <c r="L876" s="2">
        <v>1170680</v>
      </c>
      <c r="M876" s="2">
        <v>3384624</v>
      </c>
    </row>
    <row r="877" spans="1:13">
      <c r="A877" s="2" t="s">
        <v>952</v>
      </c>
      <c r="B877" s="2" t="s">
        <v>36</v>
      </c>
      <c r="C877" s="2" t="s">
        <v>58</v>
      </c>
      <c r="D877" s="2" t="s">
        <v>59</v>
      </c>
      <c r="E877" s="3">
        <v>45437</v>
      </c>
      <c r="F877" s="2" t="str">
        <f t="shared" si="13"/>
        <v>May</v>
      </c>
      <c r="G877" s="2">
        <v>56</v>
      </c>
      <c r="H877" s="2" t="s">
        <v>31</v>
      </c>
      <c r="I877" s="2">
        <v>72</v>
      </c>
      <c r="J877" s="2">
        <v>61</v>
      </c>
      <c r="K877" s="2">
        <v>197175</v>
      </c>
      <c r="L877" s="2">
        <v>108580</v>
      </c>
      <c r="M877" s="2">
        <v>88595</v>
      </c>
    </row>
    <row r="878" spans="1:13">
      <c r="A878" s="2" t="s">
        <v>953</v>
      </c>
      <c r="B878" s="2" t="s">
        <v>38</v>
      </c>
      <c r="C878" s="2" t="s">
        <v>59</v>
      </c>
      <c r="D878" s="2" t="s">
        <v>60</v>
      </c>
      <c r="E878" s="3">
        <v>45438</v>
      </c>
      <c r="F878" s="2" t="str">
        <f t="shared" si="13"/>
        <v>May</v>
      </c>
      <c r="G878" s="2">
        <v>190</v>
      </c>
      <c r="H878" s="2" t="s">
        <v>28</v>
      </c>
      <c r="I878" s="2">
        <v>180</v>
      </c>
      <c r="J878" s="2">
        <v>141</v>
      </c>
      <c r="K878" s="2">
        <v>1411209</v>
      </c>
      <c r="L878" s="2">
        <v>345450</v>
      </c>
      <c r="M878" s="2">
        <v>1065759</v>
      </c>
    </row>
    <row r="879" spans="1:13">
      <c r="A879" s="2" t="s">
        <v>954</v>
      </c>
      <c r="B879" s="2" t="s">
        <v>44</v>
      </c>
      <c r="C879" s="2" t="s">
        <v>60</v>
      </c>
      <c r="D879" s="2" t="s">
        <v>59</v>
      </c>
      <c r="E879" s="3">
        <v>45439</v>
      </c>
      <c r="F879" s="2" t="str">
        <f t="shared" si="13"/>
        <v>May</v>
      </c>
      <c r="G879" s="2">
        <v>140</v>
      </c>
      <c r="H879" s="2" t="s">
        <v>32</v>
      </c>
      <c r="I879" s="2">
        <v>190</v>
      </c>
      <c r="J879" s="2">
        <v>160</v>
      </c>
      <c r="K879" s="2">
        <v>1268188</v>
      </c>
      <c r="L879" s="2">
        <v>352000</v>
      </c>
      <c r="M879" s="2">
        <v>916188</v>
      </c>
    </row>
    <row r="880" spans="1:13">
      <c r="A880" s="2" t="s">
        <v>955</v>
      </c>
      <c r="B880" s="2" t="s">
        <v>48</v>
      </c>
      <c r="C880" s="2" t="s">
        <v>61</v>
      </c>
      <c r="D880" s="2" t="s">
        <v>63</v>
      </c>
      <c r="E880" s="3">
        <v>45440</v>
      </c>
      <c r="F880" s="2" t="str">
        <f t="shared" si="13"/>
        <v>May</v>
      </c>
      <c r="G880" s="2">
        <v>314</v>
      </c>
      <c r="H880" s="2" t="s">
        <v>29</v>
      </c>
      <c r="I880" s="2">
        <v>200</v>
      </c>
      <c r="J880" s="2">
        <v>154</v>
      </c>
      <c r="K880" s="2">
        <v>3029057</v>
      </c>
      <c r="L880" s="2">
        <v>472780</v>
      </c>
      <c r="M880" s="2">
        <v>2556277</v>
      </c>
    </row>
    <row r="881" spans="1:13">
      <c r="A881" s="2" t="s">
        <v>956</v>
      </c>
      <c r="B881" s="2" t="s">
        <v>10</v>
      </c>
      <c r="C881" s="2" t="s">
        <v>63</v>
      </c>
      <c r="D881" s="2" t="s">
        <v>61</v>
      </c>
      <c r="E881" s="3">
        <v>45441</v>
      </c>
      <c r="F881" s="2" t="str">
        <f t="shared" si="13"/>
        <v>May</v>
      </c>
      <c r="G881" s="2">
        <v>536</v>
      </c>
      <c r="H881" s="2" t="s">
        <v>33</v>
      </c>
      <c r="I881" s="2">
        <v>260</v>
      </c>
      <c r="J881" s="2">
        <v>167</v>
      </c>
      <c r="K881" s="2">
        <v>8134296</v>
      </c>
      <c r="L881" s="2">
        <v>698060</v>
      </c>
      <c r="M881" s="2">
        <v>7436236</v>
      </c>
    </row>
    <row r="882" spans="1:13">
      <c r="A882" s="2" t="s">
        <v>957</v>
      </c>
      <c r="B882" s="2" t="s">
        <v>2</v>
      </c>
      <c r="C882" s="2" t="s">
        <v>58</v>
      </c>
      <c r="D882" s="2" t="s">
        <v>60</v>
      </c>
      <c r="E882" s="3">
        <v>45442</v>
      </c>
      <c r="F882" s="2" t="str">
        <f t="shared" si="13"/>
        <v>May</v>
      </c>
      <c r="G882" s="2">
        <v>402</v>
      </c>
      <c r="H882" s="2" t="s">
        <v>30</v>
      </c>
      <c r="I882" s="2">
        <v>500</v>
      </c>
      <c r="J882" s="2">
        <v>381</v>
      </c>
      <c r="K882" s="2">
        <v>8549290</v>
      </c>
      <c r="L882" s="2">
        <v>1337310</v>
      </c>
      <c r="M882" s="2">
        <v>7211980</v>
      </c>
    </row>
    <row r="883" spans="1:13">
      <c r="A883" s="2" t="s">
        <v>958</v>
      </c>
      <c r="B883" s="2" t="s">
        <v>43</v>
      </c>
      <c r="C883" s="2" t="s">
        <v>60</v>
      </c>
      <c r="D883" s="2" t="s">
        <v>58</v>
      </c>
      <c r="E883" s="3">
        <v>45443</v>
      </c>
      <c r="F883" s="2" t="str">
        <f t="shared" si="13"/>
        <v>May</v>
      </c>
      <c r="G883" s="2">
        <v>67</v>
      </c>
      <c r="H883" s="2" t="s">
        <v>31</v>
      </c>
      <c r="I883" s="2">
        <v>72</v>
      </c>
      <c r="J883" s="2">
        <v>64</v>
      </c>
      <c r="K883" s="2">
        <v>243527</v>
      </c>
      <c r="L883" s="2">
        <v>117440</v>
      </c>
      <c r="M883" s="2">
        <v>126087</v>
      </c>
    </row>
    <row r="884" spans="1:13">
      <c r="A884" s="2" t="s">
        <v>959</v>
      </c>
      <c r="B884" s="2" t="s">
        <v>40</v>
      </c>
      <c r="C884" s="2" t="s">
        <v>59</v>
      </c>
      <c r="D884" s="2" t="s">
        <v>62</v>
      </c>
      <c r="E884" s="3">
        <v>45444</v>
      </c>
      <c r="F884" s="2" t="str">
        <f t="shared" si="13"/>
        <v>Jun</v>
      </c>
      <c r="G884" s="2">
        <v>205</v>
      </c>
      <c r="H884" s="2" t="s">
        <v>28</v>
      </c>
      <c r="I884" s="2">
        <v>180</v>
      </c>
      <c r="J884" s="2">
        <v>133</v>
      </c>
      <c r="K884" s="2">
        <v>1501457</v>
      </c>
      <c r="L884" s="2">
        <v>671650</v>
      </c>
      <c r="M884" s="2">
        <v>829807</v>
      </c>
    </row>
    <row r="885" spans="1:13">
      <c r="A885" s="2" t="s">
        <v>960</v>
      </c>
      <c r="B885" s="2" t="s">
        <v>51</v>
      </c>
      <c r="C885" s="2" t="s">
        <v>62</v>
      </c>
      <c r="D885" s="2" t="s">
        <v>59</v>
      </c>
      <c r="E885" s="3">
        <v>45445</v>
      </c>
      <c r="F885" s="2" t="str">
        <f t="shared" si="13"/>
        <v>Jun</v>
      </c>
      <c r="G885" s="2">
        <v>132</v>
      </c>
      <c r="H885" s="2" t="s">
        <v>32</v>
      </c>
      <c r="I885" s="2">
        <v>190</v>
      </c>
      <c r="J885" s="2">
        <v>134</v>
      </c>
      <c r="K885" s="2">
        <v>1256662</v>
      </c>
      <c r="L885" s="2">
        <v>578880</v>
      </c>
      <c r="M885" s="2">
        <v>677782</v>
      </c>
    </row>
    <row r="886" spans="1:13">
      <c r="A886" s="2" t="s">
        <v>961</v>
      </c>
      <c r="B886" s="2" t="s">
        <v>47</v>
      </c>
      <c r="C886" s="2" t="s">
        <v>61</v>
      </c>
      <c r="D886" s="2" t="s">
        <v>62</v>
      </c>
      <c r="E886" s="3">
        <v>45446</v>
      </c>
      <c r="F886" s="2" t="str">
        <f t="shared" si="13"/>
        <v>Jun</v>
      </c>
      <c r="G886" s="2">
        <v>267</v>
      </c>
      <c r="H886" s="2" t="s">
        <v>29</v>
      </c>
      <c r="I886" s="2">
        <v>200</v>
      </c>
      <c r="J886" s="2">
        <v>135</v>
      </c>
      <c r="K886" s="2">
        <v>2477774</v>
      </c>
      <c r="L886" s="2">
        <v>382725</v>
      </c>
      <c r="M886" s="2">
        <v>2095049</v>
      </c>
    </row>
    <row r="887" spans="1:13">
      <c r="A887" s="2" t="s">
        <v>962</v>
      </c>
      <c r="B887" s="2" t="s">
        <v>8</v>
      </c>
      <c r="C887" s="2" t="s">
        <v>62</v>
      </c>
      <c r="D887" s="2" t="s">
        <v>61</v>
      </c>
      <c r="E887" s="3">
        <v>45447</v>
      </c>
      <c r="F887" s="2" t="str">
        <f t="shared" si="13"/>
        <v>Jun</v>
      </c>
      <c r="G887" s="2">
        <v>374</v>
      </c>
      <c r="H887" s="2" t="s">
        <v>33</v>
      </c>
      <c r="I887" s="2">
        <v>260</v>
      </c>
      <c r="J887" s="2">
        <v>234</v>
      </c>
      <c r="K887" s="2">
        <v>6077464</v>
      </c>
      <c r="L887" s="2">
        <v>788580</v>
      </c>
      <c r="M887" s="2">
        <v>5288884</v>
      </c>
    </row>
    <row r="888" spans="1:13">
      <c r="A888" s="2" t="s">
        <v>963</v>
      </c>
      <c r="B888" s="2" t="s">
        <v>4</v>
      </c>
      <c r="C888" s="2" t="s">
        <v>58</v>
      </c>
      <c r="D888" s="2" t="s">
        <v>66</v>
      </c>
      <c r="E888" s="3">
        <v>45448</v>
      </c>
      <c r="F888" s="2" t="str">
        <f t="shared" si="13"/>
        <v>Jun</v>
      </c>
      <c r="G888" s="2">
        <v>242</v>
      </c>
      <c r="H888" s="2" t="s">
        <v>30</v>
      </c>
      <c r="I888" s="2">
        <v>500</v>
      </c>
      <c r="J888" s="2">
        <v>317</v>
      </c>
      <c r="K888" s="2">
        <v>5217183</v>
      </c>
      <c r="L888" s="2">
        <v>1718140</v>
      </c>
      <c r="M888" s="2">
        <v>3499043</v>
      </c>
    </row>
    <row r="889" spans="1:13">
      <c r="A889" s="2" t="s">
        <v>964</v>
      </c>
      <c r="B889" s="2" t="s">
        <v>54</v>
      </c>
      <c r="C889" s="2" t="s">
        <v>66</v>
      </c>
      <c r="D889" s="2" t="s">
        <v>58</v>
      </c>
      <c r="E889" s="3">
        <v>45449</v>
      </c>
      <c r="F889" s="2" t="str">
        <f t="shared" si="13"/>
        <v>Jun</v>
      </c>
      <c r="G889" s="2">
        <v>61</v>
      </c>
      <c r="H889" s="2" t="s">
        <v>31</v>
      </c>
      <c r="I889" s="2">
        <v>72</v>
      </c>
      <c r="J889" s="2">
        <v>52</v>
      </c>
      <c r="K889" s="2">
        <v>217815</v>
      </c>
      <c r="L889" s="2">
        <v>187720</v>
      </c>
      <c r="M889" s="2">
        <v>30095</v>
      </c>
    </row>
    <row r="890" spans="1:13">
      <c r="A890" s="2" t="s">
        <v>965</v>
      </c>
      <c r="B890" s="2" t="s">
        <v>42</v>
      </c>
      <c r="C890" s="2" t="s">
        <v>59</v>
      </c>
      <c r="D890" s="2" t="s">
        <v>66</v>
      </c>
      <c r="E890" s="3">
        <v>45450</v>
      </c>
      <c r="F890" s="2" t="str">
        <f t="shared" si="13"/>
        <v>Jun</v>
      </c>
      <c r="G890" s="2">
        <v>159</v>
      </c>
      <c r="H890" s="2" t="s">
        <v>28</v>
      </c>
      <c r="I890" s="2">
        <v>180</v>
      </c>
      <c r="J890" s="2">
        <v>132</v>
      </c>
      <c r="K890" s="2">
        <v>1278566</v>
      </c>
      <c r="L890" s="2">
        <v>605880</v>
      </c>
      <c r="M890" s="2">
        <v>672686</v>
      </c>
    </row>
    <row r="891" spans="1:13">
      <c r="A891" s="2" t="s">
        <v>966</v>
      </c>
      <c r="B891" s="2" t="s">
        <v>55</v>
      </c>
      <c r="C891" s="2" t="s">
        <v>66</v>
      </c>
      <c r="D891" s="2" t="s">
        <v>59</v>
      </c>
      <c r="E891" s="3">
        <v>45451</v>
      </c>
      <c r="F891" s="2" t="str">
        <f t="shared" si="13"/>
        <v>Jun</v>
      </c>
      <c r="G891" s="2">
        <v>349</v>
      </c>
      <c r="H891" s="2" t="s">
        <v>32</v>
      </c>
      <c r="I891" s="2">
        <v>190</v>
      </c>
      <c r="J891" s="2">
        <v>125</v>
      </c>
      <c r="K891" s="2">
        <v>3097358</v>
      </c>
      <c r="L891" s="2">
        <v>811250</v>
      </c>
      <c r="M891" s="2">
        <v>2286108</v>
      </c>
    </row>
    <row r="892" spans="1:13">
      <c r="A892" s="2" t="s">
        <v>967</v>
      </c>
      <c r="B892" s="2" t="s">
        <v>50</v>
      </c>
      <c r="C892" s="2" t="s">
        <v>61</v>
      </c>
      <c r="D892" s="2" t="s">
        <v>65</v>
      </c>
      <c r="E892" s="3">
        <v>45452</v>
      </c>
      <c r="F892" s="2" t="str">
        <f t="shared" si="13"/>
        <v>Jun</v>
      </c>
      <c r="G892" s="2">
        <v>275</v>
      </c>
      <c r="H892" s="2" t="s">
        <v>29</v>
      </c>
      <c r="I892" s="2">
        <v>200</v>
      </c>
      <c r="J892" s="2">
        <v>123</v>
      </c>
      <c r="K892" s="2">
        <v>2749346</v>
      </c>
      <c r="L892" s="2">
        <v>707250</v>
      </c>
      <c r="M892" s="2">
        <v>2042096</v>
      </c>
    </row>
    <row r="893" spans="1:13">
      <c r="A893" s="2" t="s">
        <v>968</v>
      </c>
      <c r="B893" s="2" t="s">
        <v>11</v>
      </c>
      <c r="C893" s="2" t="s">
        <v>65</v>
      </c>
      <c r="D893" s="2" t="s">
        <v>61</v>
      </c>
      <c r="E893" s="3">
        <v>45453</v>
      </c>
      <c r="F893" s="2" t="str">
        <f t="shared" si="13"/>
        <v>Jun</v>
      </c>
      <c r="G893" s="2">
        <v>226</v>
      </c>
      <c r="H893" s="2" t="s">
        <v>33</v>
      </c>
      <c r="I893" s="2">
        <v>260</v>
      </c>
      <c r="J893" s="2">
        <v>170</v>
      </c>
      <c r="K893" s="2">
        <v>3068253</v>
      </c>
      <c r="L893" s="2">
        <v>894200</v>
      </c>
      <c r="M893" s="2">
        <v>2174053</v>
      </c>
    </row>
    <row r="894" spans="1:13">
      <c r="A894" s="2" t="s">
        <v>969</v>
      </c>
      <c r="B894" s="2" t="s">
        <v>6</v>
      </c>
      <c r="C894" s="2" t="s">
        <v>59</v>
      </c>
      <c r="D894" s="2" t="s">
        <v>65</v>
      </c>
      <c r="E894" s="3">
        <v>45454</v>
      </c>
      <c r="F894" s="2" t="str">
        <f t="shared" si="13"/>
        <v>Jun</v>
      </c>
      <c r="G894" s="2">
        <v>305</v>
      </c>
      <c r="H894" s="2" t="s">
        <v>30</v>
      </c>
      <c r="I894" s="2">
        <v>500</v>
      </c>
      <c r="J894" s="2">
        <v>404</v>
      </c>
      <c r="K894" s="2">
        <v>5613537</v>
      </c>
      <c r="L894" s="2">
        <v>2444200</v>
      </c>
      <c r="M894" s="2">
        <v>3169337</v>
      </c>
    </row>
    <row r="895" spans="1:13">
      <c r="A895" s="2" t="s">
        <v>970</v>
      </c>
      <c r="B895" s="2" t="s">
        <v>53</v>
      </c>
      <c r="C895" s="2" t="s">
        <v>65</v>
      </c>
      <c r="D895" s="2" t="s">
        <v>59</v>
      </c>
      <c r="E895" s="3">
        <v>45455</v>
      </c>
      <c r="F895" s="2" t="str">
        <f t="shared" si="13"/>
        <v>Jun</v>
      </c>
      <c r="G895" s="2">
        <v>93</v>
      </c>
      <c r="H895" s="2" t="s">
        <v>31</v>
      </c>
      <c r="I895" s="2">
        <v>72</v>
      </c>
      <c r="J895" s="2">
        <v>58</v>
      </c>
      <c r="K895" s="2">
        <v>316685</v>
      </c>
      <c r="L895" s="2">
        <v>227940</v>
      </c>
      <c r="M895" s="2">
        <v>88745</v>
      </c>
    </row>
    <row r="896" spans="1:13">
      <c r="A896" s="2" t="s">
        <v>971</v>
      </c>
      <c r="B896" s="2" t="s">
        <v>49</v>
      </c>
      <c r="C896" s="2" t="s">
        <v>61</v>
      </c>
      <c r="D896" s="2" t="s">
        <v>64</v>
      </c>
      <c r="E896" s="3">
        <v>45456</v>
      </c>
      <c r="F896" s="2" t="str">
        <f t="shared" si="13"/>
        <v>Jun</v>
      </c>
      <c r="G896" s="2">
        <v>175</v>
      </c>
      <c r="H896" s="2" t="s">
        <v>28</v>
      </c>
      <c r="I896" s="2">
        <v>180</v>
      </c>
      <c r="J896" s="2">
        <v>144</v>
      </c>
      <c r="K896" s="2">
        <v>1416712</v>
      </c>
      <c r="L896" s="2">
        <v>684000</v>
      </c>
      <c r="M896" s="2">
        <v>732712</v>
      </c>
    </row>
    <row r="897" spans="1:13">
      <c r="A897" s="2" t="s">
        <v>972</v>
      </c>
      <c r="B897" s="2" t="s">
        <v>52</v>
      </c>
      <c r="C897" s="2" t="s">
        <v>64</v>
      </c>
      <c r="D897" s="2" t="s">
        <v>61</v>
      </c>
      <c r="E897" s="3">
        <v>45457</v>
      </c>
      <c r="F897" s="2" t="str">
        <f t="shared" si="13"/>
        <v>Jun</v>
      </c>
      <c r="G897" s="2">
        <v>90</v>
      </c>
      <c r="H897" s="2" t="s">
        <v>32</v>
      </c>
      <c r="I897" s="2">
        <v>190</v>
      </c>
      <c r="J897" s="2">
        <v>159</v>
      </c>
      <c r="K897" s="2">
        <v>751769</v>
      </c>
      <c r="L897" s="2">
        <v>620100</v>
      </c>
      <c r="M897" s="2">
        <v>131669</v>
      </c>
    </row>
    <row r="898" spans="1:13">
      <c r="A898" s="2" t="s">
        <v>973</v>
      </c>
      <c r="B898" s="2" t="s">
        <v>37</v>
      </c>
      <c r="C898" s="2" t="s">
        <v>58</v>
      </c>
      <c r="D898" s="2" t="s">
        <v>62</v>
      </c>
      <c r="E898" s="3">
        <v>45458</v>
      </c>
      <c r="F898" s="2" t="str">
        <f t="shared" si="13"/>
        <v>Jun</v>
      </c>
      <c r="G898" s="2">
        <v>146</v>
      </c>
      <c r="H898" s="2" t="s">
        <v>29</v>
      </c>
      <c r="I898" s="2">
        <v>200</v>
      </c>
      <c r="J898" s="2">
        <v>187</v>
      </c>
      <c r="K898" s="2">
        <v>1354878</v>
      </c>
      <c r="L898" s="2">
        <v>834020</v>
      </c>
      <c r="M898" s="2">
        <v>520858</v>
      </c>
    </row>
    <row r="899" spans="1:13">
      <c r="A899" s="2" t="s">
        <v>974</v>
      </c>
      <c r="B899" s="2" t="s">
        <v>7</v>
      </c>
      <c r="C899" s="2" t="s">
        <v>62</v>
      </c>
      <c r="D899" s="2" t="s">
        <v>58</v>
      </c>
      <c r="E899" s="3">
        <v>45459</v>
      </c>
      <c r="F899" s="2" t="str">
        <f t="shared" ref="F899:F962" si="14">TEXT(E899,"mmm")</f>
        <v>Jun</v>
      </c>
      <c r="G899" s="2">
        <v>334</v>
      </c>
      <c r="H899" s="2" t="s">
        <v>33</v>
      </c>
      <c r="I899" s="2">
        <v>260</v>
      </c>
      <c r="J899" s="2">
        <v>175</v>
      </c>
      <c r="K899" s="2">
        <v>5436488</v>
      </c>
      <c r="L899" s="2">
        <v>1109500</v>
      </c>
      <c r="M899" s="2">
        <v>4326988</v>
      </c>
    </row>
    <row r="900" spans="1:13">
      <c r="A900" s="2" t="s">
        <v>975</v>
      </c>
      <c r="B900" s="2" t="s">
        <v>9</v>
      </c>
      <c r="C900" s="2" t="s">
        <v>63</v>
      </c>
      <c r="D900" s="2" t="s">
        <v>59</v>
      </c>
      <c r="E900" s="3">
        <v>45460</v>
      </c>
      <c r="F900" s="2" t="str">
        <f t="shared" si="14"/>
        <v>Jun</v>
      </c>
      <c r="G900" s="2">
        <v>413</v>
      </c>
      <c r="H900" s="2" t="s">
        <v>30</v>
      </c>
      <c r="I900" s="2">
        <v>500</v>
      </c>
      <c r="J900" s="2">
        <v>369</v>
      </c>
      <c r="K900" s="2">
        <v>7951416</v>
      </c>
      <c r="L900" s="2">
        <v>1315485</v>
      </c>
      <c r="M900" s="2">
        <v>6635931</v>
      </c>
    </row>
    <row r="901" spans="1:13">
      <c r="A901" s="2" t="s">
        <v>976</v>
      </c>
      <c r="B901" s="2" t="s">
        <v>41</v>
      </c>
      <c r="C901" s="2" t="s">
        <v>59</v>
      </c>
      <c r="D901" s="2" t="s">
        <v>63</v>
      </c>
      <c r="E901" s="3">
        <v>45461</v>
      </c>
      <c r="F901" s="2" t="str">
        <f t="shared" si="14"/>
        <v>Jun</v>
      </c>
      <c r="G901" s="2">
        <v>44</v>
      </c>
      <c r="H901" s="2" t="s">
        <v>31</v>
      </c>
      <c r="I901" s="2">
        <v>72</v>
      </c>
      <c r="J901" s="2">
        <v>55</v>
      </c>
      <c r="K901" s="2">
        <v>142605</v>
      </c>
      <c r="L901" s="2">
        <v>94600</v>
      </c>
      <c r="M901" s="2">
        <v>48005</v>
      </c>
    </row>
    <row r="902" spans="1:13">
      <c r="A902" s="2" t="s">
        <v>977</v>
      </c>
      <c r="B902" s="2" t="s">
        <v>39</v>
      </c>
      <c r="C902" s="2" t="s">
        <v>59</v>
      </c>
      <c r="D902" s="2" t="s">
        <v>61</v>
      </c>
      <c r="E902" s="3">
        <v>45462</v>
      </c>
      <c r="F902" s="2" t="str">
        <f t="shared" si="14"/>
        <v>Jun</v>
      </c>
      <c r="G902" s="2">
        <v>181</v>
      </c>
      <c r="H902" s="2" t="s">
        <v>28</v>
      </c>
      <c r="I902" s="2">
        <v>180</v>
      </c>
      <c r="J902" s="2">
        <v>115</v>
      </c>
      <c r="K902" s="2">
        <v>1580034</v>
      </c>
      <c r="L902" s="2">
        <v>276575</v>
      </c>
      <c r="M902" s="2">
        <v>1303459</v>
      </c>
    </row>
    <row r="903" spans="1:13">
      <c r="A903" s="2" t="s">
        <v>978</v>
      </c>
      <c r="B903" s="2" t="s">
        <v>46</v>
      </c>
      <c r="C903" s="2" t="s">
        <v>61</v>
      </c>
      <c r="D903" s="2" t="s">
        <v>59</v>
      </c>
      <c r="E903" s="3">
        <v>45463</v>
      </c>
      <c r="F903" s="2" t="str">
        <f t="shared" si="14"/>
        <v>Jun</v>
      </c>
      <c r="G903" s="2">
        <v>94</v>
      </c>
      <c r="H903" s="2" t="s">
        <v>32</v>
      </c>
      <c r="I903" s="2">
        <v>190</v>
      </c>
      <c r="J903" s="2">
        <v>173</v>
      </c>
      <c r="K903" s="2">
        <v>863417</v>
      </c>
      <c r="L903" s="2">
        <v>340810</v>
      </c>
      <c r="M903" s="2">
        <v>522607</v>
      </c>
    </row>
    <row r="904" spans="1:13">
      <c r="A904" s="2" t="s">
        <v>979</v>
      </c>
      <c r="B904" s="2" t="s">
        <v>45</v>
      </c>
      <c r="C904" s="2" t="s">
        <v>61</v>
      </c>
      <c r="D904" s="2" t="s">
        <v>58</v>
      </c>
      <c r="E904" s="3">
        <v>45464</v>
      </c>
      <c r="F904" s="2" t="str">
        <f t="shared" si="14"/>
        <v>Jun</v>
      </c>
      <c r="G904" s="2">
        <v>280</v>
      </c>
      <c r="H904" s="2" t="s">
        <v>29</v>
      </c>
      <c r="I904" s="2">
        <v>200</v>
      </c>
      <c r="J904" s="2">
        <v>188</v>
      </c>
      <c r="K904" s="2">
        <v>2547431</v>
      </c>
      <c r="L904" s="2">
        <v>545200</v>
      </c>
      <c r="M904" s="2">
        <v>2002231</v>
      </c>
    </row>
    <row r="905" spans="1:13">
      <c r="A905" s="2" t="s">
        <v>980</v>
      </c>
      <c r="B905" s="2" t="s">
        <v>3</v>
      </c>
      <c r="C905" s="2" t="s">
        <v>58</v>
      </c>
      <c r="D905" s="2" t="s">
        <v>61</v>
      </c>
      <c r="E905" s="3">
        <v>45465</v>
      </c>
      <c r="F905" s="2" t="str">
        <f t="shared" si="14"/>
        <v>Jun</v>
      </c>
      <c r="G905" s="2">
        <v>305</v>
      </c>
      <c r="H905" s="2" t="s">
        <v>33</v>
      </c>
      <c r="I905" s="2">
        <v>260</v>
      </c>
      <c r="J905" s="2">
        <v>191</v>
      </c>
      <c r="K905" s="2">
        <v>4470243</v>
      </c>
      <c r="L905" s="2">
        <v>577775</v>
      </c>
      <c r="M905" s="2">
        <v>3892468</v>
      </c>
    </row>
    <row r="906" spans="1:13">
      <c r="A906" s="2" t="s">
        <v>981</v>
      </c>
      <c r="B906" s="2" t="s">
        <v>5</v>
      </c>
      <c r="C906" s="2" t="s">
        <v>59</v>
      </c>
      <c r="D906" s="2" t="s">
        <v>58</v>
      </c>
      <c r="E906" s="3">
        <v>45466</v>
      </c>
      <c r="F906" s="2" t="str">
        <f t="shared" si="14"/>
        <v>Jun</v>
      </c>
      <c r="G906" s="2">
        <v>457</v>
      </c>
      <c r="H906" s="2" t="s">
        <v>30</v>
      </c>
      <c r="I906" s="2">
        <v>500</v>
      </c>
      <c r="J906" s="2">
        <v>394</v>
      </c>
      <c r="K906" s="2">
        <v>8507777</v>
      </c>
      <c r="L906" s="2">
        <v>1491290</v>
      </c>
      <c r="M906" s="2">
        <v>7016487</v>
      </c>
    </row>
    <row r="907" spans="1:13">
      <c r="A907" s="2" t="s">
        <v>982</v>
      </c>
      <c r="B907" s="2" t="s">
        <v>36</v>
      </c>
      <c r="C907" s="2" t="s">
        <v>58</v>
      </c>
      <c r="D907" s="2" t="s">
        <v>59</v>
      </c>
      <c r="E907" s="3">
        <v>45467</v>
      </c>
      <c r="F907" s="2" t="str">
        <f t="shared" si="14"/>
        <v>Jun</v>
      </c>
      <c r="G907" s="2">
        <v>78</v>
      </c>
      <c r="H907" s="2" t="s">
        <v>31</v>
      </c>
      <c r="I907" s="2">
        <v>72</v>
      </c>
      <c r="J907" s="2">
        <v>56</v>
      </c>
      <c r="K907" s="2">
        <v>254891</v>
      </c>
      <c r="L907" s="2">
        <v>105840</v>
      </c>
      <c r="M907" s="2">
        <v>149051</v>
      </c>
    </row>
    <row r="908" spans="1:13">
      <c r="A908" s="2" t="s">
        <v>983</v>
      </c>
      <c r="B908" s="2" t="s">
        <v>38</v>
      </c>
      <c r="C908" s="2" t="s">
        <v>59</v>
      </c>
      <c r="D908" s="2" t="s">
        <v>60</v>
      </c>
      <c r="E908" s="3">
        <v>45468</v>
      </c>
      <c r="F908" s="2" t="str">
        <f t="shared" si="14"/>
        <v>Jun</v>
      </c>
      <c r="G908" s="2">
        <v>112</v>
      </c>
      <c r="H908" s="2" t="s">
        <v>28</v>
      </c>
      <c r="I908" s="2">
        <v>180</v>
      </c>
      <c r="J908" s="2">
        <v>160</v>
      </c>
      <c r="K908" s="2">
        <v>885327</v>
      </c>
      <c r="L908" s="2">
        <v>329600</v>
      </c>
      <c r="M908" s="2">
        <v>555727</v>
      </c>
    </row>
    <row r="909" spans="1:13">
      <c r="A909" s="2" t="s">
        <v>984</v>
      </c>
      <c r="B909" s="2" t="s">
        <v>44</v>
      </c>
      <c r="C909" s="2" t="s">
        <v>60</v>
      </c>
      <c r="D909" s="2" t="s">
        <v>59</v>
      </c>
      <c r="E909" s="3">
        <v>45469</v>
      </c>
      <c r="F909" s="2" t="str">
        <f t="shared" si="14"/>
        <v>Jun</v>
      </c>
      <c r="G909" s="2">
        <v>101</v>
      </c>
      <c r="H909" s="2" t="s">
        <v>32</v>
      </c>
      <c r="I909" s="2">
        <v>190</v>
      </c>
      <c r="J909" s="2">
        <v>168</v>
      </c>
      <c r="K909" s="2">
        <v>946998</v>
      </c>
      <c r="L909" s="2">
        <v>336840</v>
      </c>
      <c r="M909" s="2">
        <v>610158</v>
      </c>
    </row>
    <row r="910" spans="1:13">
      <c r="A910" s="2" t="s">
        <v>985</v>
      </c>
      <c r="B910" s="2" t="s">
        <v>48</v>
      </c>
      <c r="C910" s="2" t="s">
        <v>61</v>
      </c>
      <c r="D910" s="2" t="s">
        <v>63</v>
      </c>
      <c r="E910" s="3">
        <v>45470</v>
      </c>
      <c r="F910" s="2" t="str">
        <f t="shared" si="14"/>
        <v>Jun</v>
      </c>
      <c r="G910" s="2">
        <v>329</v>
      </c>
      <c r="H910" s="2" t="s">
        <v>29</v>
      </c>
      <c r="I910" s="2">
        <v>200</v>
      </c>
      <c r="J910" s="2">
        <v>124</v>
      </c>
      <c r="K910" s="2">
        <v>3027014</v>
      </c>
      <c r="L910" s="2">
        <v>389980</v>
      </c>
      <c r="M910" s="2">
        <v>2637034</v>
      </c>
    </row>
    <row r="911" spans="1:13">
      <c r="A911" s="2" t="s">
        <v>986</v>
      </c>
      <c r="B911" s="2" t="s">
        <v>10</v>
      </c>
      <c r="C911" s="2" t="s">
        <v>63</v>
      </c>
      <c r="D911" s="2" t="s">
        <v>61</v>
      </c>
      <c r="E911" s="3">
        <v>45471</v>
      </c>
      <c r="F911" s="2" t="str">
        <f t="shared" si="14"/>
        <v>Jun</v>
      </c>
      <c r="G911" s="2">
        <v>200</v>
      </c>
      <c r="H911" s="2" t="s">
        <v>33</v>
      </c>
      <c r="I911" s="2">
        <v>260</v>
      </c>
      <c r="J911" s="2">
        <v>243</v>
      </c>
      <c r="K911" s="2">
        <v>3034625</v>
      </c>
      <c r="L911" s="2">
        <v>607500</v>
      </c>
      <c r="M911" s="2">
        <v>2427125</v>
      </c>
    </row>
    <row r="912" spans="1:13">
      <c r="A912" s="2" t="s">
        <v>987</v>
      </c>
      <c r="B912" s="2" t="s">
        <v>2</v>
      </c>
      <c r="C912" s="2" t="s">
        <v>58</v>
      </c>
      <c r="D912" s="2" t="s">
        <v>60</v>
      </c>
      <c r="E912" s="3">
        <v>45472</v>
      </c>
      <c r="F912" s="2" t="str">
        <f t="shared" si="14"/>
        <v>Jun</v>
      </c>
      <c r="G912" s="2">
        <v>271</v>
      </c>
      <c r="H912" s="2" t="s">
        <v>30</v>
      </c>
      <c r="I912" s="2">
        <v>500</v>
      </c>
      <c r="J912" s="2">
        <v>402</v>
      </c>
      <c r="K912" s="2">
        <v>5961689</v>
      </c>
      <c r="L912" s="2">
        <v>1147710</v>
      </c>
      <c r="M912" s="2">
        <v>4813979</v>
      </c>
    </row>
    <row r="913" spans="1:13">
      <c r="A913" s="2" t="s">
        <v>988</v>
      </c>
      <c r="B913" s="2" t="s">
        <v>43</v>
      </c>
      <c r="C913" s="2" t="s">
        <v>60</v>
      </c>
      <c r="D913" s="2" t="s">
        <v>58</v>
      </c>
      <c r="E913" s="3">
        <v>45473</v>
      </c>
      <c r="F913" s="2" t="str">
        <f t="shared" si="14"/>
        <v>Jun</v>
      </c>
      <c r="G913" s="2">
        <v>42</v>
      </c>
      <c r="H913" s="2" t="s">
        <v>31</v>
      </c>
      <c r="I913" s="2">
        <v>72</v>
      </c>
      <c r="J913" s="2">
        <v>58</v>
      </c>
      <c r="K913" s="2">
        <v>146673</v>
      </c>
      <c r="L913" s="2">
        <v>99180</v>
      </c>
      <c r="M913" s="2">
        <v>47493</v>
      </c>
    </row>
    <row r="914" spans="1:13">
      <c r="A914" s="2" t="s">
        <v>989</v>
      </c>
      <c r="B914" s="2" t="s">
        <v>40</v>
      </c>
      <c r="C914" s="2" t="s">
        <v>59</v>
      </c>
      <c r="D914" s="2" t="s">
        <v>62</v>
      </c>
      <c r="E914" s="3">
        <v>45474</v>
      </c>
      <c r="F914" s="2" t="str">
        <f t="shared" si="14"/>
        <v>Jul</v>
      </c>
      <c r="G914" s="2">
        <v>238</v>
      </c>
      <c r="H914" s="2" t="s">
        <v>28</v>
      </c>
      <c r="I914" s="2">
        <v>180</v>
      </c>
      <c r="J914" s="2">
        <v>157</v>
      </c>
      <c r="K914" s="2">
        <v>1993327</v>
      </c>
      <c r="L914" s="2">
        <v>844660</v>
      </c>
      <c r="M914" s="2">
        <v>1148667</v>
      </c>
    </row>
    <row r="915" spans="1:13">
      <c r="A915" s="2" t="s">
        <v>990</v>
      </c>
      <c r="B915" s="2" t="s">
        <v>51</v>
      </c>
      <c r="C915" s="2" t="s">
        <v>62</v>
      </c>
      <c r="D915" s="2" t="s">
        <v>59</v>
      </c>
      <c r="E915" s="3">
        <v>45475</v>
      </c>
      <c r="F915" s="2" t="str">
        <f t="shared" si="14"/>
        <v>Jul</v>
      </c>
      <c r="G915" s="2">
        <v>163</v>
      </c>
      <c r="H915" s="2" t="s">
        <v>32</v>
      </c>
      <c r="I915" s="2">
        <v>190</v>
      </c>
      <c r="J915" s="2">
        <v>135</v>
      </c>
      <c r="K915" s="2">
        <v>1552825</v>
      </c>
      <c r="L915" s="2">
        <v>625050</v>
      </c>
      <c r="M915" s="2">
        <v>927775</v>
      </c>
    </row>
    <row r="916" spans="1:13">
      <c r="A916" s="2" t="s">
        <v>991</v>
      </c>
      <c r="B916" s="2" t="s">
        <v>47</v>
      </c>
      <c r="C916" s="2" t="s">
        <v>61</v>
      </c>
      <c r="D916" s="2" t="s">
        <v>62</v>
      </c>
      <c r="E916" s="3">
        <v>45476</v>
      </c>
      <c r="F916" s="2" t="str">
        <f t="shared" si="14"/>
        <v>Jul</v>
      </c>
      <c r="G916" s="2">
        <v>354</v>
      </c>
      <c r="H916" s="2" t="s">
        <v>29</v>
      </c>
      <c r="I916" s="2">
        <v>200</v>
      </c>
      <c r="J916" s="2">
        <v>134</v>
      </c>
      <c r="K916" s="2">
        <v>3292469</v>
      </c>
      <c r="L916" s="2">
        <v>438180</v>
      </c>
      <c r="M916" s="2">
        <v>2854289</v>
      </c>
    </row>
    <row r="917" spans="1:13">
      <c r="A917" s="2" t="s">
        <v>992</v>
      </c>
      <c r="B917" s="2" t="s">
        <v>8</v>
      </c>
      <c r="C917" s="2" t="s">
        <v>62</v>
      </c>
      <c r="D917" s="2" t="s">
        <v>61</v>
      </c>
      <c r="E917" s="3">
        <v>45477</v>
      </c>
      <c r="F917" s="2" t="str">
        <f t="shared" si="14"/>
        <v>Jul</v>
      </c>
      <c r="G917" s="2">
        <v>463</v>
      </c>
      <c r="H917" s="2" t="s">
        <v>33</v>
      </c>
      <c r="I917" s="2">
        <v>260</v>
      </c>
      <c r="J917" s="2">
        <v>233</v>
      </c>
      <c r="K917" s="2">
        <v>7237918</v>
      </c>
      <c r="L917" s="2">
        <v>888895</v>
      </c>
      <c r="M917" s="2">
        <v>6349023</v>
      </c>
    </row>
    <row r="918" spans="1:13">
      <c r="A918" s="2" t="s">
        <v>993</v>
      </c>
      <c r="B918" s="2" t="s">
        <v>4</v>
      </c>
      <c r="C918" s="2" t="s">
        <v>58</v>
      </c>
      <c r="D918" s="2" t="s">
        <v>66</v>
      </c>
      <c r="E918" s="3">
        <v>45478</v>
      </c>
      <c r="F918" s="2" t="str">
        <f t="shared" si="14"/>
        <v>Jul</v>
      </c>
      <c r="G918" s="2">
        <v>326</v>
      </c>
      <c r="H918" s="2" t="s">
        <v>30</v>
      </c>
      <c r="I918" s="2">
        <v>500</v>
      </c>
      <c r="J918" s="2">
        <v>323</v>
      </c>
      <c r="K918" s="2">
        <v>6641290</v>
      </c>
      <c r="L918" s="2">
        <v>2021980</v>
      </c>
      <c r="M918" s="2">
        <v>4619310</v>
      </c>
    </row>
    <row r="919" spans="1:13">
      <c r="A919" s="2" t="s">
        <v>994</v>
      </c>
      <c r="B919" s="2" t="s">
        <v>54</v>
      </c>
      <c r="C919" s="2" t="s">
        <v>66</v>
      </c>
      <c r="D919" s="2" t="s">
        <v>58</v>
      </c>
      <c r="E919" s="3">
        <v>45479</v>
      </c>
      <c r="F919" s="2" t="str">
        <f t="shared" si="14"/>
        <v>Jul</v>
      </c>
      <c r="G919" s="2">
        <v>127</v>
      </c>
      <c r="H919" s="2" t="s">
        <v>31</v>
      </c>
      <c r="I919" s="2">
        <v>72</v>
      </c>
      <c r="J919" s="2">
        <v>61</v>
      </c>
      <c r="K919" s="2">
        <v>447468</v>
      </c>
      <c r="L919" s="2">
        <v>260470</v>
      </c>
      <c r="M919" s="2">
        <v>186998</v>
      </c>
    </row>
    <row r="920" spans="1:13">
      <c r="A920" s="2" t="s">
        <v>995</v>
      </c>
      <c r="B920" s="2" t="s">
        <v>42</v>
      </c>
      <c r="C920" s="2" t="s">
        <v>59</v>
      </c>
      <c r="D920" s="2" t="s">
        <v>66</v>
      </c>
      <c r="E920" s="3">
        <v>45480</v>
      </c>
      <c r="F920" s="2" t="str">
        <f t="shared" si="14"/>
        <v>Jul</v>
      </c>
      <c r="G920" s="2">
        <v>199</v>
      </c>
      <c r="H920" s="2" t="s">
        <v>28</v>
      </c>
      <c r="I920" s="2">
        <v>180</v>
      </c>
      <c r="J920" s="2">
        <v>110</v>
      </c>
      <c r="K920" s="2">
        <v>1670281</v>
      </c>
      <c r="L920" s="2">
        <v>548900</v>
      </c>
      <c r="M920" s="2">
        <v>1121381</v>
      </c>
    </row>
    <row r="921" spans="1:13">
      <c r="A921" s="2" t="s">
        <v>996</v>
      </c>
      <c r="B921" s="2" t="s">
        <v>55</v>
      </c>
      <c r="C921" s="2" t="s">
        <v>66</v>
      </c>
      <c r="D921" s="2" t="s">
        <v>59</v>
      </c>
      <c r="E921" s="3">
        <v>45481</v>
      </c>
      <c r="F921" s="2" t="str">
        <f t="shared" si="14"/>
        <v>Jul</v>
      </c>
      <c r="G921" s="2">
        <v>64</v>
      </c>
      <c r="H921" s="2" t="s">
        <v>32</v>
      </c>
      <c r="I921" s="2">
        <v>190</v>
      </c>
      <c r="J921" s="2">
        <v>166</v>
      </c>
      <c r="K921" s="2">
        <v>550168</v>
      </c>
      <c r="L921" s="2">
        <v>604240</v>
      </c>
      <c r="M921" s="2">
        <v>-54072</v>
      </c>
    </row>
    <row r="922" spans="1:13">
      <c r="A922" s="2" t="s">
        <v>997</v>
      </c>
      <c r="B922" s="2" t="s">
        <v>50</v>
      </c>
      <c r="C922" s="2" t="s">
        <v>61</v>
      </c>
      <c r="D922" s="2" t="s">
        <v>65</v>
      </c>
      <c r="E922" s="3">
        <v>45482</v>
      </c>
      <c r="F922" s="2" t="str">
        <f t="shared" si="14"/>
        <v>Jul</v>
      </c>
      <c r="G922" s="2">
        <v>125</v>
      </c>
      <c r="H922" s="2" t="s">
        <v>29</v>
      </c>
      <c r="I922" s="2">
        <v>200</v>
      </c>
      <c r="J922" s="2">
        <v>122</v>
      </c>
      <c r="K922" s="2">
        <v>1299031</v>
      </c>
      <c r="L922" s="2">
        <v>518500</v>
      </c>
      <c r="M922" s="2">
        <v>780531</v>
      </c>
    </row>
    <row r="923" spans="1:13">
      <c r="A923" s="2" t="s">
        <v>998</v>
      </c>
      <c r="B923" s="2" t="s">
        <v>11</v>
      </c>
      <c r="C923" s="2" t="s">
        <v>65</v>
      </c>
      <c r="D923" s="2" t="s">
        <v>61</v>
      </c>
      <c r="E923" s="3">
        <v>45483</v>
      </c>
      <c r="F923" s="2" t="str">
        <f t="shared" si="14"/>
        <v>Jul</v>
      </c>
      <c r="G923" s="2">
        <v>326</v>
      </c>
      <c r="H923" s="2" t="s">
        <v>33</v>
      </c>
      <c r="I923" s="2">
        <v>260</v>
      </c>
      <c r="J923" s="2">
        <v>202</v>
      </c>
      <c r="K923" s="2">
        <v>4492611</v>
      </c>
      <c r="L923" s="2">
        <v>1264520</v>
      </c>
      <c r="M923" s="2">
        <v>3228091</v>
      </c>
    </row>
    <row r="924" spans="1:13">
      <c r="A924" s="2" t="s">
        <v>999</v>
      </c>
      <c r="B924" s="2" t="s">
        <v>6</v>
      </c>
      <c r="C924" s="2" t="s">
        <v>59</v>
      </c>
      <c r="D924" s="2" t="s">
        <v>65</v>
      </c>
      <c r="E924" s="3">
        <v>45484</v>
      </c>
      <c r="F924" s="2" t="str">
        <f t="shared" si="14"/>
        <v>Jul</v>
      </c>
      <c r="G924" s="2">
        <v>487</v>
      </c>
      <c r="H924" s="2" t="s">
        <v>30</v>
      </c>
      <c r="I924" s="2">
        <v>500</v>
      </c>
      <c r="J924" s="2">
        <v>451</v>
      </c>
      <c r="K924" s="2">
        <v>9912849</v>
      </c>
      <c r="L924" s="2">
        <v>3549370</v>
      </c>
      <c r="M924" s="2">
        <v>6363479</v>
      </c>
    </row>
    <row r="925" spans="1:13">
      <c r="A925" s="2" t="s">
        <v>1000</v>
      </c>
      <c r="B925" s="2" t="s">
        <v>53</v>
      </c>
      <c r="C925" s="2" t="s">
        <v>65</v>
      </c>
      <c r="D925" s="2" t="s">
        <v>59</v>
      </c>
      <c r="E925" s="3">
        <v>45485</v>
      </c>
      <c r="F925" s="2" t="str">
        <f t="shared" si="14"/>
        <v>Jul</v>
      </c>
      <c r="G925" s="2">
        <v>129</v>
      </c>
      <c r="H925" s="2" t="s">
        <v>31</v>
      </c>
      <c r="I925" s="2">
        <v>72</v>
      </c>
      <c r="J925" s="2">
        <v>50</v>
      </c>
      <c r="K925" s="2">
        <v>424701</v>
      </c>
      <c r="L925" s="2">
        <v>214500</v>
      </c>
      <c r="M925" s="2">
        <v>210201</v>
      </c>
    </row>
    <row r="926" spans="1:13">
      <c r="A926" s="2" t="s">
        <v>1001</v>
      </c>
      <c r="B926" s="2" t="s">
        <v>49</v>
      </c>
      <c r="C926" s="2" t="s">
        <v>61</v>
      </c>
      <c r="D926" s="2" t="s">
        <v>64</v>
      </c>
      <c r="E926" s="3">
        <v>45486</v>
      </c>
      <c r="F926" s="2" t="str">
        <f t="shared" si="14"/>
        <v>Jul</v>
      </c>
      <c r="G926" s="2">
        <v>275</v>
      </c>
      <c r="H926" s="2" t="s">
        <v>28</v>
      </c>
      <c r="I926" s="2">
        <v>180</v>
      </c>
      <c r="J926" s="2">
        <v>135</v>
      </c>
      <c r="K926" s="2">
        <v>2246532</v>
      </c>
      <c r="L926" s="2">
        <v>776250</v>
      </c>
      <c r="M926" s="2">
        <v>1470282</v>
      </c>
    </row>
    <row r="927" spans="1:13">
      <c r="A927" s="2" t="s">
        <v>1002</v>
      </c>
      <c r="B927" s="2" t="s">
        <v>52</v>
      </c>
      <c r="C927" s="2" t="s">
        <v>64</v>
      </c>
      <c r="D927" s="2" t="s">
        <v>61</v>
      </c>
      <c r="E927" s="3">
        <v>45487</v>
      </c>
      <c r="F927" s="2" t="str">
        <f t="shared" si="14"/>
        <v>Jul</v>
      </c>
      <c r="G927" s="2">
        <v>251</v>
      </c>
      <c r="H927" s="2" t="s">
        <v>32</v>
      </c>
      <c r="I927" s="2">
        <v>190</v>
      </c>
      <c r="J927" s="2">
        <v>146</v>
      </c>
      <c r="K927" s="2">
        <v>2293914</v>
      </c>
      <c r="L927" s="2">
        <v>804460</v>
      </c>
      <c r="M927" s="2">
        <v>1489454</v>
      </c>
    </row>
    <row r="928" spans="1:13">
      <c r="A928" s="2" t="s">
        <v>1003</v>
      </c>
      <c r="B928" s="2" t="s">
        <v>37</v>
      </c>
      <c r="C928" s="2" t="s">
        <v>58</v>
      </c>
      <c r="D928" s="2" t="s">
        <v>62</v>
      </c>
      <c r="E928" s="3">
        <v>45488</v>
      </c>
      <c r="F928" s="2" t="str">
        <f t="shared" si="14"/>
        <v>Jul</v>
      </c>
      <c r="G928" s="2">
        <v>258</v>
      </c>
      <c r="H928" s="2" t="s">
        <v>29</v>
      </c>
      <c r="I928" s="2">
        <v>200</v>
      </c>
      <c r="J928" s="2">
        <v>182</v>
      </c>
      <c r="K928" s="2">
        <v>2429421</v>
      </c>
      <c r="L928" s="2">
        <v>1015560</v>
      </c>
      <c r="M928" s="2">
        <v>1413861</v>
      </c>
    </row>
    <row r="929" spans="1:13">
      <c r="A929" s="2" t="s">
        <v>1004</v>
      </c>
      <c r="B929" s="2" t="s">
        <v>7</v>
      </c>
      <c r="C929" s="2" t="s">
        <v>62</v>
      </c>
      <c r="D929" s="2" t="s">
        <v>58</v>
      </c>
      <c r="E929" s="3">
        <v>45489</v>
      </c>
      <c r="F929" s="2" t="str">
        <f t="shared" si="14"/>
        <v>Jul</v>
      </c>
      <c r="G929" s="2">
        <v>271</v>
      </c>
      <c r="H929" s="2" t="s">
        <v>33</v>
      </c>
      <c r="I929" s="2">
        <v>260</v>
      </c>
      <c r="J929" s="2">
        <v>231</v>
      </c>
      <c r="K929" s="2">
        <v>4280061</v>
      </c>
      <c r="L929" s="2">
        <v>1319010</v>
      </c>
      <c r="M929" s="2">
        <v>2961051</v>
      </c>
    </row>
    <row r="930" spans="1:13">
      <c r="A930" s="2" t="s">
        <v>1005</v>
      </c>
      <c r="B930" s="2" t="s">
        <v>9</v>
      </c>
      <c r="C930" s="2" t="s">
        <v>63</v>
      </c>
      <c r="D930" s="2" t="s">
        <v>59</v>
      </c>
      <c r="E930" s="3">
        <v>45490</v>
      </c>
      <c r="F930" s="2" t="str">
        <f t="shared" si="14"/>
        <v>Jul</v>
      </c>
      <c r="G930" s="2">
        <v>439</v>
      </c>
      <c r="H930" s="2" t="s">
        <v>30</v>
      </c>
      <c r="I930" s="2">
        <v>500</v>
      </c>
      <c r="J930" s="2">
        <v>441</v>
      </c>
      <c r="K930" s="2">
        <v>8738704</v>
      </c>
      <c r="L930" s="2">
        <v>1629495</v>
      </c>
      <c r="M930" s="2">
        <v>7109209</v>
      </c>
    </row>
    <row r="931" spans="1:13">
      <c r="A931" s="2" t="s">
        <v>1006</v>
      </c>
      <c r="B931" s="2" t="s">
        <v>41</v>
      </c>
      <c r="C931" s="2" t="s">
        <v>59</v>
      </c>
      <c r="D931" s="2" t="s">
        <v>63</v>
      </c>
      <c r="E931" s="3">
        <v>45491</v>
      </c>
      <c r="F931" s="2" t="str">
        <f t="shared" si="14"/>
        <v>Jul</v>
      </c>
      <c r="G931" s="2">
        <v>102</v>
      </c>
      <c r="H931" s="2" t="s">
        <v>31</v>
      </c>
      <c r="I931" s="2">
        <v>72</v>
      </c>
      <c r="J931" s="2">
        <v>44</v>
      </c>
      <c r="K931" s="2">
        <v>321526</v>
      </c>
      <c r="L931" s="2">
        <v>88440</v>
      </c>
      <c r="M931" s="2">
        <v>233086</v>
      </c>
    </row>
    <row r="932" spans="1:13">
      <c r="A932" s="2" t="s">
        <v>1007</v>
      </c>
      <c r="B932" s="2" t="s">
        <v>39</v>
      </c>
      <c r="C932" s="2" t="s">
        <v>59</v>
      </c>
      <c r="D932" s="2" t="s">
        <v>61</v>
      </c>
      <c r="E932" s="3">
        <v>45492</v>
      </c>
      <c r="F932" s="2" t="str">
        <f t="shared" si="14"/>
        <v>Jul</v>
      </c>
      <c r="G932" s="2">
        <v>140</v>
      </c>
      <c r="H932" s="2" t="s">
        <v>28</v>
      </c>
      <c r="I932" s="2">
        <v>180</v>
      </c>
      <c r="J932" s="2">
        <v>161</v>
      </c>
      <c r="K932" s="2">
        <v>1208052</v>
      </c>
      <c r="L932" s="2">
        <v>354200</v>
      </c>
      <c r="M932" s="2">
        <v>853852</v>
      </c>
    </row>
    <row r="933" spans="1:13">
      <c r="A933" s="2" t="s">
        <v>1008</v>
      </c>
      <c r="B933" s="2" t="s">
        <v>46</v>
      </c>
      <c r="C933" s="2" t="s">
        <v>61</v>
      </c>
      <c r="D933" s="2" t="s">
        <v>59</v>
      </c>
      <c r="E933" s="3">
        <v>45493</v>
      </c>
      <c r="F933" s="2" t="str">
        <f t="shared" si="14"/>
        <v>Jul</v>
      </c>
      <c r="G933" s="2">
        <v>206</v>
      </c>
      <c r="H933" s="2" t="s">
        <v>32</v>
      </c>
      <c r="I933" s="2">
        <v>190</v>
      </c>
      <c r="J933" s="2">
        <v>134</v>
      </c>
      <c r="K933" s="2">
        <v>1763542</v>
      </c>
      <c r="L933" s="2">
        <v>339020</v>
      </c>
      <c r="M933" s="2">
        <v>1424522</v>
      </c>
    </row>
    <row r="934" spans="1:13">
      <c r="A934" s="2" t="s">
        <v>1009</v>
      </c>
      <c r="B934" s="2" t="s">
        <v>45</v>
      </c>
      <c r="C934" s="2" t="s">
        <v>61</v>
      </c>
      <c r="D934" s="2" t="s">
        <v>58</v>
      </c>
      <c r="E934" s="3">
        <v>45494</v>
      </c>
      <c r="F934" s="2" t="str">
        <f t="shared" si="14"/>
        <v>Jul</v>
      </c>
      <c r="G934" s="2">
        <v>92</v>
      </c>
      <c r="H934" s="2" t="s">
        <v>29</v>
      </c>
      <c r="I934" s="2">
        <v>200</v>
      </c>
      <c r="J934" s="2">
        <v>188</v>
      </c>
      <c r="K934" s="2">
        <v>825186</v>
      </c>
      <c r="L934" s="2">
        <v>368480</v>
      </c>
      <c r="M934" s="2">
        <v>456706</v>
      </c>
    </row>
    <row r="935" spans="1:13">
      <c r="A935" s="2" t="s">
        <v>1010</v>
      </c>
      <c r="B935" s="2" t="s">
        <v>3</v>
      </c>
      <c r="C935" s="2" t="s">
        <v>58</v>
      </c>
      <c r="D935" s="2" t="s">
        <v>61</v>
      </c>
      <c r="E935" s="3">
        <v>45495</v>
      </c>
      <c r="F935" s="2" t="str">
        <f t="shared" si="14"/>
        <v>Jul</v>
      </c>
      <c r="G935" s="2">
        <v>387</v>
      </c>
      <c r="H935" s="2" t="s">
        <v>33</v>
      </c>
      <c r="I935" s="2">
        <v>260</v>
      </c>
      <c r="J935" s="2">
        <v>225</v>
      </c>
      <c r="K935" s="2">
        <v>6303367</v>
      </c>
      <c r="L935" s="2">
        <v>772875</v>
      </c>
      <c r="M935" s="2">
        <v>5530492</v>
      </c>
    </row>
    <row r="936" spans="1:13">
      <c r="A936" s="2" t="s">
        <v>1011</v>
      </c>
      <c r="B936" s="2" t="s">
        <v>5</v>
      </c>
      <c r="C936" s="2" t="s">
        <v>59</v>
      </c>
      <c r="D936" s="2" t="s">
        <v>58</v>
      </c>
      <c r="E936" s="3">
        <v>45496</v>
      </c>
      <c r="F936" s="2" t="str">
        <f t="shared" si="14"/>
        <v>Jul</v>
      </c>
      <c r="G936" s="2">
        <v>393</v>
      </c>
      <c r="H936" s="2" t="s">
        <v>30</v>
      </c>
      <c r="I936" s="2">
        <v>500</v>
      </c>
      <c r="J936" s="2">
        <v>426</v>
      </c>
      <c r="K936" s="2">
        <v>8162660</v>
      </c>
      <c r="L936" s="2">
        <v>1476090</v>
      </c>
      <c r="M936" s="2">
        <v>6686570</v>
      </c>
    </row>
    <row r="937" spans="1:13">
      <c r="A937" s="2" t="s">
        <v>1012</v>
      </c>
      <c r="B937" s="2" t="s">
        <v>36</v>
      </c>
      <c r="C937" s="2" t="s">
        <v>58</v>
      </c>
      <c r="D937" s="2" t="s">
        <v>59</v>
      </c>
      <c r="E937" s="3">
        <v>45497</v>
      </c>
      <c r="F937" s="2" t="str">
        <f t="shared" si="14"/>
        <v>Jul</v>
      </c>
      <c r="G937" s="2">
        <v>71</v>
      </c>
      <c r="H937" s="2" t="s">
        <v>31</v>
      </c>
      <c r="I937" s="2">
        <v>72</v>
      </c>
      <c r="J937" s="2">
        <v>59</v>
      </c>
      <c r="K937" s="2">
        <v>255680</v>
      </c>
      <c r="L937" s="2">
        <v>109445</v>
      </c>
      <c r="M937" s="2">
        <v>146235</v>
      </c>
    </row>
    <row r="938" spans="1:13">
      <c r="A938" s="2" t="s">
        <v>1013</v>
      </c>
      <c r="B938" s="2" t="s">
        <v>38</v>
      </c>
      <c r="C938" s="2" t="s">
        <v>59</v>
      </c>
      <c r="D938" s="2" t="s">
        <v>60</v>
      </c>
      <c r="E938" s="3">
        <v>45498</v>
      </c>
      <c r="F938" s="2" t="str">
        <f t="shared" si="14"/>
        <v>Jul</v>
      </c>
      <c r="G938" s="2">
        <v>263</v>
      </c>
      <c r="H938" s="2" t="s">
        <v>28</v>
      </c>
      <c r="I938" s="2">
        <v>180</v>
      </c>
      <c r="J938" s="2">
        <v>158</v>
      </c>
      <c r="K938" s="2">
        <v>2010902</v>
      </c>
      <c r="L938" s="2">
        <v>444770</v>
      </c>
      <c r="M938" s="2">
        <v>1566132</v>
      </c>
    </row>
    <row r="939" spans="1:13">
      <c r="A939" s="2" t="s">
        <v>1014</v>
      </c>
      <c r="B939" s="2" t="s">
        <v>44</v>
      </c>
      <c r="C939" s="2" t="s">
        <v>60</v>
      </c>
      <c r="D939" s="2" t="s">
        <v>59</v>
      </c>
      <c r="E939" s="3">
        <v>45499</v>
      </c>
      <c r="F939" s="2" t="str">
        <f t="shared" si="14"/>
        <v>Jul</v>
      </c>
      <c r="G939" s="2">
        <v>243</v>
      </c>
      <c r="H939" s="2" t="s">
        <v>32</v>
      </c>
      <c r="I939" s="2">
        <v>190</v>
      </c>
      <c r="J939" s="2">
        <v>149</v>
      </c>
      <c r="K939" s="2">
        <v>2315330</v>
      </c>
      <c r="L939" s="2">
        <v>404535</v>
      </c>
      <c r="M939" s="2">
        <v>1910795</v>
      </c>
    </row>
    <row r="940" spans="1:13">
      <c r="A940" s="2" t="s">
        <v>1015</v>
      </c>
      <c r="B940" s="2" t="s">
        <v>48</v>
      </c>
      <c r="C940" s="2" t="s">
        <v>61</v>
      </c>
      <c r="D940" s="2" t="s">
        <v>63</v>
      </c>
      <c r="E940" s="3">
        <v>45500</v>
      </c>
      <c r="F940" s="2" t="str">
        <f t="shared" si="14"/>
        <v>Jul</v>
      </c>
      <c r="G940" s="2">
        <v>242</v>
      </c>
      <c r="H940" s="2" t="s">
        <v>29</v>
      </c>
      <c r="I940" s="2">
        <v>200</v>
      </c>
      <c r="J940" s="2">
        <v>189</v>
      </c>
      <c r="K940" s="2">
        <v>2380302</v>
      </c>
      <c r="L940" s="2">
        <v>512190</v>
      </c>
      <c r="M940" s="2">
        <v>1868112</v>
      </c>
    </row>
    <row r="941" spans="1:13">
      <c r="A941" s="2" t="s">
        <v>1016</v>
      </c>
      <c r="B941" s="2" t="s">
        <v>10</v>
      </c>
      <c r="C941" s="2" t="s">
        <v>63</v>
      </c>
      <c r="D941" s="2" t="s">
        <v>61</v>
      </c>
      <c r="E941" s="3">
        <v>45501</v>
      </c>
      <c r="F941" s="2" t="str">
        <f t="shared" si="14"/>
        <v>Jul</v>
      </c>
      <c r="G941" s="2">
        <v>292</v>
      </c>
      <c r="H941" s="2" t="s">
        <v>33</v>
      </c>
      <c r="I941" s="2">
        <v>260</v>
      </c>
      <c r="J941" s="2">
        <v>164</v>
      </c>
      <c r="K941" s="2">
        <v>3944030</v>
      </c>
      <c r="L941" s="2">
        <v>485440</v>
      </c>
      <c r="M941" s="2">
        <v>3458590</v>
      </c>
    </row>
    <row r="942" spans="1:13">
      <c r="A942" s="2" t="s">
        <v>1017</v>
      </c>
      <c r="B942" s="2" t="s">
        <v>2</v>
      </c>
      <c r="C942" s="2" t="s">
        <v>58</v>
      </c>
      <c r="D942" s="2" t="s">
        <v>60</v>
      </c>
      <c r="E942" s="3">
        <v>45502</v>
      </c>
      <c r="F942" s="2" t="str">
        <f t="shared" si="14"/>
        <v>Jul</v>
      </c>
      <c r="G942" s="2">
        <v>246</v>
      </c>
      <c r="H942" s="2" t="s">
        <v>30</v>
      </c>
      <c r="I942" s="2">
        <v>500</v>
      </c>
      <c r="J942" s="2">
        <v>429</v>
      </c>
      <c r="K942" s="2">
        <v>5248798</v>
      </c>
      <c r="L942" s="2">
        <v>1171170</v>
      </c>
      <c r="M942" s="2">
        <v>4077628</v>
      </c>
    </row>
    <row r="943" spans="1:13">
      <c r="A943" s="2" t="s">
        <v>1018</v>
      </c>
      <c r="B943" s="2" t="s">
        <v>43</v>
      </c>
      <c r="C943" s="2" t="s">
        <v>60</v>
      </c>
      <c r="D943" s="2" t="s">
        <v>58</v>
      </c>
      <c r="E943" s="3">
        <v>45503</v>
      </c>
      <c r="F943" s="2" t="str">
        <f t="shared" si="14"/>
        <v>Jul</v>
      </c>
      <c r="G943" s="2">
        <v>30</v>
      </c>
      <c r="H943" s="2" t="s">
        <v>31</v>
      </c>
      <c r="I943" s="2">
        <v>72</v>
      </c>
      <c r="J943" s="2">
        <v>44</v>
      </c>
      <c r="K943" s="2">
        <v>94618</v>
      </c>
      <c r="L943" s="2">
        <v>72600</v>
      </c>
      <c r="M943" s="2">
        <v>22018</v>
      </c>
    </row>
    <row r="944" spans="1:13">
      <c r="A944" s="2" t="s">
        <v>1019</v>
      </c>
      <c r="B944" s="2" t="s">
        <v>40</v>
      </c>
      <c r="C944" s="2" t="s">
        <v>59</v>
      </c>
      <c r="D944" s="2" t="s">
        <v>62</v>
      </c>
      <c r="E944" s="3">
        <v>45504</v>
      </c>
      <c r="F944" s="2" t="str">
        <f t="shared" si="14"/>
        <v>Jul</v>
      </c>
      <c r="G944" s="2">
        <v>195</v>
      </c>
      <c r="H944" s="2" t="s">
        <v>28</v>
      </c>
      <c r="I944" s="2">
        <v>180</v>
      </c>
      <c r="J944" s="2">
        <v>156</v>
      </c>
      <c r="K944" s="2">
        <v>1609464</v>
      </c>
      <c r="L944" s="2">
        <v>772200</v>
      </c>
      <c r="M944" s="2">
        <v>837264</v>
      </c>
    </row>
    <row r="945" spans="1:13">
      <c r="A945" s="2" t="s">
        <v>1020</v>
      </c>
      <c r="B945" s="2" t="s">
        <v>51</v>
      </c>
      <c r="C945" s="2" t="s">
        <v>62</v>
      </c>
      <c r="D945" s="2" t="s">
        <v>59</v>
      </c>
      <c r="E945" s="3">
        <v>45505</v>
      </c>
      <c r="F945" s="2" t="str">
        <f t="shared" si="14"/>
        <v>Aug</v>
      </c>
      <c r="G945" s="2">
        <v>186</v>
      </c>
      <c r="H945" s="2" t="s">
        <v>32</v>
      </c>
      <c r="I945" s="2">
        <v>190</v>
      </c>
      <c r="J945" s="2">
        <v>172</v>
      </c>
      <c r="K945" s="2">
        <v>1740971</v>
      </c>
      <c r="L945" s="2">
        <v>835920</v>
      </c>
      <c r="M945" s="2">
        <v>905051</v>
      </c>
    </row>
    <row r="946" spans="1:13">
      <c r="A946" s="2" t="s">
        <v>1021</v>
      </c>
      <c r="B946" s="2" t="s">
        <v>47</v>
      </c>
      <c r="C946" s="2" t="s">
        <v>61</v>
      </c>
      <c r="D946" s="2" t="s">
        <v>62</v>
      </c>
      <c r="E946" s="3">
        <v>45506</v>
      </c>
      <c r="F946" s="2" t="str">
        <f t="shared" si="14"/>
        <v>Aug</v>
      </c>
      <c r="G946" s="2">
        <v>270</v>
      </c>
      <c r="H946" s="2" t="s">
        <v>29</v>
      </c>
      <c r="I946" s="2">
        <v>200</v>
      </c>
      <c r="J946" s="2">
        <v>126</v>
      </c>
      <c r="K946" s="2">
        <v>2558653</v>
      </c>
      <c r="L946" s="2">
        <v>359100</v>
      </c>
      <c r="M946" s="2">
        <v>2199553</v>
      </c>
    </row>
    <row r="947" spans="1:13">
      <c r="A947" s="2" t="s">
        <v>1022</v>
      </c>
      <c r="B947" s="2" t="s">
        <v>8</v>
      </c>
      <c r="C947" s="2" t="s">
        <v>62</v>
      </c>
      <c r="D947" s="2" t="s">
        <v>61</v>
      </c>
      <c r="E947" s="3">
        <v>45507</v>
      </c>
      <c r="F947" s="2" t="str">
        <f t="shared" si="14"/>
        <v>Aug</v>
      </c>
      <c r="G947" s="2">
        <v>439</v>
      </c>
      <c r="H947" s="2" t="s">
        <v>33</v>
      </c>
      <c r="I947" s="2">
        <v>260</v>
      </c>
      <c r="J947" s="2">
        <v>193</v>
      </c>
      <c r="K947" s="2">
        <v>6013434</v>
      </c>
      <c r="L947" s="2">
        <v>713135</v>
      </c>
      <c r="M947" s="2">
        <v>5300299</v>
      </c>
    </row>
    <row r="948" spans="1:13">
      <c r="A948" s="2" t="s">
        <v>1023</v>
      </c>
      <c r="B948" s="2" t="s">
        <v>4</v>
      </c>
      <c r="C948" s="2" t="s">
        <v>58</v>
      </c>
      <c r="D948" s="2" t="s">
        <v>66</v>
      </c>
      <c r="E948" s="3">
        <v>45508</v>
      </c>
      <c r="F948" s="2" t="str">
        <f t="shared" si="14"/>
        <v>Aug</v>
      </c>
      <c r="G948" s="2">
        <v>534</v>
      </c>
      <c r="H948" s="2" t="s">
        <v>30</v>
      </c>
      <c r="I948" s="2">
        <v>500</v>
      </c>
      <c r="J948" s="2">
        <v>396</v>
      </c>
      <c r="K948" s="2">
        <v>10962143</v>
      </c>
      <c r="L948" s="2">
        <v>3302640</v>
      </c>
      <c r="M948" s="2">
        <v>7659503</v>
      </c>
    </row>
    <row r="949" spans="1:13">
      <c r="A949" s="2" t="s">
        <v>1024</v>
      </c>
      <c r="B949" s="2" t="s">
        <v>54</v>
      </c>
      <c r="C949" s="2" t="s">
        <v>66</v>
      </c>
      <c r="D949" s="2" t="s">
        <v>58</v>
      </c>
      <c r="E949" s="3">
        <v>45509</v>
      </c>
      <c r="F949" s="2" t="str">
        <f t="shared" si="14"/>
        <v>Aug</v>
      </c>
      <c r="G949" s="2">
        <v>106</v>
      </c>
      <c r="H949" s="2" t="s">
        <v>31</v>
      </c>
      <c r="I949" s="2">
        <v>72</v>
      </c>
      <c r="J949" s="2">
        <v>67</v>
      </c>
      <c r="K949" s="2">
        <v>339265</v>
      </c>
      <c r="L949" s="2">
        <v>272020</v>
      </c>
      <c r="M949" s="2">
        <v>67245</v>
      </c>
    </row>
    <row r="950" spans="1:13">
      <c r="A950" s="2" t="s">
        <v>1025</v>
      </c>
      <c r="B950" s="2" t="s">
        <v>42</v>
      </c>
      <c r="C950" s="2" t="s">
        <v>59</v>
      </c>
      <c r="D950" s="2" t="s">
        <v>66</v>
      </c>
      <c r="E950" s="3">
        <v>45510</v>
      </c>
      <c r="F950" s="2" t="str">
        <f t="shared" si="14"/>
        <v>Aug</v>
      </c>
      <c r="G950" s="2">
        <v>120</v>
      </c>
      <c r="H950" s="2" t="s">
        <v>28</v>
      </c>
      <c r="I950" s="2">
        <v>180</v>
      </c>
      <c r="J950" s="2">
        <v>114</v>
      </c>
      <c r="K950" s="2">
        <v>1030837</v>
      </c>
      <c r="L950" s="2">
        <v>478800</v>
      </c>
      <c r="M950" s="2">
        <v>552037</v>
      </c>
    </row>
    <row r="951" spans="1:13">
      <c r="A951" s="2" t="s">
        <v>1026</v>
      </c>
      <c r="B951" s="2" t="s">
        <v>55</v>
      </c>
      <c r="C951" s="2" t="s">
        <v>66</v>
      </c>
      <c r="D951" s="2" t="s">
        <v>59</v>
      </c>
      <c r="E951" s="3">
        <v>45511</v>
      </c>
      <c r="F951" s="2" t="str">
        <f t="shared" si="14"/>
        <v>Aug</v>
      </c>
      <c r="G951" s="2">
        <v>125</v>
      </c>
      <c r="H951" s="2" t="s">
        <v>32</v>
      </c>
      <c r="I951" s="2">
        <v>190</v>
      </c>
      <c r="J951" s="2">
        <v>119</v>
      </c>
      <c r="K951" s="2">
        <v>1125140</v>
      </c>
      <c r="L951" s="2">
        <v>505750</v>
      </c>
      <c r="M951" s="2">
        <v>619390</v>
      </c>
    </row>
    <row r="952" spans="1:13">
      <c r="A952" s="2" t="s">
        <v>1027</v>
      </c>
      <c r="B952" s="2" t="s">
        <v>50</v>
      </c>
      <c r="C952" s="2" t="s">
        <v>61</v>
      </c>
      <c r="D952" s="2" t="s">
        <v>65</v>
      </c>
      <c r="E952" s="3">
        <v>45512</v>
      </c>
      <c r="F952" s="2" t="str">
        <f t="shared" si="14"/>
        <v>Aug</v>
      </c>
      <c r="G952" s="2">
        <v>313</v>
      </c>
      <c r="H952" s="2" t="s">
        <v>29</v>
      </c>
      <c r="I952" s="2">
        <v>200</v>
      </c>
      <c r="J952" s="2">
        <v>136</v>
      </c>
      <c r="K952" s="2">
        <v>2960571</v>
      </c>
      <c r="L952" s="2">
        <v>833680</v>
      </c>
      <c r="M952" s="2">
        <v>2126891</v>
      </c>
    </row>
    <row r="953" spans="1:13">
      <c r="A953" s="2" t="s">
        <v>1028</v>
      </c>
      <c r="B953" s="2" t="s">
        <v>11</v>
      </c>
      <c r="C953" s="2" t="s">
        <v>65</v>
      </c>
      <c r="D953" s="2" t="s">
        <v>61</v>
      </c>
      <c r="E953" s="3">
        <v>45513</v>
      </c>
      <c r="F953" s="2" t="str">
        <f t="shared" si="14"/>
        <v>Aug</v>
      </c>
      <c r="G953" s="2">
        <v>501</v>
      </c>
      <c r="H953" s="2" t="s">
        <v>33</v>
      </c>
      <c r="I953" s="2">
        <v>260</v>
      </c>
      <c r="J953" s="2">
        <v>162</v>
      </c>
      <c r="K953" s="2">
        <v>7369018</v>
      </c>
      <c r="L953" s="2">
        <v>1297620</v>
      </c>
      <c r="M953" s="2">
        <v>6071398</v>
      </c>
    </row>
    <row r="954" spans="1:13">
      <c r="A954" s="2" t="s">
        <v>1029</v>
      </c>
      <c r="B954" s="2" t="s">
        <v>6</v>
      </c>
      <c r="C954" s="2" t="s">
        <v>59</v>
      </c>
      <c r="D954" s="2" t="s">
        <v>65</v>
      </c>
      <c r="E954" s="3">
        <v>45514</v>
      </c>
      <c r="F954" s="2" t="str">
        <f t="shared" si="14"/>
        <v>Aug</v>
      </c>
      <c r="G954" s="2">
        <v>290</v>
      </c>
      <c r="H954" s="2" t="s">
        <v>30</v>
      </c>
      <c r="I954" s="2">
        <v>500</v>
      </c>
      <c r="J954" s="2">
        <v>336</v>
      </c>
      <c r="K954" s="2">
        <v>6221544</v>
      </c>
      <c r="L954" s="2">
        <v>1982400</v>
      </c>
      <c r="M954" s="2">
        <v>4239144</v>
      </c>
    </row>
    <row r="955" spans="1:13">
      <c r="A955" s="2" t="s">
        <v>1030</v>
      </c>
      <c r="B955" s="2" t="s">
        <v>53</v>
      </c>
      <c r="C955" s="2" t="s">
        <v>65</v>
      </c>
      <c r="D955" s="2" t="s">
        <v>59</v>
      </c>
      <c r="E955" s="3">
        <v>45515</v>
      </c>
      <c r="F955" s="2" t="str">
        <f t="shared" si="14"/>
        <v>Aug</v>
      </c>
      <c r="G955" s="2">
        <v>96</v>
      </c>
      <c r="H955" s="2" t="s">
        <v>31</v>
      </c>
      <c r="I955" s="2">
        <v>72</v>
      </c>
      <c r="J955" s="2">
        <v>63</v>
      </c>
      <c r="K955" s="2">
        <v>364844</v>
      </c>
      <c r="L955" s="2">
        <v>249480</v>
      </c>
      <c r="M955" s="2">
        <v>115364</v>
      </c>
    </row>
    <row r="956" spans="1:13">
      <c r="A956" s="2" t="s">
        <v>1031</v>
      </c>
      <c r="B956" s="2" t="s">
        <v>49</v>
      </c>
      <c r="C956" s="2" t="s">
        <v>61</v>
      </c>
      <c r="D956" s="2" t="s">
        <v>64</v>
      </c>
      <c r="E956" s="3">
        <v>45516</v>
      </c>
      <c r="F956" s="2" t="str">
        <f t="shared" si="14"/>
        <v>Aug</v>
      </c>
      <c r="G956" s="2">
        <v>185</v>
      </c>
      <c r="H956" s="2" t="s">
        <v>28</v>
      </c>
      <c r="I956" s="2">
        <v>180</v>
      </c>
      <c r="J956" s="2">
        <v>124</v>
      </c>
      <c r="K956" s="2">
        <v>1338519</v>
      </c>
      <c r="L956" s="2">
        <v>601400</v>
      </c>
      <c r="M956" s="2">
        <v>737119</v>
      </c>
    </row>
    <row r="957" spans="1:13">
      <c r="A957" s="2" t="s">
        <v>1032</v>
      </c>
      <c r="B957" s="2" t="s">
        <v>52</v>
      </c>
      <c r="C957" s="2" t="s">
        <v>64</v>
      </c>
      <c r="D957" s="2" t="s">
        <v>61</v>
      </c>
      <c r="E957" s="3">
        <v>45517</v>
      </c>
      <c r="F957" s="2" t="str">
        <f t="shared" si="14"/>
        <v>Aug</v>
      </c>
      <c r="G957" s="2">
        <v>290</v>
      </c>
      <c r="H957" s="2" t="s">
        <v>32</v>
      </c>
      <c r="I957" s="2">
        <v>190</v>
      </c>
      <c r="J957" s="2">
        <v>145</v>
      </c>
      <c r="K957" s="2">
        <v>2466987</v>
      </c>
      <c r="L957" s="2">
        <v>855500</v>
      </c>
      <c r="M957" s="2">
        <v>1611487</v>
      </c>
    </row>
    <row r="958" spans="1:13">
      <c r="A958" s="2" t="s">
        <v>1033</v>
      </c>
      <c r="B958" s="2" t="s">
        <v>37</v>
      </c>
      <c r="C958" s="2" t="s">
        <v>58</v>
      </c>
      <c r="D958" s="2" t="s">
        <v>62</v>
      </c>
      <c r="E958" s="3">
        <v>45518</v>
      </c>
      <c r="F958" s="2" t="str">
        <f t="shared" si="14"/>
        <v>Aug</v>
      </c>
      <c r="G958" s="2">
        <v>312</v>
      </c>
      <c r="H958" s="2" t="s">
        <v>29</v>
      </c>
      <c r="I958" s="2">
        <v>200</v>
      </c>
      <c r="J958" s="2">
        <v>135</v>
      </c>
      <c r="K958" s="2">
        <v>2687559</v>
      </c>
      <c r="L958" s="2">
        <v>826200</v>
      </c>
      <c r="M958" s="2">
        <v>1861359</v>
      </c>
    </row>
    <row r="959" spans="1:13">
      <c r="A959" s="2" t="s">
        <v>1034</v>
      </c>
      <c r="B959" s="2" t="s">
        <v>7</v>
      </c>
      <c r="C959" s="2" t="s">
        <v>62</v>
      </c>
      <c r="D959" s="2" t="s">
        <v>58</v>
      </c>
      <c r="E959" s="3">
        <v>45519</v>
      </c>
      <c r="F959" s="2" t="str">
        <f t="shared" si="14"/>
        <v>Aug</v>
      </c>
      <c r="G959" s="2">
        <v>232</v>
      </c>
      <c r="H959" s="2" t="s">
        <v>33</v>
      </c>
      <c r="I959" s="2">
        <v>260</v>
      </c>
      <c r="J959" s="2">
        <v>193</v>
      </c>
      <c r="K959" s="2">
        <v>3660689</v>
      </c>
      <c r="L959" s="2">
        <v>1026760</v>
      </c>
      <c r="M959" s="2">
        <v>2633929</v>
      </c>
    </row>
    <row r="960" spans="1:13">
      <c r="A960" s="2" t="s">
        <v>1035</v>
      </c>
      <c r="B960" s="2" t="s">
        <v>9</v>
      </c>
      <c r="C960" s="2" t="s">
        <v>63</v>
      </c>
      <c r="D960" s="2" t="s">
        <v>59</v>
      </c>
      <c r="E960" s="3">
        <v>45520</v>
      </c>
      <c r="F960" s="2" t="str">
        <f t="shared" si="14"/>
        <v>Aug</v>
      </c>
      <c r="G960" s="2">
        <v>210</v>
      </c>
      <c r="H960" s="2" t="s">
        <v>30</v>
      </c>
      <c r="I960" s="2">
        <v>500</v>
      </c>
      <c r="J960" s="2">
        <v>455</v>
      </c>
      <c r="K960" s="2">
        <v>4202590</v>
      </c>
      <c r="L960" s="2">
        <v>1160250</v>
      </c>
      <c r="M960" s="2">
        <v>3042340</v>
      </c>
    </row>
    <row r="961" spans="1:13">
      <c r="A961" s="2" t="s">
        <v>1036</v>
      </c>
      <c r="B961" s="2" t="s">
        <v>41</v>
      </c>
      <c r="C961" s="2" t="s">
        <v>59</v>
      </c>
      <c r="D961" s="2" t="s">
        <v>63</v>
      </c>
      <c r="E961" s="3">
        <v>45521</v>
      </c>
      <c r="F961" s="2" t="str">
        <f t="shared" si="14"/>
        <v>Aug</v>
      </c>
      <c r="G961" s="2">
        <v>91</v>
      </c>
      <c r="H961" s="2" t="s">
        <v>31</v>
      </c>
      <c r="I961" s="2">
        <v>72</v>
      </c>
      <c r="J961" s="2">
        <v>54</v>
      </c>
      <c r="K961" s="2">
        <v>338975</v>
      </c>
      <c r="L961" s="2">
        <v>105570</v>
      </c>
      <c r="M961" s="2">
        <v>233405</v>
      </c>
    </row>
    <row r="962" spans="1:13">
      <c r="A962" s="2" t="s">
        <v>1037</v>
      </c>
      <c r="B962" s="2" t="s">
        <v>39</v>
      </c>
      <c r="C962" s="2" t="s">
        <v>59</v>
      </c>
      <c r="D962" s="2" t="s">
        <v>61</v>
      </c>
      <c r="E962" s="3">
        <v>45522</v>
      </c>
      <c r="F962" s="2" t="str">
        <f t="shared" si="14"/>
        <v>Aug</v>
      </c>
      <c r="G962" s="2">
        <v>113</v>
      </c>
      <c r="H962" s="2" t="s">
        <v>28</v>
      </c>
      <c r="I962" s="2">
        <v>180</v>
      </c>
      <c r="J962" s="2">
        <v>112</v>
      </c>
      <c r="K962" s="2">
        <v>937017</v>
      </c>
      <c r="L962" s="2">
        <v>231280</v>
      </c>
      <c r="M962" s="2">
        <v>705737</v>
      </c>
    </row>
    <row r="963" spans="1:13">
      <c r="A963" s="2" t="s">
        <v>1038</v>
      </c>
      <c r="B963" s="2" t="s">
        <v>46</v>
      </c>
      <c r="C963" s="2" t="s">
        <v>61</v>
      </c>
      <c r="D963" s="2" t="s">
        <v>59</v>
      </c>
      <c r="E963" s="3">
        <v>45523</v>
      </c>
      <c r="F963" s="2" t="str">
        <f t="shared" ref="F963:F1001" si="15">TEXT(E963,"mmm")</f>
        <v>Aug</v>
      </c>
      <c r="G963" s="2">
        <v>73</v>
      </c>
      <c r="H963" s="2" t="s">
        <v>32</v>
      </c>
      <c r="I963" s="2">
        <v>190</v>
      </c>
      <c r="J963" s="2">
        <v>144</v>
      </c>
      <c r="K963" s="2">
        <v>622133</v>
      </c>
      <c r="L963" s="2">
        <v>268560</v>
      </c>
      <c r="M963" s="2">
        <v>353573</v>
      </c>
    </row>
    <row r="964" spans="1:13">
      <c r="A964" s="2" t="s">
        <v>1039</v>
      </c>
      <c r="B964" s="2" t="s">
        <v>45</v>
      </c>
      <c r="C964" s="2" t="s">
        <v>61</v>
      </c>
      <c r="D964" s="2" t="s">
        <v>58</v>
      </c>
      <c r="E964" s="3">
        <v>45524</v>
      </c>
      <c r="F964" s="2" t="str">
        <f t="shared" si="15"/>
        <v>Aug</v>
      </c>
      <c r="G964" s="2">
        <v>132</v>
      </c>
      <c r="H964" s="2" t="s">
        <v>29</v>
      </c>
      <c r="I964" s="2">
        <v>200</v>
      </c>
      <c r="J964" s="2">
        <v>176</v>
      </c>
      <c r="K964" s="2">
        <v>1267167</v>
      </c>
      <c r="L964" s="2">
        <v>380160</v>
      </c>
      <c r="M964" s="2">
        <v>887007</v>
      </c>
    </row>
    <row r="965" spans="1:13">
      <c r="A965" s="2" t="s">
        <v>1040</v>
      </c>
      <c r="B965" s="2" t="s">
        <v>3</v>
      </c>
      <c r="C965" s="2" t="s">
        <v>58</v>
      </c>
      <c r="D965" s="2" t="s">
        <v>61</v>
      </c>
      <c r="E965" s="3">
        <v>45525</v>
      </c>
      <c r="F965" s="2" t="str">
        <f t="shared" si="15"/>
        <v>Aug</v>
      </c>
      <c r="G965" s="2">
        <v>370</v>
      </c>
      <c r="H965" s="2" t="s">
        <v>33</v>
      </c>
      <c r="I965" s="2">
        <v>260</v>
      </c>
      <c r="J965" s="2">
        <v>166</v>
      </c>
      <c r="K965" s="2">
        <v>6012638</v>
      </c>
      <c r="L965" s="2">
        <v>556100</v>
      </c>
      <c r="M965" s="2">
        <v>5456538</v>
      </c>
    </row>
    <row r="966" spans="1:13">
      <c r="A966" s="2" t="s">
        <v>1041</v>
      </c>
      <c r="B966" s="2" t="s">
        <v>5</v>
      </c>
      <c r="C966" s="2" t="s">
        <v>59</v>
      </c>
      <c r="D966" s="2" t="s">
        <v>58</v>
      </c>
      <c r="E966" s="3">
        <v>45526</v>
      </c>
      <c r="F966" s="2" t="str">
        <f t="shared" si="15"/>
        <v>Aug</v>
      </c>
      <c r="G966" s="2">
        <v>443</v>
      </c>
      <c r="H966" s="2" t="s">
        <v>30</v>
      </c>
      <c r="I966" s="2">
        <v>500</v>
      </c>
      <c r="J966" s="2">
        <v>347</v>
      </c>
      <c r="K966" s="2">
        <v>8854144</v>
      </c>
      <c r="L966" s="2">
        <v>1289105</v>
      </c>
      <c r="M966" s="2">
        <v>7565039</v>
      </c>
    </row>
    <row r="967" spans="1:13">
      <c r="A967" s="2" t="s">
        <v>1042</v>
      </c>
      <c r="B967" s="2" t="s">
        <v>36</v>
      </c>
      <c r="C967" s="2" t="s">
        <v>58</v>
      </c>
      <c r="D967" s="2" t="s">
        <v>59</v>
      </c>
      <c r="E967" s="3">
        <v>45527</v>
      </c>
      <c r="F967" s="2" t="str">
        <f t="shared" si="15"/>
        <v>Aug</v>
      </c>
      <c r="G967" s="2">
        <v>107</v>
      </c>
      <c r="H967" s="2" t="s">
        <v>31</v>
      </c>
      <c r="I967" s="2">
        <v>72</v>
      </c>
      <c r="J967" s="2">
        <v>65</v>
      </c>
      <c r="K967" s="2">
        <v>398750</v>
      </c>
      <c r="L967" s="2">
        <v>132275</v>
      </c>
      <c r="M967" s="2">
        <v>266475</v>
      </c>
    </row>
    <row r="968" spans="1:13">
      <c r="A968" s="2" t="s">
        <v>1043</v>
      </c>
      <c r="B968" s="2" t="s">
        <v>38</v>
      </c>
      <c r="C968" s="2" t="s">
        <v>59</v>
      </c>
      <c r="D968" s="2" t="s">
        <v>60</v>
      </c>
      <c r="E968" s="3">
        <v>45528</v>
      </c>
      <c r="F968" s="2" t="str">
        <f t="shared" si="15"/>
        <v>Aug</v>
      </c>
      <c r="G968" s="2">
        <v>186</v>
      </c>
      <c r="H968" s="2" t="s">
        <v>28</v>
      </c>
      <c r="I968" s="2">
        <v>180</v>
      </c>
      <c r="J968" s="2">
        <v>111</v>
      </c>
      <c r="K968" s="2">
        <v>1561996</v>
      </c>
      <c r="L968" s="2">
        <v>269730</v>
      </c>
      <c r="M968" s="2">
        <v>1292266</v>
      </c>
    </row>
    <row r="969" spans="1:13">
      <c r="A969" s="2" t="s">
        <v>1044</v>
      </c>
      <c r="B969" s="2" t="s">
        <v>44</v>
      </c>
      <c r="C969" s="2" t="s">
        <v>60</v>
      </c>
      <c r="D969" s="2" t="s">
        <v>59</v>
      </c>
      <c r="E969" s="3">
        <v>45529</v>
      </c>
      <c r="F969" s="2" t="str">
        <f t="shared" si="15"/>
        <v>Aug</v>
      </c>
      <c r="G969" s="2">
        <v>138</v>
      </c>
      <c r="H969" s="2" t="s">
        <v>32</v>
      </c>
      <c r="I969" s="2">
        <v>190</v>
      </c>
      <c r="J969" s="2">
        <v>120</v>
      </c>
      <c r="K969" s="2">
        <v>1164757</v>
      </c>
      <c r="L969" s="2">
        <v>262800</v>
      </c>
      <c r="M969" s="2">
        <v>901957</v>
      </c>
    </row>
    <row r="970" spans="1:13">
      <c r="A970" s="2" t="s">
        <v>1045</v>
      </c>
      <c r="B970" s="2" t="s">
        <v>48</v>
      </c>
      <c r="C970" s="2" t="s">
        <v>61</v>
      </c>
      <c r="D970" s="2" t="s">
        <v>63</v>
      </c>
      <c r="E970" s="3">
        <v>45530</v>
      </c>
      <c r="F970" s="2" t="str">
        <f t="shared" si="15"/>
        <v>Aug</v>
      </c>
      <c r="G970" s="2">
        <v>233</v>
      </c>
      <c r="H970" s="2" t="s">
        <v>29</v>
      </c>
      <c r="I970" s="2">
        <v>200</v>
      </c>
      <c r="J970" s="2">
        <v>170</v>
      </c>
      <c r="K970" s="2">
        <v>2254886</v>
      </c>
      <c r="L970" s="2">
        <v>453050</v>
      </c>
      <c r="M970" s="2">
        <v>1801836</v>
      </c>
    </row>
    <row r="971" spans="1:13">
      <c r="A971" s="2" t="s">
        <v>1046</v>
      </c>
      <c r="B971" s="2" t="s">
        <v>10</v>
      </c>
      <c r="C971" s="2" t="s">
        <v>63</v>
      </c>
      <c r="D971" s="2" t="s">
        <v>61</v>
      </c>
      <c r="E971" s="3">
        <v>45531</v>
      </c>
      <c r="F971" s="2" t="str">
        <f t="shared" si="15"/>
        <v>Aug</v>
      </c>
      <c r="G971" s="2">
        <v>388</v>
      </c>
      <c r="H971" s="2" t="s">
        <v>33</v>
      </c>
      <c r="I971" s="2">
        <v>260</v>
      </c>
      <c r="J971" s="2">
        <v>161</v>
      </c>
      <c r="K971" s="2">
        <v>6214990</v>
      </c>
      <c r="L971" s="2">
        <v>553840</v>
      </c>
      <c r="M971" s="2">
        <v>5661150</v>
      </c>
    </row>
    <row r="972" spans="1:13">
      <c r="A972" s="2" t="s">
        <v>1047</v>
      </c>
      <c r="B972" s="2" t="s">
        <v>2</v>
      </c>
      <c r="C972" s="2" t="s">
        <v>58</v>
      </c>
      <c r="D972" s="2" t="s">
        <v>60</v>
      </c>
      <c r="E972" s="3">
        <v>45532</v>
      </c>
      <c r="F972" s="2" t="str">
        <f t="shared" si="15"/>
        <v>Aug</v>
      </c>
      <c r="G972" s="2">
        <v>504</v>
      </c>
      <c r="H972" s="2" t="s">
        <v>30</v>
      </c>
      <c r="I972" s="2">
        <v>500</v>
      </c>
      <c r="J972" s="2">
        <v>464</v>
      </c>
      <c r="K972" s="2">
        <v>9238754</v>
      </c>
      <c r="L972" s="2">
        <v>1865280</v>
      </c>
      <c r="M972" s="2">
        <v>7373474</v>
      </c>
    </row>
    <row r="973" spans="1:13">
      <c r="A973" s="2" t="s">
        <v>1048</v>
      </c>
      <c r="B973" s="2" t="s">
        <v>43</v>
      </c>
      <c r="C973" s="2" t="s">
        <v>60</v>
      </c>
      <c r="D973" s="2" t="s">
        <v>58</v>
      </c>
      <c r="E973" s="3">
        <v>45533</v>
      </c>
      <c r="F973" s="2" t="str">
        <f t="shared" si="15"/>
        <v>Aug</v>
      </c>
      <c r="G973" s="2">
        <v>57</v>
      </c>
      <c r="H973" s="2" t="s">
        <v>31</v>
      </c>
      <c r="I973" s="2">
        <v>72</v>
      </c>
      <c r="J973" s="2">
        <v>45</v>
      </c>
      <c r="K973" s="2">
        <v>193923</v>
      </c>
      <c r="L973" s="2">
        <v>80325</v>
      </c>
      <c r="M973" s="2">
        <v>113598</v>
      </c>
    </row>
    <row r="974" spans="1:13">
      <c r="A974" s="2" t="s">
        <v>1049</v>
      </c>
      <c r="B974" s="2" t="s">
        <v>40</v>
      </c>
      <c r="C974" s="2" t="s">
        <v>59</v>
      </c>
      <c r="D974" s="2" t="s">
        <v>62</v>
      </c>
      <c r="E974" s="3">
        <v>45534</v>
      </c>
      <c r="F974" s="2" t="str">
        <f t="shared" si="15"/>
        <v>Aug</v>
      </c>
      <c r="G974" s="2">
        <v>206</v>
      </c>
      <c r="H974" s="2" t="s">
        <v>28</v>
      </c>
      <c r="I974" s="2">
        <v>180</v>
      </c>
      <c r="J974" s="2">
        <v>143</v>
      </c>
      <c r="K974" s="2">
        <v>1768814</v>
      </c>
      <c r="L974" s="2">
        <v>723580</v>
      </c>
      <c r="M974" s="2">
        <v>1045234</v>
      </c>
    </row>
    <row r="975" spans="1:13">
      <c r="A975" s="2" t="s">
        <v>1050</v>
      </c>
      <c r="B975" s="2" t="s">
        <v>51</v>
      </c>
      <c r="C975" s="2" t="s">
        <v>62</v>
      </c>
      <c r="D975" s="2" t="s">
        <v>59</v>
      </c>
      <c r="E975" s="3">
        <v>45535</v>
      </c>
      <c r="F975" s="2" t="str">
        <f t="shared" si="15"/>
        <v>Aug</v>
      </c>
      <c r="G975" s="2">
        <v>159</v>
      </c>
      <c r="H975" s="2" t="s">
        <v>32</v>
      </c>
      <c r="I975" s="2">
        <v>190</v>
      </c>
      <c r="J975" s="2">
        <v>174</v>
      </c>
      <c r="K975" s="2">
        <v>1557781</v>
      </c>
      <c r="L975" s="2">
        <v>798660</v>
      </c>
      <c r="M975" s="2">
        <v>759121</v>
      </c>
    </row>
    <row r="976" spans="1:13">
      <c r="A976" s="2" t="s">
        <v>1051</v>
      </c>
      <c r="B976" s="2" t="s">
        <v>47</v>
      </c>
      <c r="C976" s="2" t="s">
        <v>61</v>
      </c>
      <c r="D976" s="2" t="s">
        <v>62</v>
      </c>
      <c r="E976" s="3">
        <v>45536</v>
      </c>
      <c r="F976" s="2" t="str">
        <f t="shared" si="15"/>
        <v>Sep</v>
      </c>
      <c r="G976" s="2">
        <v>162</v>
      </c>
      <c r="H976" s="2" t="s">
        <v>29</v>
      </c>
      <c r="I976" s="2">
        <v>200</v>
      </c>
      <c r="J976" s="2">
        <v>183</v>
      </c>
      <c r="K976" s="2">
        <v>1501238</v>
      </c>
      <c r="L976" s="2">
        <v>422730</v>
      </c>
      <c r="M976" s="2">
        <v>1078508</v>
      </c>
    </row>
    <row r="977" spans="1:13">
      <c r="A977" s="2" t="s">
        <v>1052</v>
      </c>
      <c r="B977" s="2" t="s">
        <v>8</v>
      </c>
      <c r="C977" s="2" t="s">
        <v>62</v>
      </c>
      <c r="D977" s="2" t="s">
        <v>61</v>
      </c>
      <c r="E977" s="3">
        <v>45537</v>
      </c>
      <c r="F977" s="2" t="str">
        <f t="shared" si="15"/>
        <v>Sep</v>
      </c>
      <c r="G977" s="2">
        <v>358</v>
      </c>
      <c r="H977" s="2" t="s">
        <v>33</v>
      </c>
      <c r="I977" s="2">
        <v>260</v>
      </c>
      <c r="J977" s="2">
        <v>164</v>
      </c>
      <c r="K977" s="2">
        <v>5570858</v>
      </c>
      <c r="L977" s="2">
        <v>539560</v>
      </c>
      <c r="M977" s="2">
        <v>5031298</v>
      </c>
    </row>
    <row r="978" spans="1:13">
      <c r="A978" s="2" t="s">
        <v>1053</v>
      </c>
      <c r="B978" s="2" t="s">
        <v>4</v>
      </c>
      <c r="C978" s="2" t="s">
        <v>58</v>
      </c>
      <c r="D978" s="2" t="s">
        <v>66</v>
      </c>
      <c r="E978" s="3">
        <v>45538</v>
      </c>
      <c r="F978" s="2" t="str">
        <f t="shared" si="15"/>
        <v>Sep</v>
      </c>
      <c r="G978" s="2">
        <v>397</v>
      </c>
      <c r="H978" s="2" t="s">
        <v>30</v>
      </c>
      <c r="I978" s="2">
        <v>500</v>
      </c>
      <c r="J978" s="2">
        <v>398</v>
      </c>
      <c r="K978" s="2">
        <v>8623111</v>
      </c>
      <c r="L978" s="2">
        <v>2774060</v>
      </c>
      <c r="M978" s="2">
        <v>5849051</v>
      </c>
    </row>
    <row r="979" spans="1:13">
      <c r="A979" s="2" t="s">
        <v>1054</v>
      </c>
      <c r="B979" s="2" t="s">
        <v>54</v>
      </c>
      <c r="C979" s="2" t="s">
        <v>66</v>
      </c>
      <c r="D979" s="2" t="s">
        <v>58</v>
      </c>
      <c r="E979" s="3">
        <v>45539</v>
      </c>
      <c r="F979" s="2" t="str">
        <f t="shared" si="15"/>
        <v>Sep</v>
      </c>
      <c r="G979" s="2">
        <v>118</v>
      </c>
      <c r="H979" s="2" t="s">
        <v>31</v>
      </c>
      <c r="I979" s="2">
        <v>72</v>
      </c>
      <c r="J979" s="2">
        <v>60</v>
      </c>
      <c r="K979" s="2">
        <v>372060</v>
      </c>
      <c r="L979" s="2">
        <v>250800</v>
      </c>
      <c r="M979" s="2">
        <v>121260</v>
      </c>
    </row>
    <row r="980" spans="1:13">
      <c r="A980" s="2" t="s">
        <v>1055</v>
      </c>
      <c r="B980" s="2" t="s">
        <v>42</v>
      </c>
      <c r="C980" s="2" t="s">
        <v>59</v>
      </c>
      <c r="D980" s="2" t="s">
        <v>66</v>
      </c>
      <c r="E980" s="3">
        <v>45540</v>
      </c>
      <c r="F980" s="2" t="str">
        <f t="shared" si="15"/>
        <v>Sep</v>
      </c>
      <c r="G980" s="2">
        <v>82</v>
      </c>
      <c r="H980" s="2" t="s">
        <v>28</v>
      </c>
      <c r="I980" s="2">
        <v>180</v>
      </c>
      <c r="J980" s="2">
        <v>124</v>
      </c>
      <c r="K980" s="2">
        <v>705267</v>
      </c>
      <c r="L980" s="2">
        <v>473680</v>
      </c>
      <c r="M980" s="2">
        <v>231587</v>
      </c>
    </row>
    <row r="981" spans="1:13">
      <c r="A981" s="2" t="s">
        <v>1056</v>
      </c>
      <c r="B981" s="2" t="s">
        <v>55</v>
      </c>
      <c r="C981" s="2" t="s">
        <v>66</v>
      </c>
      <c r="D981" s="2" t="s">
        <v>59</v>
      </c>
      <c r="E981" s="3">
        <v>45541</v>
      </c>
      <c r="F981" s="2" t="str">
        <f t="shared" si="15"/>
        <v>Sep</v>
      </c>
      <c r="G981" s="2">
        <v>160</v>
      </c>
      <c r="H981" s="2" t="s">
        <v>32</v>
      </c>
      <c r="I981" s="2">
        <v>190</v>
      </c>
      <c r="J981" s="2">
        <v>178</v>
      </c>
      <c r="K981" s="2">
        <v>1515178</v>
      </c>
      <c r="L981" s="2">
        <v>818800</v>
      </c>
      <c r="M981" s="2">
        <v>696378</v>
      </c>
    </row>
    <row r="982" spans="1:13">
      <c r="A982" s="2" t="s">
        <v>1057</v>
      </c>
      <c r="B982" s="2" t="s">
        <v>50</v>
      </c>
      <c r="C982" s="2" t="s">
        <v>61</v>
      </c>
      <c r="D982" s="2" t="s">
        <v>65</v>
      </c>
      <c r="E982" s="3">
        <v>45542</v>
      </c>
      <c r="F982" s="2" t="str">
        <f t="shared" si="15"/>
        <v>Sep</v>
      </c>
      <c r="G982" s="2">
        <v>352</v>
      </c>
      <c r="H982" s="2" t="s">
        <v>29</v>
      </c>
      <c r="I982" s="2">
        <v>200</v>
      </c>
      <c r="J982" s="2">
        <v>167</v>
      </c>
      <c r="K982" s="2">
        <v>3640935</v>
      </c>
      <c r="L982" s="2">
        <v>1088840</v>
      </c>
      <c r="M982" s="2">
        <v>2552095</v>
      </c>
    </row>
    <row r="983" spans="1:13">
      <c r="A983" s="2" t="s">
        <v>1058</v>
      </c>
      <c r="B983" s="2" t="s">
        <v>11</v>
      </c>
      <c r="C983" s="2" t="s">
        <v>65</v>
      </c>
      <c r="D983" s="2" t="s">
        <v>61</v>
      </c>
      <c r="E983" s="3">
        <v>45543</v>
      </c>
      <c r="F983" s="2" t="str">
        <f t="shared" si="15"/>
        <v>Sep</v>
      </c>
      <c r="G983" s="2">
        <v>380</v>
      </c>
      <c r="H983" s="2" t="s">
        <v>33</v>
      </c>
      <c r="I983" s="2">
        <v>260</v>
      </c>
      <c r="J983" s="2">
        <v>165</v>
      </c>
      <c r="K983" s="2">
        <v>6021279</v>
      </c>
      <c r="L983" s="2">
        <v>1122000</v>
      </c>
      <c r="M983" s="2">
        <v>4899279</v>
      </c>
    </row>
    <row r="984" spans="1:13">
      <c r="A984" s="2" t="s">
        <v>1059</v>
      </c>
      <c r="B984" s="2" t="s">
        <v>6</v>
      </c>
      <c r="C984" s="2" t="s">
        <v>59</v>
      </c>
      <c r="D984" s="2" t="s">
        <v>65</v>
      </c>
      <c r="E984" s="3">
        <v>45544</v>
      </c>
      <c r="F984" s="2" t="str">
        <f t="shared" si="15"/>
        <v>Sep</v>
      </c>
      <c r="G984" s="2">
        <v>319</v>
      </c>
      <c r="H984" s="2" t="s">
        <v>30</v>
      </c>
      <c r="I984" s="2">
        <v>500</v>
      </c>
      <c r="J984" s="2">
        <v>474</v>
      </c>
      <c r="K984" s="2">
        <v>5875735</v>
      </c>
      <c r="L984" s="2">
        <v>2934060</v>
      </c>
      <c r="M984" s="2">
        <v>2941675</v>
      </c>
    </row>
    <row r="985" spans="1:13">
      <c r="A985" s="2" t="s">
        <v>1060</v>
      </c>
      <c r="B985" s="2" t="s">
        <v>53</v>
      </c>
      <c r="C985" s="2" t="s">
        <v>65</v>
      </c>
      <c r="D985" s="2" t="s">
        <v>59</v>
      </c>
      <c r="E985" s="3">
        <v>45545</v>
      </c>
      <c r="F985" s="2" t="str">
        <f t="shared" si="15"/>
        <v>Sep</v>
      </c>
      <c r="G985" s="2">
        <v>147</v>
      </c>
      <c r="H985" s="2" t="s">
        <v>31</v>
      </c>
      <c r="I985" s="2">
        <v>72</v>
      </c>
      <c r="J985" s="2">
        <v>67</v>
      </c>
      <c r="K985" s="2">
        <v>514541</v>
      </c>
      <c r="L985" s="2">
        <v>299490</v>
      </c>
      <c r="M985" s="2">
        <v>215051</v>
      </c>
    </row>
    <row r="986" spans="1:13">
      <c r="A986" s="2" t="s">
        <v>1061</v>
      </c>
      <c r="B986" s="2" t="s">
        <v>49</v>
      </c>
      <c r="C986" s="2" t="s">
        <v>61</v>
      </c>
      <c r="D986" s="2" t="s">
        <v>64</v>
      </c>
      <c r="E986" s="3">
        <v>45546</v>
      </c>
      <c r="F986" s="2" t="str">
        <f t="shared" si="15"/>
        <v>Sep</v>
      </c>
      <c r="G986" s="2">
        <v>100</v>
      </c>
      <c r="H986" s="2" t="s">
        <v>28</v>
      </c>
      <c r="I986" s="2">
        <v>180</v>
      </c>
      <c r="J986" s="2">
        <v>137</v>
      </c>
      <c r="K986" s="2">
        <v>737756</v>
      </c>
      <c r="L986" s="2">
        <v>548000</v>
      </c>
      <c r="M986" s="2">
        <v>189756</v>
      </c>
    </row>
    <row r="987" spans="1:13">
      <c r="A987" s="2" t="s">
        <v>1062</v>
      </c>
      <c r="B987" s="2" t="s">
        <v>52</v>
      </c>
      <c r="C987" s="2" t="s">
        <v>64</v>
      </c>
      <c r="D987" s="2" t="s">
        <v>61</v>
      </c>
      <c r="E987" s="3">
        <v>45547</v>
      </c>
      <c r="F987" s="2" t="str">
        <f t="shared" si="15"/>
        <v>Sep</v>
      </c>
      <c r="G987" s="2">
        <v>315</v>
      </c>
      <c r="H987" s="2" t="s">
        <v>32</v>
      </c>
      <c r="I987" s="2">
        <v>190</v>
      </c>
      <c r="J987" s="2">
        <v>138</v>
      </c>
      <c r="K987" s="2">
        <v>2761184</v>
      </c>
      <c r="L987" s="2">
        <v>848700</v>
      </c>
      <c r="M987" s="2">
        <v>1912484</v>
      </c>
    </row>
    <row r="988" spans="1:13">
      <c r="A988" s="2" t="s">
        <v>1063</v>
      </c>
      <c r="B988" s="2" t="s">
        <v>37</v>
      </c>
      <c r="C988" s="2" t="s">
        <v>58</v>
      </c>
      <c r="D988" s="2" t="s">
        <v>62</v>
      </c>
      <c r="E988" s="3">
        <v>45548</v>
      </c>
      <c r="F988" s="2" t="str">
        <f t="shared" si="15"/>
        <v>Sep</v>
      </c>
      <c r="G988" s="2">
        <v>92</v>
      </c>
      <c r="H988" s="2" t="s">
        <v>29</v>
      </c>
      <c r="I988" s="2">
        <v>200</v>
      </c>
      <c r="J988" s="2">
        <v>149</v>
      </c>
      <c r="K988" s="2">
        <v>930317</v>
      </c>
      <c r="L988" s="2">
        <v>584080</v>
      </c>
      <c r="M988" s="2">
        <v>346237</v>
      </c>
    </row>
    <row r="989" spans="1:13">
      <c r="A989" s="2" t="s">
        <v>1064</v>
      </c>
      <c r="B989" s="2" t="s">
        <v>7</v>
      </c>
      <c r="C989" s="2" t="s">
        <v>62</v>
      </c>
      <c r="D989" s="2" t="s">
        <v>58</v>
      </c>
      <c r="E989" s="3">
        <v>45549</v>
      </c>
      <c r="F989" s="2" t="str">
        <f t="shared" si="15"/>
        <v>Sep</v>
      </c>
      <c r="G989" s="2">
        <v>210</v>
      </c>
      <c r="H989" s="2" t="s">
        <v>33</v>
      </c>
      <c r="I989" s="2">
        <v>260</v>
      </c>
      <c r="J989" s="2">
        <v>221</v>
      </c>
      <c r="K989" s="2">
        <v>3068831</v>
      </c>
      <c r="L989" s="2">
        <v>1127100</v>
      </c>
      <c r="M989" s="2">
        <v>1941731</v>
      </c>
    </row>
    <row r="990" spans="1:13">
      <c r="A990" s="2" t="s">
        <v>1065</v>
      </c>
      <c r="B990" s="2" t="s">
        <v>9</v>
      </c>
      <c r="C990" s="2" t="s">
        <v>63</v>
      </c>
      <c r="D990" s="2" t="s">
        <v>59</v>
      </c>
      <c r="E990" s="3">
        <v>45550</v>
      </c>
      <c r="F990" s="2" t="str">
        <f t="shared" si="15"/>
        <v>Sep</v>
      </c>
      <c r="G990" s="2">
        <v>345</v>
      </c>
      <c r="H990" s="2" t="s">
        <v>30</v>
      </c>
      <c r="I990" s="2">
        <v>500</v>
      </c>
      <c r="J990" s="2">
        <v>382</v>
      </c>
      <c r="K990" s="2">
        <v>7424616</v>
      </c>
      <c r="L990" s="2">
        <v>1231950</v>
      </c>
      <c r="M990" s="2">
        <v>6192666</v>
      </c>
    </row>
    <row r="991" spans="1:13">
      <c r="A991" s="2" t="s">
        <v>1066</v>
      </c>
      <c r="B991" s="2" t="s">
        <v>41</v>
      </c>
      <c r="C991" s="2" t="s">
        <v>59</v>
      </c>
      <c r="D991" s="2" t="s">
        <v>63</v>
      </c>
      <c r="E991" s="3">
        <v>45551</v>
      </c>
      <c r="F991" s="2" t="str">
        <f t="shared" si="15"/>
        <v>Sep</v>
      </c>
      <c r="G991" s="2">
        <v>126</v>
      </c>
      <c r="H991" s="2" t="s">
        <v>31</v>
      </c>
      <c r="I991" s="2">
        <v>72</v>
      </c>
      <c r="J991" s="2">
        <v>63</v>
      </c>
      <c r="K991" s="2">
        <v>463404</v>
      </c>
      <c r="L991" s="2">
        <v>134190</v>
      </c>
      <c r="M991" s="2">
        <v>329214</v>
      </c>
    </row>
    <row r="992" spans="1:13">
      <c r="A992" s="2" t="s">
        <v>1067</v>
      </c>
      <c r="B992" s="2" t="s">
        <v>39</v>
      </c>
      <c r="C992" s="2" t="s">
        <v>59</v>
      </c>
      <c r="D992" s="2" t="s">
        <v>61</v>
      </c>
      <c r="E992" s="3">
        <v>45552</v>
      </c>
      <c r="F992" s="2" t="str">
        <f t="shared" si="15"/>
        <v>Sep</v>
      </c>
      <c r="G992" s="2">
        <v>296</v>
      </c>
      <c r="H992" s="2" t="s">
        <v>28</v>
      </c>
      <c r="I992" s="2">
        <v>180</v>
      </c>
      <c r="J992" s="2">
        <v>126</v>
      </c>
      <c r="K992" s="2">
        <v>2195894</v>
      </c>
      <c r="L992" s="2">
        <v>375480</v>
      </c>
      <c r="M992" s="2">
        <v>1820414</v>
      </c>
    </row>
    <row r="993" spans="1:13">
      <c r="A993" s="2" t="s">
        <v>1068</v>
      </c>
      <c r="B993" s="2" t="s">
        <v>46</v>
      </c>
      <c r="C993" s="2" t="s">
        <v>61</v>
      </c>
      <c r="D993" s="2" t="s">
        <v>59</v>
      </c>
      <c r="E993" s="3">
        <v>45553</v>
      </c>
      <c r="F993" s="2" t="str">
        <f t="shared" si="15"/>
        <v>Sep</v>
      </c>
      <c r="G993" s="2">
        <v>322</v>
      </c>
      <c r="H993" s="2" t="s">
        <v>32</v>
      </c>
      <c r="I993" s="2">
        <v>190</v>
      </c>
      <c r="J993" s="2">
        <v>122</v>
      </c>
      <c r="K993" s="2">
        <v>3035421</v>
      </c>
      <c r="L993" s="2">
        <v>379420</v>
      </c>
      <c r="M993" s="2">
        <v>2656001</v>
      </c>
    </row>
    <row r="994" spans="1:13">
      <c r="A994" s="2" t="s">
        <v>1069</v>
      </c>
      <c r="B994" s="2" t="s">
        <v>45</v>
      </c>
      <c r="C994" s="2" t="s">
        <v>61</v>
      </c>
      <c r="D994" s="2" t="s">
        <v>58</v>
      </c>
      <c r="E994" s="3">
        <v>45554</v>
      </c>
      <c r="F994" s="2" t="str">
        <f t="shared" si="15"/>
        <v>Sep</v>
      </c>
      <c r="G994" s="2">
        <v>228</v>
      </c>
      <c r="H994" s="2" t="s">
        <v>29</v>
      </c>
      <c r="I994" s="2">
        <v>200</v>
      </c>
      <c r="J994" s="2">
        <v>167</v>
      </c>
      <c r="K994" s="2">
        <v>2152204</v>
      </c>
      <c r="L994" s="2">
        <v>440880</v>
      </c>
      <c r="M994" s="2">
        <v>1711324</v>
      </c>
    </row>
    <row r="995" spans="1:13">
      <c r="A995" s="2" t="s">
        <v>1070</v>
      </c>
      <c r="B995" s="2" t="s">
        <v>3</v>
      </c>
      <c r="C995" s="2" t="s">
        <v>58</v>
      </c>
      <c r="D995" s="2" t="s">
        <v>61</v>
      </c>
      <c r="E995" s="3">
        <v>45555</v>
      </c>
      <c r="F995" s="2" t="str">
        <f t="shared" si="15"/>
        <v>Sep</v>
      </c>
      <c r="G995" s="2">
        <v>244</v>
      </c>
      <c r="H995" s="2" t="s">
        <v>33</v>
      </c>
      <c r="I995" s="2">
        <v>260</v>
      </c>
      <c r="J995" s="2">
        <v>237</v>
      </c>
      <c r="K995" s="2">
        <v>3504383</v>
      </c>
      <c r="L995" s="2">
        <v>644640</v>
      </c>
      <c r="M995" s="2">
        <v>2859743</v>
      </c>
    </row>
    <row r="996" spans="1:13">
      <c r="A996" s="2" t="s">
        <v>1071</v>
      </c>
      <c r="B996" s="2" t="s">
        <v>5</v>
      </c>
      <c r="C996" s="2" t="s">
        <v>59</v>
      </c>
      <c r="D996" s="2" t="s">
        <v>58</v>
      </c>
      <c r="E996" s="3">
        <v>45556</v>
      </c>
      <c r="F996" s="2" t="str">
        <f t="shared" si="15"/>
        <v>Sep</v>
      </c>
      <c r="G996" s="2">
        <v>406</v>
      </c>
      <c r="H996" s="2" t="s">
        <v>30</v>
      </c>
      <c r="I996" s="2">
        <v>500</v>
      </c>
      <c r="J996" s="2">
        <v>416</v>
      </c>
      <c r="K996" s="2">
        <v>8645054</v>
      </c>
      <c r="L996" s="2">
        <v>1468480</v>
      </c>
      <c r="M996" s="2">
        <v>7176574</v>
      </c>
    </row>
    <row r="997" spans="1:13">
      <c r="A997" s="2" t="s">
        <v>1072</v>
      </c>
      <c r="B997" s="2" t="s">
        <v>36</v>
      </c>
      <c r="C997" s="2" t="s">
        <v>58</v>
      </c>
      <c r="D997" s="2" t="s">
        <v>59</v>
      </c>
      <c r="E997" s="3">
        <v>45557</v>
      </c>
      <c r="F997" s="2" t="str">
        <f t="shared" si="15"/>
        <v>Sep</v>
      </c>
      <c r="G997" s="2">
        <v>83</v>
      </c>
      <c r="H997" s="2" t="s">
        <v>31</v>
      </c>
      <c r="I997" s="2">
        <v>72</v>
      </c>
      <c r="J997" s="2">
        <v>56</v>
      </c>
      <c r="K997" s="2">
        <v>276997</v>
      </c>
      <c r="L997" s="2">
        <v>107240</v>
      </c>
      <c r="M997" s="2">
        <v>169757</v>
      </c>
    </row>
    <row r="998" spans="1:13">
      <c r="A998" s="2" t="s">
        <v>1073</v>
      </c>
      <c r="B998" s="2" t="s">
        <v>38</v>
      </c>
      <c r="C998" s="2" t="s">
        <v>59</v>
      </c>
      <c r="D998" s="2" t="s">
        <v>60</v>
      </c>
      <c r="E998" s="3">
        <v>45558</v>
      </c>
      <c r="F998" s="2" t="str">
        <f t="shared" si="15"/>
        <v>Sep</v>
      </c>
      <c r="G998" s="2">
        <v>112</v>
      </c>
      <c r="H998" s="2" t="s">
        <v>28</v>
      </c>
      <c r="I998" s="2">
        <v>180</v>
      </c>
      <c r="J998" s="2">
        <v>151</v>
      </c>
      <c r="K998" s="2">
        <v>849746</v>
      </c>
      <c r="L998" s="2">
        <v>311060</v>
      </c>
      <c r="M998" s="2">
        <v>538686</v>
      </c>
    </row>
    <row r="999" spans="1:13">
      <c r="A999" s="2" t="s">
        <v>1074</v>
      </c>
      <c r="B999" s="2" t="s">
        <v>44</v>
      </c>
      <c r="C999" s="2" t="s">
        <v>60</v>
      </c>
      <c r="D999" s="2" t="s">
        <v>59</v>
      </c>
      <c r="E999" s="3">
        <v>45559</v>
      </c>
      <c r="F999" s="2" t="str">
        <f t="shared" si="15"/>
        <v>Sep</v>
      </c>
      <c r="G999" s="2">
        <v>161</v>
      </c>
      <c r="H999" s="2" t="s">
        <v>32</v>
      </c>
      <c r="I999" s="2">
        <v>190</v>
      </c>
      <c r="J999" s="2">
        <v>136</v>
      </c>
      <c r="K999" s="2">
        <v>1309701</v>
      </c>
      <c r="L999" s="2">
        <v>313480</v>
      </c>
      <c r="M999" s="2">
        <v>996221</v>
      </c>
    </row>
    <row r="1000" spans="1:13">
      <c r="A1000" s="2" t="s">
        <v>1075</v>
      </c>
      <c r="B1000" s="2" t="s">
        <v>48</v>
      </c>
      <c r="C1000" s="2" t="s">
        <v>61</v>
      </c>
      <c r="D1000" s="2" t="s">
        <v>63</v>
      </c>
      <c r="E1000" s="3">
        <v>45560</v>
      </c>
      <c r="F1000" s="2" t="str">
        <f t="shared" si="15"/>
        <v>Sep</v>
      </c>
      <c r="G1000" s="2">
        <v>217</v>
      </c>
      <c r="H1000" s="2" t="s">
        <v>29</v>
      </c>
      <c r="I1000" s="2">
        <v>200</v>
      </c>
      <c r="J1000" s="2">
        <v>122</v>
      </c>
      <c r="K1000" s="2">
        <v>2158885</v>
      </c>
      <c r="L1000" s="2">
        <v>315370</v>
      </c>
      <c r="M1000" s="2">
        <v>1843515</v>
      </c>
    </row>
    <row r="1001" spans="1:13">
      <c r="A1001" s="2" t="s">
        <v>1076</v>
      </c>
      <c r="B1001" s="2" t="s">
        <v>10</v>
      </c>
      <c r="C1001" s="2" t="s">
        <v>63</v>
      </c>
      <c r="D1001" s="2" t="s">
        <v>61</v>
      </c>
      <c r="E1001" s="3">
        <v>45561</v>
      </c>
      <c r="F1001" s="2" t="str">
        <f t="shared" si="15"/>
        <v>Sep</v>
      </c>
      <c r="G1001" s="2">
        <v>281</v>
      </c>
      <c r="H1001" s="2" t="s">
        <v>33</v>
      </c>
      <c r="I1001" s="2">
        <v>260</v>
      </c>
      <c r="J1001" s="2">
        <v>204</v>
      </c>
      <c r="K1001" s="2">
        <v>4295196</v>
      </c>
      <c r="L1001" s="2">
        <v>592620</v>
      </c>
      <c r="M1001" s="2">
        <v>3702576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workbookViewId="0">
      <selection activeCell="A1" sqref="A1:S56"/>
    </sheetView>
  </sheetViews>
  <sheetFormatPr defaultColWidth="8" defaultRowHeight="15"/>
  <sheetData>
    <row r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</sheetData>
  <mergeCells count="1">
    <mergeCell ref="A1:S5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Top 10</vt:lpstr>
      <vt:lpstr>Line Graph- Monthly profit </vt:lpstr>
      <vt:lpstr>Donut- Avg Occupancy Rate</vt:lpstr>
      <vt:lpstr>Stacked column chart-</vt:lpstr>
      <vt:lpstr>Origin vs Destination</vt:lpstr>
      <vt:lpstr>Dataset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Pooja Suthar</cp:lastModifiedBy>
  <dcterms:created xsi:type="dcterms:W3CDTF">2025-12-01T07:02:28Z</dcterms:created>
  <dcterms:modified xsi:type="dcterms:W3CDTF">2025-12-01T12:08:00Z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DA4B59A556414E9980C72BDB57DE94BD_11</vt:lpwstr>
  </property>
  <property fmtid="{D5CDD505-2E9C-101B-9397-08002B2CF9AE}" pid="3" name="KSOProductBuildVer">
    <vt:lpwstr>1033-12.2.0.23155</vt:lpwstr>
  </property>
</Properties>
</file>